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매입매출_2024\dbs\지원금정산\"/>
    </mc:Choice>
  </mc:AlternateContent>
  <bookViews>
    <workbookView xWindow="0" yWindow="0" windowWidth="22260" windowHeight="12645" activeTab="1"/>
  </bookViews>
  <sheets>
    <sheet name="employee" sheetId="5" r:id="rId1"/>
    <sheet name="지원금" sheetId="3" r:id="rId2"/>
    <sheet name="DATA" sheetId="4" r:id="rId3"/>
    <sheet name="DATA_1" sheetId="14" r:id="rId4"/>
    <sheet name="DATA2" sheetId="13" r:id="rId5"/>
    <sheet name="DATA2_1" sheetId="15" r:id="rId6"/>
  </sheets>
  <definedNames>
    <definedName name="_xlnm._FilterDatabase" localSheetId="2" hidden="1">DATA!$A$1:$M$1</definedName>
    <definedName name="_xlnm._FilterDatabase" localSheetId="3" hidden="1">DATA_1!$A$1:$H$1</definedName>
    <definedName name="_xlnm._FilterDatabase" localSheetId="4" hidden="1">DATA2!$A$1:$M$1</definedName>
    <definedName name="_xlnm._FilterDatabase" localSheetId="5" hidden="1">DATA2_1!$A$1:$G$1</definedName>
    <definedName name="_xlnm._FilterDatabase" localSheetId="0" hidden="1">employee!$A$1:$H$1</definedName>
    <definedName name="JWLee" localSheetId="0">employee!$A$1:$H$124</definedName>
    <definedName name="JWLee_1" localSheetId="0">employee!#REF!</definedName>
    <definedName name="JWLee_2" localSheetId="0">employee!#REF!</definedName>
    <definedName name="JWLee_3" localSheetId="0">employee!#REF!</definedName>
    <definedName name="JWLee_4" localSheetId="0">employee!#REF!</definedName>
    <definedName name="JWLee_5" localSheetId="0">employee!#REF!</definedName>
    <definedName name="JWLee_6" localSheetId="0">employee!#REF!</definedName>
    <definedName name="JWLee_7" localSheetId="0">employee!$A$1:$H$124</definedName>
    <definedName name="JWLee_8" localSheetId="0">employee!$A$1:$H$124</definedName>
    <definedName name="JWLee_9" localSheetId="0">employee!$A$1:$H$127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5" l="1"/>
  <c r="A2" i="15"/>
  <c r="A10" i="14"/>
  <c r="A9" i="14"/>
  <c r="A8" i="14"/>
  <c r="A7" i="14"/>
  <c r="A6" i="14"/>
  <c r="A5" i="14"/>
  <c r="A4" i="14"/>
  <c r="A3" i="14"/>
  <c r="A2" i="14"/>
  <c r="A3" i="13"/>
  <c r="A2" i="13"/>
  <c r="D1" i="3" l="1"/>
  <c r="E1" i="3"/>
  <c r="F1" i="3"/>
  <c r="G1" i="3" s="1"/>
  <c r="H1" i="3" s="1"/>
  <c r="I1" i="3" s="1"/>
  <c r="J1" i="3" s="1"/>
  <c r="K1" i="3" s="1"/>
  <c r="L1" i="3" s="1"/>
  <c r="M1" i="3" s="1"/>
  <c r="C1" i="3"/>
  <c r="K15" i="3"/>
  <c r="L15" i="3" s="1"/>
  <c r="M15" i="3" s="1"/>
  <c r="K14" i="3"/>
  <c r="L14" i="3" s="1"/>
  <c r="M14" i="3" s="1"/>
  <c r="K13" i="3"/>
  <c r="L13" i="3" s="1"/>
  <c r="M13" i="3" s="1"/>
  <c r="I13" i="3"/>
  <c r="K12" i="3"/>
  <c r="L12" i="3" s="1"/>
  <c r="M12" i="3" s="1"/>
  <c r="K11" i="3"/>
  <c r="L11" i="3" s="1"/>
  <c r="M11" i="3" s="1"/>
  <c r="K10" i="3"/>
  <c r="L10" i="3" s="1"/>
  <c r="M10" i="3" s="1"/>
  <c r="K9" i="3"/>
  <c r="L9" i="3" s="1"/>
  <c r="M9" i="3" s="1"/>
  <c r="K8" i="3"/>
  <c r="L8" i="3" s="1"/>
  <c r="M8" i="3" s="1"/>
  <c r="L7" i="3"/>
  <c r="M7" i="3" s="1"/>
  <c r="K7" i="3"/>
  <c r="M6" i="3"/>
  <c r="K5" i="3"/>
  <c r="K4" i="3"/>
  <c r="L4" i="3" s="1"/>
  <c r="M4" i="3" s="1"/>
  <c r="M3" i="3"/>
  <c r="K2" i="3"/>
  <c r="A10" i="4" l="1"/>
  <c r="A9" i="4"/>
  <c r="A8" i="4"/>
  <c r="A7" i="4"/>
  <c r="A6" i="4"/>
  <c r="A5" i="4"/>
  <c r="A4" i="4"/>
  <c r="A3" i="4"/>
  <c r="A2" i="4"/>
</calcChain>
</file>

<file path=xl/connections.xml><?xml version="1.0" encoding="utf-8"?>
<connections xmlns="http://schemas.openxmlformats.org/spreadsheetml/2006/main">
  <connection id="1" name="연결" type="7" refreshedVersion="6" background="1" saveData="1"/>
  <connection id="2" name="연결1" type="7" refreshedVersion="6" background="1" saveData="1"/>
  <connection id="3" name="연결2" type="7" refreshedVersion="6" background="1" saveData="1"/>
  <connection id="4" name="연결3" type="7" refreshedVersion="6" background="1" saveData="1"/>
</connections>
</file>

<file path=xl/sharedStrings.xml><?xml version="1.0" encoding="utf-8"?>
<sst xmlns="http://schemas.openxmlformats.org/spreadsheetml/2006/main" count="898" uniqueCount="228">
  <si>
    <t>금액</t>
  </si>
  <si>
    <t>ID</t>
  </si>
  <si>
    <t>ecode</t>
  </si>
  <si>
    <t>ename</t>
  </si>
  <si>
    <t>class1</t>
  </si>
  <si>
    <t>remark</t>
  </si>
  <si>
    <t>수제1266</t>
  </si>
  <si>
    <t>o</t>
  </si>
  <si>
    <t>수제4138</t>
  </si>
  <si>
    <t>덕진0799</t>
  </si>
  <si>
    <t>f</t>
  </si>
  <si>
    <t>덕진4863</t>
  </si>
  <si>
    <t>여의제일</t>
  </si>
  <si>
    <t>a</t>
  </si>
  <si>
    <t>이한우</t>
  </si>
  <si>
    <t>e</t>
  </si>
  <si>
    <t>김연성</t>
  </si>
  <si>
    <t>윤석명</t>
  </si>
  <si>
    <t>최흥섭</t>
  </si>
  <si>
    <t>송환기</t>
  </si>
  <si>
    <t>권명노</t>
  </si>
  <si>
    <t>김우기</t>
  </si>
  <si>
    <t>이희덕</t>
  </si>
  <si>
    <t>황규춘</t>
  </si>
  <si>
    <t>전영수</t>
  </si>
  <si>
    <t>조성현</t>
  </si>
  <si>
    <t>황인섭</t>
  </si>
  <si>
    <t>유예만</t>
  </si>
  <si>
    <t>김삼동</t>
  </si>
  <si>
    <t>오연식</t>
  </si>
  <si>
    <t>김태홍</t>
  </si>
  <si>
    <t>윤용남</t>
  </si>
  <si>
    <t>김운택</t>
  </si>
  <si>
    <t>김문식</t>
  </si>
  <si>
    <t>임대인</t>
  </si>
  <si>
    <t>조현만</t>
  </si>
  <si>
    <t>이창민</t>
  </si>
  <si>
    <t>김성남</t>
  </si>
  <si>
    <t>박종휘</t>
  </si>
  <si>
    <t>김균수</t>
  </si>
  <si>
    <t>윤영선</t>
  </si>
  <si>
    <t>김대식</t>
  </si>
  <si>
    <t>최규영</t>
  </si>
  <si>
    <t>김준형</t>
  </si>
  <si>
    <t>허범진</t>
  </si>
  <si>
    <t>김갑수</t>
  </si>
  <si>
    <t>소권영</t>
  </si>
  <si>
    <t>송기남</t>
  </si>
  <si>
    <t>이정일</t>
  </si>
  <si>
    <t>최도영</t>
  </si>
  <si>
    <t>황한천</t>
  </si>
  <si>
    <t>김주형</t>
  </si>
  <si>
    <t>정호석</t>
  </si>
  <si>
    <t>오진철</t>
  </si>
  <si>
    <t/>
  </si>
  <si>
    <t>강성완</t>
  </si>
  <si>
    <t>이정훈</t>
  </si>
  <si>
    <t>박준철</t>
  </si>
  <si>
    <t>이태현</t>
  </si>
  <si>
    <t>김정석</t>
  </si>
  <si>
    <t>송규용</t>
  </si>
  <si>
    <t>정민호</t>
  </si>
  <si>
    <t>김종선</t>
  </si>
  <si>
    <t>이명기</t>
  </si>
  <si>
    <t>홍경희</t>
  </si>
  <si>
    <t>이한규</t>
  </si>
  <si>
    <t>정하갑</t>
  </si>
  <si>
    <t>이승원</t>
  </si>
  <si>
    <t>김용기</t>
  </si>
  <si>
    <t>김승찬</t>
  </si>
  <si>
    <t>노학철</t>
  </si>
  <si>
    <t>이창원</t>
  </si>
  <si>
    <t>박문수</t>
  </si>
  <si>
    <t>김윤경</t>
  </si>
  <si>
    <t>정정만</t>
  </si>
  <si>
    <t>김철민</t>
  </si>
  <si>
    <t>장일형</t>
  </si>
  <si>
    <t>양성준</t>
  </si>
  <si>
    <t>이현호</t>
  </si>
  <si>
    <t>이영근</t>
  </si>
  <si>
    <t>김성유</t>
  </si>
  <si>
    <t>김창남</t>
  </si>
  <si>
    <t>정영진</t>
  </si>
  <si>
    <t>이갑성</t>
  </si>
  <si>
    <t>정주혁</t>
  </si>
  <si>
    <t>이강업</t>
  </si>
  <si>
    <t>박병화</t>
  </si>
  <si>
    <t>김동령</t>
  </si>
  <si>
    <t>정상준</t>
  </si>
  <si>
    <t>정민원</t>
  </si>
  <si>
    <t>엄을봉</t>
  </si>
  <si>
    <t>권의현</t>
  </si>
  <si>
    <t>개인</t>
  </si>
  <si>
    <t>i</t>
  </si>
  <si>
    <t>권용재</t>
  </si>
  <si>
    <t>권희정</t>
  </si>
  <si>
    <t>김문균</t>
  </si>
  <si>
    <t>김재복</t>
  </si>
  <si>
    <t>김홍희</t>
  </si>
  <si>
    <t>김효성</t>
  </si>
  <si>
    <t>박래범</t>
  </si>
  <si>
    <t>박명석</t>
  </si>
  <si>
    <t>박종식</t>
  </si>
  <si>
    <t>유진혁</t>
  </si>
  <si>
    <t>유현욱</t>
  </si>
  <si>
    <t>윤석주</t>
  </si>
  <si>
    <t>윤종삼</t>
  </si>
  <si>
    <t>이대왕</t>
  </si>
  <si>
    <t>이인호</t>
  </si>
  <si>
    <t>이진섭</t>
  </si>
  <si>
    <t>임양모</t>
  </si>
  <si>
    <t>정태준</t>
  </si>
  <si>
    <t>진교천</t>
  </si>
  <si>
    <t>최병규</t>
  </si>
  <si>
    <t>최기영</t>
  </si>
  <si>
    <t>비고</t>
  </si>
  <si>
    <t>수제6364</t>
  </si>
  <si>
    <t>대체주유</t>
  </si>
  <si>
    <t>이종욱</t>
  </si>
  <si>
    <t>r</t>
  </si>
  <si>
    <t>이지아</t>
  </si>
  <si>
    <t>id</t>
  </si>
  <si>
    <t>작성일</t>
  </si>
  <si>
    <t>작성자</t>
  </si>
  <si>
    <t>tname</t>
  </si>
  <si>
    <t>class2</t>
  </si>
  <si>
    <t>area</t>
  </si>
  <si>
    <t>외근직</t>
  </si>
  <si>
    <t>Y</t>
  </si>
  <si>
    <t>전주</t>
  </si>
  <si>
    <t>익산</t>
  </si>
  <si>
    <t>N</t>
  </si>
  <si>
    <t>자활팀</t>
  </si>
  <si>
    <t>덕진0305</t>
  </si>
  <si>
    <t>아파트직영</t>
  </si>
  <si>
    <t>강태선님 운전</t>
  </si>
  <si>
    <t>신선화학 소모품 공급</t>
  </si>
  <si>
    <t>아버지 조년근씨가 운전</t>
  </si>
  <si>
    <t>회사차량</t>
  </si>
  <si>
    <t>미래환경</t>
  </si>
  <si>
    <t>수제환경</t>
  </si>
  <si>
    <t>내근직</t>
  </si>
  <si>
    <t>이기홍</t>
  </si>
  <si>
    <t>양기중</t>
  </si>
  <si>
    <t>정기철</t>
  </si>
  <si>
    <t>송호승</t>
  </si>
  <si>
    <t>전판용</t>
  </si>
  <si>
    <t>최현경</t>
  </si>
  <si>
    <t>클래시아 어린이집</t>
  </si>
  <si>
    <t>정철우</t>
  </si>
  <si>
    <t>홍성기</t>
  </si>
  <si>
    <t>서종완</t>
  </si>
  <si>
    <t>군산</t>
  </si>
  <si>
    <t>신규</t>
  </si>
  <si>
    <t>test_user</t>
  </si>
  <si>
    <t>z</t>
  </si>
  <si>
    <t>기타</t>
  </si>
  <si>
    <t>for test</t>
  </si>
  <si>
    <t>김지숙</t>
  </si>
  <si>
    <t>자체소진</t>
  </si>
  <si>
    <t>주혜진</t>
  </si>
  <si>
    <t>송재욱</t>
  </si>
  <si>
    <t>전주자원인원이나 4대보험 요청에 따라 등록함</t>
  </si>
  <si>
    <t>송인복</t>
  </si>
  <si>
    <t>대표자</t>
  </si>
  <si>
    <t>자활 차량 대체 주유</t>
  </si>
  <si>
    <t>이름</t>
    <phoneticPr fontId="1" type="noConversion"/>
  </si>
  <si>
    <t>지원내용</t>
    <phoneticPr fontId="1" type="noConversion"/>
  </si>
  <si>
    <t>김운택</t>
    <phoneticPr fontId="7" type="noConversion"/>
  </si>
  <si>
    <t>온고을-아중대우지원금</t>
    <phoneticPr fontId="7" type="noConversion"/>
  </si>
  <si>
    <t>이창원</t>
    <phoneticPr fontId="7" type="noConversion"/>
  </si>
  <si>
    <t>온고을-아중대우지원금</t>
    <phoneticPr fontId="7" type="noConversion"/>
  </si>
  <si>
    <t>송환기</t>
    <phoneticPr fontId="7" type="noConversion"/>
  </si>
  <si>
    <t>온고을-해오름아파트지원금</t>
    <phoneticPr fontId="7" type="noConversion"/>
  </si>
  <si>
    <t>이창원</t>
    <phoneticPr fontId="7" type="noConversion"/>
  </si>
  <si>
    <t>이갑성</t>
    <phoneticPr fontId="7" type="noConversion"/>
  </si>
  <si>
    <t>온고을-sk뷰재활비</t>
    <phoneticPr fontId="7" type="noConversion"/>
  </si>
  <si>
    <t>이승원</t>
    <phoneticPr fontId="7" type="noConversion"/>
  </si>
  <si>
    <t>에코시티 자이2차</t>
    <phoneticPr fontId="7" type="noConversion"/>
  </si>
  <si>
    <t>정하갑</t>
    <phoneticPr fontId="7" type="noConversion"/>
  </si>
  <si>
    <t>온고을-송천광신 지원비</t>
    <phoneticPr fontId="7" type="noConversion"/>
  </si>
  <si>
    <t>허범진</t>
    <phoneticPr fontId="1" type="noConversion"/>
  </si>
  <si>
    <t>온고을-서곡엘지 지원비</t>
    <phoneticPr fontId="7" type="noConversion"/>
  </si>
  <si>
    <t>윤용남</t>
    <phoneticPr fontId="1" type="noConversion"/>
  </si>
  <si>
    <t>상해보험_현대해상보험료지원</t>
    <phoneticPr fontId="7" type="noConversion"/>
  </si>
  <si>
    <t>정상준</t>
    <phoneticPr fontId="1" type="noConversion"/>
  </si>
  <si>
    <t>데시앙8블럭상가(2023년5월4일시작)초반 3개월분은 따로이체해드림</t>
    <phoneticPr fontId="7" type="noConversion"/>
  </si>
  <si>
    <t>정상준</t>
    <phoneticPr fontId="1" type="noConversion"/>
  </si>
  <si>
    <t>상해보험_삼성화재보험료지원</t>
    <phoneticPr fontId="7" type="noConversion"/>
  </si>
  <si>
    <t>이현호</t>
    <phoneticPr fontId="1" type="noConversion"/>
  </si>
  <si>
    <t>에이스엠_서신아이파크이편한세상재활용봉투지원비</t>
    <phoneticPr fontId="7" type="noConversion"/>
  </si>
  <si>
    <t>김윤경</t>
    <phoneticPr fontId="1" type="noConversion"/>
  </si>
  <si>
    <t>에이스엠_서신아이파크이편한세상재활용봉투지원비</t>
    <phoneticPr fontId="7" type="noConversion"/>
  </si>
  <si>
    <t>정산예정일</t>
    <phoneticPr fontId="1" type="noConversion"/>
  </si>
  <si>
    <t>사번</t>
  </si>
  <si>
    <t>이름</t>
    <phoneticPr fontId="1" type="noConversion"/>
  </si>
  <si>
    <t>아파트코드</t>
    <phoneticPr fontId="1" type="noConversion"/>
  </si>
  <si>
    <t>아파트명</t>
    <phoneticPr fontId="1" type="noConversion"/>
  </si>
  <si>
    <t>내용</t>
    <phoneticPr fontId="1" type="noConversion"/>
  </si>
  <si>
    <t>정산시작일</t>
    <phoneticPr fontId="1" type="noConversion"/>
  </si>
  <si>
    <t>정산종료일</t>
    <phoneticPr fontId="1" type="noConversion"/>
  </si>
  <si>
    <t>A56182712</t>
  </si>
  <si>
    <t>A56082702</t>
  </si>
  <si>
    <t>중노송동 우성해오름</t>
  </si>
  <si>
    <t>인후동 아중대우1차</t>
    <phoneticPr fontId="1" type="noConversion"/>
  </si>
  <si>
    <t>A56008001</t>
  </si>
  <si>
    <t>SK VIEW</t>
    <phoneticPr fontId="1" type="noConversion"/>
  </si>
  <si>
    <t>A10025977</t>
  </si>
  <si>
    <t>에코시티자이2차</t>
  </si>
  <si>
    <t>지원금</t>
    <phoneticPr fontId="1" type="noConversion"/>
  </si>
  <si>
    <t>재활비</t>
    <phoneticPr fontId="1" type="noConversion"/>
  </si>
  <si>
    <t>온고을-지원금</t>
    <phoneticPr fontId="1" type="noConversion"/>
  </si>
  <si>
    <t>A10025161</t>
  </si>
  <si>
    <t>송천광신프로그레스아파트</t>
  </si>
  <si>
    <t>온고을-지원금</t>
    <phoneticPr fontId="1" type="noConversion"/>
  </si>
  <si>
    <t>A56087002</t>
  </si>
  <si>
    <t>효자동 서곡엘지</t>
  </si>
  <si>
    <t>NA</t>
    <phoneticPr fontId="1" type="noConversion"/>
  </si>
  <si>
    <t>데시앙8블럭상가</t>
    <phoneticPr fontId="1" type="noConversion"/>
  </si>
  <si>
    <t>상해보험 지원금</t>
    <phoneticPr fontId="1" type="noConversion"/>
  </si>
  <si>
    <t>A10024783</t>
  </si>
  <si>
    <t>서신아이파크e편한세상</t>
    <phoneticPr fontId="1" type="noConversion"/>
  </si>
  <si>
    <t>에이스엠_재활용봉투지원비</t>
    <phoneticPr fontId="1" type="noConversion"/>
  </si>
  <si>
    <t>데시앙8블럭 상가 청소비</t>
    <phoneticPr fontId="1" type="noConversion"/>
  </si>
  <si>
    <t>클래시아</t>
  </si>
  <si>
    <t>소일</t>
  </si>
  <si>
    <t>광주</t>
  </si>
  <si>
    <t>신경민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</si>
</sst>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10"/>
      <color rgb="FF0000FF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1" fontId="6" fillId="0" borderId="0" applyFont="0" applyFill="0" applyBorder="0" applyAlignment="0" applyProtection="0">
      <alignment vertical="center"/>
    </xf>
    <xf numFmtId="0" fontId="6" fillId="0" borderId="0"/>
  </cellStyleXfs>
  <cellXfs count="28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quotePrefix="1" applyFont="1"/>
    <xf numFmtId="3" fontId="5" fillId="0" borderId="0" xfId="0" applyNumberFormat="1" applyFont="1"/>
    <xf numFmtId="4" fontId="5" fillId="0" borderId="0" xfId="0" applyNumberFormat="1" applyFont="1"/>
    <xf numFmtId="0" fontId="3" fillId="0" borderId="1" xfId="2" applyFont="1" applyBorder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4" fillId="0" borderId="1" xfId="2" applyFont="1" applyFill="1" applyBorder="1"/>
    <xf numFmtId="41" fontId="4" fillId="0" borderId="1" xfId="1" applyFont="1" applyFill="1" applyBorder="1" applyAlignment="1"/>
    <xf numFmtId="3" fontId="4" fillId="0" borderId="1" xfId="2" applyNumberFormat="1" applyFont="1" applyFill="1" applyBorder="1"/>
    <xf numFmtId="3" fontId="4" fillId="3" borderId="1" xfId="2" applyNumberFormat="1" applyFont="1" applyFill="1" applyBorder="1"/>
    <xf numFmtId="41" fontId="4" fillId="3" borderId="1" xfId="1" applyFont="1" applyFill="1" applyBorder="1" applyAlignment="1"/>
    <xf numFmtId="0" fontId="8" fillId="0" borderId="1" xfId="2" applyFont="1" applyFill="1" applyBorder="1"/>
    <xf numFmtId="3" fontId="8" fillId="0" borderId="1" xfId="2" applyNumberFormat="1" applyFont="1" applyFill="1" applyBorder="1"/>
    <xf numFmtId="3" fontId="8" fillId="3" borderId="1" xfId="2" applyNumberFormat="1" applyFont="1" applyFill="1" applyBorder="1"/>
    <xf numFmtId="0" fontId="8" fillId="2" borderId="1" xfId="2" applyFont="1" applyFill="1" applyBorder="1"/>
    <xf numFmtId="41" fontId="4" fillId="2" borderId="1" xfId="1" applyFont="1" applyFill="1" applyBorder="1" applyAlignment="1"/>
    <xf numFmtId="3" fontId="8" fillId="2" borderId="1" xfId="2" applyNumberFormat="1" applyFont="1" applyFill="1" applyBorder="1"/>
    <xf numFmtId="0" fontId="8" fillId="0" borderId="1" xfId="2" applyFont="1" applyFill="1" applyBorder="1" applyAlignment="1">
      <alignment shrinkToFit="1"/>
    </xf>
    <xf numFmtId="0" fontId="5" fillId="2" borderId="0" xfId="0" applyFont="1" applyFill="1"/>
    <xf numFmtId="4" fontId="5" fillId="2" borderId="0" xfId="0" applyNumberFormat="1" applyFont="1" applyFill="1"/>
    <xf numFmtId="14" fontId="4" fillId="2" borderId="0" xfId="0" applyNumberFormat="1" applyFont="1" applyFill="1"/>
    <xf numFmtId="0" fontId="5" fillId="0" borderId="0" xfId="0" applyFont="1" applyFill="1"/>
    <xf numFmtId="0" fontId="4" fillId="0" borderId="0" xfId="0" quotePrefix="1" applyFont="1" applyFill="1"/>
    <xf numFmtId="4" fontId="5" fillId="0" borderId="0" xfId="0" applyNumberFormat="1" applyFont="1" applyFill="1"/>
    <xf numFmtId="3" fontId="5" fillId="0" borderId="0" xfId="0" applyNumberFormat="1" applyFont="1" applyFill="1"/>
  </cellXfs>
  <cellStyles count="3">
    <cellStyle name="쉼표 [0]" xfId="1" builtinId="6"/>
    <cellStyle name="표준" xfId="0" builtinId="0"/>
    <cellStyle name="표준 2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1323975</xdr:colOff>
          <xdr:row>0</xdr:row>
          <xdr:rowOff>0</xdr:rowOff>
        </xdr:from>
        <xdr:to>
          <xdr:col>7</xdr:col>
          <xdr:colOff>2505075</xdr:colOff>
          <xdr:row>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9" connectionId="4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ecode"/>
      <queryTableField id="3" name="ename"/>
      <queryTableField id="4" name="class1"/>
      <queryTableField id="5" name="tname"/>
      <queryTableField id="6" name="class2"/>
      <queryTableField id="7" name="area"/>
      <queryTableField id="8" name="remark"/>
    </queryTableFields>
  </queryTableRefresh>
</queryTable>
</file>

<file path=xl/queryTables/queryTable2.xml><?xml version="1.0" encoding="utf-8"?>
<queryTable xmlns="http://schemas.openxmlformats.org/spreadsheetml/2006/main" name="JWLee_8" connectionId="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ecode"/>
      <queryTableField id="3" name="ename"/>
      <queryTableField id="4" name="class1"/>
      <queryTableField id="5" name="tname"/>
      <queryTableField id="6" name="class2"/>
      <queryTableField id="7" name="area"/>
      <queryTableField id="8" name="remark"/>
    </queryTableFields>
  </queryTableRefresh>
</queryTable>
</file>

<file path=xl/queryTables/queryTable3.xml><?xml version="1.0" encoding="utf-8"?>
<queryTable xmlns="http://schemas.openxmlformats.org/spreadsheetml/2006/main" name="JWLee_7" connectionId="2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ecode"/>
      <queryTableField id="3" name="ename"/>
      <queryTableField id="4" name="class1"/>
      <queryTableField id="5" name="tname"/>
      <queryTableField id="6" name="class2"/>
      <queryTableField id="7" name="area"/>
      <queryTableField id="8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ID"/>
      <queryTableField id="2" name="ecode"/>
      <queryTableField id="3" name="ename"/>
      <queryTableField id="4" name="class1"/>
      <queryTableField id="5" name="tname"/>
      <queryTableField id="6" name="class2"/>
      <queryTableField id="7" name="area"/>
      <queryTableField id="8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27"/>
  <sheetViews>
    <sheetView showGridLines="0" workbookViewId="0">
      <selection activeCell="D2" sqref="D2"/>
    </sheetView>
  </sheetViews>
  <sheetFormatPr defaultRowHeight="13.5" x14ac:dyDescent="0.25"/>
  <cols>
    <col min="1" max="1" width="5.25" style="2" bestFit="1" customWidth="1"/>
    <col min="2" max="2" width="8.5" style="2" customWidth="1"/>
    <col min="3" max="3" width="8.625" style="2" bestFit="1" customWidth="1"/>
    <col min="4" max="4" width="8.125" style="2" bestFit="1" customWidth="1"/>
    <col min="5" max="5" width="9.625" style="2" bestFit="1" customWidth="1"/>
    <col min="6" max="6" width="8.125" style="2" bestFit="1" customWidth="1"/>
    <col min="7" max="7" width="6.75" style="2" bestFit="1" customWidth="1"/>
    <col min="8" max="8" width="38.5" style="2" bestFit="1" customWidth="1"/>
    <col min="9" max="16384" width="9" style="2"/>
  </cols>
  <sheetData>
    <row r="1" spans="1:8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124</v>
      </c>
      <c r="F1" s="1" t="s">
        <v>125</v>
      </c>
      <c r="G1" s="1" t="s">
        <v>126</v>
      </c>
      <c r="H1" s="1" t="s">
        <v>5</v>
      </c>
    </row>
    <row r="2" spans="1:8" x14ac:dyDescent="0.25">
      <c r="A2" s="2">
        <v>1</v>
      </c>
      <c r="B2" s="2">
        <v>20201001</v>
      </c>
      <c r="C2" s="2" t="s">
        <v>55</v>
      </c>
      <c r="D2" s="2" t="s">
        <v>15</v>
      </c>
      <c r="E2" s="2" t="s">
        <v>127</v>
      </c>
      <c r="F2" s="2" t="s">
        <v>128</v>
      </c>
      <c r="G2" s="2" t="s">
        <v>129</v>
      </c>
      <c r="H2" s="2" t="s">
        <v>54</v>
      </c>
    </row>
    <row r="3" spans="1:8" x14ac:dyDescent="0.25">
      <c r="A3" s="2">
        <v>2</v>
      </c>
      <c r="B3" s="2">
        <v>20201002</v>
      </c>
      <c r="C3" s="2" t="s">
        <v>20</v>
      </c>
      <c r="D3" s="2" t="s">
        <v>15</v>
      </c>
      <c r="E3" s="2" t="s">
        <v>127</v>
      </c>
      <c r="F3" s="2" t="s">
        <v>128</v>
      </c>
      <c r="G3" s="2" t="s">
        <v>129</v>
      </c>
      <c r="H3" s="2" t="s">
        <v>54</v>
      </c>
    </row>
    <row r="4" spans="1:8" x14ac:dyDescent="0.25">
      <c r="A4" s="2">
        <v>3</v>
      </c>
      <c r="B4" s="2">
        <v>20401002</v>
      </c>
      <c r="C4" s="2" t="s">
        <v>91</v>
      </c>
      <c r="D4" s="2" t="s">
        <v>15</v>
      </c>
      <c r="E4" s="2" t="s">
        <v>127</v>
      </c>
      <c r="F4" s="2" t="s">
        <v>128</v>
      </c>
      <c r="G4" s="2" t="s">
        <v>130</v>
      </c>
      <c r="H4" s="2" t="s">
        <v>54</v>
      </c>
    </row>
    <row r="5" spans="1:8" x14ac:dyDescent="0.25">
      <c r="A5" s="2">
        <v>4</v>
      </c>
      <c r="B5" s="2">
        <v>20201085</v>
      </c>
      <c r="C5" s="2" t="s">
        <v>45</v>
      </c>
      <c r="D5" s="2" t="s">
        <v>15</v>
      </c>
      <c r="E5" s="2" t="s">
        <v>127</v>
      </c>
      <c r="F5" s="2" t="s">
        <v>131</v>
      </c>
      <c r="G5" s="2" t="s">
        <v>129</v>
      </c>
      <c r="H5" s="2" t="s">
        <v>54</v>
      </c>
    </row>
    <row r="6" spans="1:8" x14ac:dyDescent="0.25">
      <c r="A6" s="2">
        <v>5</v>
      </c>
      <c r="B6" s="2">
        <v>20201086</v>
      </c>
      <c r="C6" s="2" t="s">
        <v>39</v>
      </c>
      <c r="D6" s="2" t="s">
        <v>15</v>
      </c>
      <c r="E6" s="2" t="s">
        <v>127</v>
      </c>
      <c r="F6" s="2" t="s">
        <v>131</v>
      </c>
      <c r="G6" s="2" t="s">
        <v>129</v>
      </c>
      <c r="H6" s="2" t="s">
        <v>54</v>
      </c>
    </row>
    <row r="7" spans="1:8" x14ac:dyDescent="0.25">
      <c r="A7" s="2">
        <v>6</v>
      </c>
      <c r="B7" s="2">
        <v>20201004</v>
      </c>
      <c r="C7" s="2" t="s">
        <v>41</v>
      </c>
      <c r="D7" s="2" t="s">
        <v>15</v>
      </c>
      <c r="E7" s="2" t="s">
        <v>127</v>
      </c>
      <c r="F7" s="2" t="s">
        <v>128</v>
      </c>
      <c r="G7" s="2" t="s">
        <v>129</v>
      </c>
      <c r="H7" s="2" t="s">
        <v>54</v>
      </c>
    </row>
    <row r="8" spans="1:8" x14ac:dyDescent="0.25">
      <c r="A8" s="2">
        <v>7</v>
      </c>
      <c r="B8" s="2">
        <v>20201005</v>
      </c>
      <c r="C8" s="2" t="s">
        <v>87</v>
      </c>
      <c r="D8" s="2" t="s">
        <v>15</v>
      </c>
      <c r="E8" s="2" t="s">
        <v>127</v>
      </c>
      <c r="F8" s="2" t="s">
        <v>128</v>
      </c>
      <c r="G8" s="2" t="s">
        <v>129</v>
      </c>
      <c r="H8" s="2" t="s">
        <v>54</v>
      </c>
    </row>
    <row r="9" spans="1:8" x14ac:dyDescent="0.25">
      <c r="A9" s="2">
        <v>8</v>
      </c>
      <c r="B9" s="2">
        <v>20201007</v>
      </c>
      <c r="C9" s="2" t="s">
        <v>33</v>
      </c>
      <c r="D9" s="2" t="s">
        <v>15</v>
      </c>
      <c r="E9" s="2" t="s">
        <v>127</v>
      </c>
      <c r="F9" s="2" t="s">
        <v>128</v>
      </c>
      <c r="G9" s="2" t="s">
        <v>129</v>
      </c>
      <c r="H9" s="2" t="s">
        <v>54</v>
      </c>
    </row>
    <row r="10" spans="1:8" x14ac:dyDescent="0.25">
      <c r="A10" s="2">
        <v>9</v>
      </c>
      <c r="B10" s="2">
        <v>20201008</v>
      </c>
      <c r="C10" s="2" t="s">
        <v>28</v>
      </c>
      <c r="D10" s="2" t="s">
        <v>15</v>
      </c>
      <c r="E10" s="2" t="s">
        <v>127</v>
      </c>
      <c r="F10" s="2" t="s">
        <v>128</v>
      </c>
      <c r="G10" s="2" t="s">
        <v>129</v>
      </c>
      <c r="H10" s="2" t="s">
        <v>54</v>
      </c>
    </row>
    <row r="11" spans="1:8" x14ac:dyDescent="0.25">
      <c r="A11" s="2">
        <v>10</v>
      </c>
      <c r="B11" s="2">
        <v>20201009</v>
      </c>
      <c r="C11" s="2" t="s">
        <v>37</v>
      </c>
      <c r="D11" s="2" t="s">
        <v>15</v>
      </c>
      <c r="E11" s="2" t="s">
        <v>127</v>
      </c>
      <c r="F11" s="2" t="s">
        <v>128</v>
      </c>
      <c r="G11" s="2" t="s">
        <v>129</v>
      </c>
      <c r="H11" s="2" t="s">
        <v>54</v>
      </c>
    </row>
    <row r="12" spans="1:8" x14ac:dyDescent="0.25">
      <c r="A12" s="2">
        <v>11</v>
      </c>
      <c r="B12" s="2">
        <v>20201010</v>
      </c>
      <c r="C12" s="2" t="s">
        <v>80</v>
      </c>
      <c r="D12" s="2" t="s">
        <v>15</v>
      </c>
      <c r="E12" s="2" t="s">
        <v>127</v>
      </c>
      <c r="F12" s="2" t="s">
        <v>128</v>
      </c>
      <c r="G12" s="2" t="s">
        <v>129</v>
      </c>
      <c r="H12" s="2" t="s">
        <v>54</v>
      </c>
    </row>
    <row r="13" spans="1:8" x14ac:dyDescent="0.25">
      <c r="A13" s="2">
        <v>12</v>
      </c>
      <c r="B13" s="2">
        <v>20201011</v>
      </c>
      <c r="C13" s="2" t="s">
        <v>69</v>
      </c>
      <c r="D13" s="2" t="s">
        <v>15</v>
      </c>
      <c r="E13" s="2" t="s">
        <v>127</v>
      </c>
      <c r="F13" s="2" t="s">
        <v>128</v>
      </c>
      <c r="G13" s="2" t="s">
        <v>129</v>
      </c>
      <c r="H13" s="2" t="s">
        <v>54</v>
      </c>
    </row>
    <row r="14" spans="1:8" x14ac:dyDescent="0.25">
      <c r="A14" s="2">
        <v>13</v>
      </c>
      <c r="B14" s="2">
        <v>20201012</v>
      </c>
      <c r="C14" s="2" t="s">
        <v>16</v>
      </c>
      <c r="D14" s="2" t="s">
        <v>15</v>
      </c>
      <c r="E14" s="2" t="s">
        <v>127</v>
      </c>
      <c r="F14" s="2" t="s">
        <v>128</v>
      </c>
      <c r="G14" s="2" t="s">
        <v>129</v>
      </c>
      <c r="H14" s="2" t="s">
        <v>54</v>
      </c>
    </row>
    <row r="15" spans="1:8" x14ac:dyDescent="0.25">
      <c r="A15" s="2">
        <v>14</v>
      </c>
      <c r="B15" s="2">
        <v>20201013</v>
      </c>
      <c r="C15" s="2" t="s">
        <v>68</v>
      </c>
      <c r="D15" s="2" t="s">
        <v>15</v>
      </c>
      <c r="E15" s="2" t="s">
        <v>127</v>
      </c>
      <c r="F15" s="2" t="s">
        <v>128</v>
      </c>
      <c r="G15" s="2" t="s">
        <v>129</v>
      </c>
      <c r="H15" s="2" t="s">
        <v>54</v>
      </c>
    </row>
    <row r="16" spans="1:8" x14ac:dyDescent="0.25">
      <c r="A16" s="2">
        <v>15</v>
      </c>
      <c r="B16" s="2">
        <v>20201014</v>
      </c>
      <c r="C16" s="2" t="s">
        <v>21</v>
      </c>
      <c r="D16" s="2" t="s">
        <v>15</v>
      </c>
      <c r="E16" s="2" t="s">
        <v>127</v>
      </c>
      <c r="F16" s="2" t="s">
        <v>128</v>
      </c>
      <c r="G16" s="2" t="s">
        <v>129</v>
      </c>
      <c r="H16" s="2" t="s">
        <v>54</v>
      </c>
    </row>
    <row r="17" spans="1:8" x14ac:dyDescent="0.25">
      <c r="A17" s="2">
        <v>16</v>
      </c>
      <c r="B17" s="2">
        <v>20201015</v>
      </c>
      <c r="C17" s="2" t="s">
        <v>32</v>
      </c>
      <c r="D17" s="2" t="s">
        <v>15</v>
      </c>
      <c r="E17" s="2" t="s">
        <v>127</v>
      </c>
      <c r="F17" s="2" t="s">
        <v>128</v>
      </c>
      <c r="G17" s="2" t="s">
        <v>129</v>
      </c>
      <c r="H17" s="2" t="s">
        <v>54</v>
      </c>
    </row>
    <row r="18" spans="1:8" x14ac:dyDescent="0.25">
      <c r="A18" s="2">
        <v>17</v>
      </c>
      <c r="B18" s="2">
        <v>20201016</v>
      </c>
      <c r="C18" s="2" t="s">
        <v>73</v>
      </c>
      <c r="D18" s="2" t="s">
        <v>15</v>
      </c>
      <c r="E18" s="2" t="s">
        <v>127</v>
      </c>
      <c r="F18" s="2" t="s">
        <v>128</v>
      </c>
      <c r="G18" s="2" t="s">
        <v>129</v>
      </c>
      <c r="H18" s="2" t="s">
        <v>54</v>
      </c>
    </row>
    <row r="19" spans="1:8" x14ac:dyDescent="0.25">
      <c r="A19" s="2">
        <v>18</v>
      </c>
      <c r="B19" s="2">
        <v>20201087</v>
      </c>
      <c r="C19" s="2" t="s">
        <v>59</v>
      </c>
      <c r="D19" s="2" t="s">
        <v>15</v>
      </c>
      <c r="E19" s="2" t="s">
        <v>127</v>
      </c>
      <c r="F19" s="2" t="s">
        <v>131</v>
      </c>
      <c r="G19" s="2" t="s">
        <v>129</v>
      </c>
      <c r="H19" s="2" t="s">
        <v>54</v>
      </c>
    </row>
    <row r="20" spans="1:8" x14ac:dyDescent="0.25">
      <c r="A20" s="2">
        <v>19</v>
      </c>
      <c r="B20" s="2">
        <v>20201017</v>
      </c>
      <c r="C20" s="2" t="s">
        <v>62</v>
      </c>
      <c r="D20" s="2" t="s">
        <v>15</v>
      </c>
      <c r="E20" s="2" t="s">
        <v>127</v>
      </c>
      <c r="F20" s="2" t="s">
        <v>128</v>
      </c>
      <c r="G20" s="2" t="s">
        <v>129</v>
      </c>
      <c r="H20" s="2" t="s">
        <v>54</v>
      </c>
    </row>
    <row r="21" spans="1:8" x14ac:dyDescent="0.25">
      <c r="A21" s="2">
        <v>20</v>
      </c>
      <c r="B21" s="2">
        <v>20201018</v>
      </c>
      <c r="C21" s="2" t="s">
        <v>51</v>
      </c>
      <c r="D21" s="2" t="s">
        <v>15</v>
      </c>
      <c r="E21" s="2" t="s">
        <v>127</v>
      </c>
      <c r="F21" s="2" t="s">
        <v>128</v>
      </c>
      <c r="G21" s="2" t="s">
        <v>129</v>
      </c>
      <c r="H21" s="2" t="s">
        <v>54</v>
      </c>
    </row>
    <row r="22" spans="1:8" x14ac:dyDescent="0.25">
      <c r="A22" s="2">
        <v>21</v>
      </c>
      <c r="B22" s="2">
        <v>20201019</v>
      </c>
      <c r="C22" s="2" t="s">
        <v>43</v>
      </c>
      <c r="D22" s="2" t="s">
        <v>15</v>
      </c>
      <c r="E22" s="2" t="s">
        <v>127</v>
      </c>
      <c r="F22" s="2" t="s">
        <v>131</v>
      </c>
      <c r="G22" s="2" t="s">
        <v>129</v>
      </c>
      <c r="H22" s="2" t="s">
        <v>54</v>
      </c>
    </row>
    <row r="23" spans="1:8" x14ac:dyDescent="0.25">
      <c r="A23" s="2">
        <v>22</v>
      </c>
      <c r="B23" s="2">
        <v>20201020</v>
      </c>
      <c r="C23" s="2" t="s">
        <v>81</v>
      </c>
      <c r="D23" s="2" t="s">
        <v>15</v>
      </c>
      <c r="E23" s="2" t="s">
        <v>127</v>
      </c>
      <c r="F23" s="2" t="s">
        <v>128</v>
      </c>
      <c r="G23" s="2" t="s">
        <v>129</v>
      </c>
      <c r="H23" s="2" t="s">
        <v>54</v>
      </c>
    </row>
    <row r="24" spans="1:8" x14ac:dyDescent="0.25">
      <c r="A24" s="2">
        <v>23</v>
      </c>
      <c r="B24" s="2">
        <v>20201021</v>
      </c>
      <c r="C24" s="2" t="s">
        <v>75</v>
      </c>
      <c r="D24" s="2" t="s">
        <v>15</v>
      </c>
      <c r="E24" s="2" t="s">
        <v>127</v>
      </c>
      <c r="F24" s="2" t="s">
        <v>128</v>
      </c>
      <c r="G24" s="2" t="s">
        <v>129</v>
      </c>
      <c r="H24" s="2" t="s">
        <v>54</v>
      </c>
    </row>
    <row r="25" spans="1:8" x14ac:dyDescent="0.25">
      <c r="A25" s="2">
        <v>24</v>
      </c>
      <c r="B25" s="2">
        <v>20201084</v>
      </c>
      <c r="C25" s="2" t="s">
        <v>30</v>
      </c>
      <c r="D25" s="2" t="s">
        <v>15</v>
      </c>
      <c r="E25" s="2" t="s">
        <v>127</v>
      </c>
      <c r="F25" s="2" t="s">
        <v>128</v>
      </c>
      <c r="G25" s="2" t="s">
        <v>129</v>
      </c>
      <c r="H25" s="2" t="s">
        <v>54</v>
      </c>
    </row>
    <row r="26" spans="1:8" x14ac:dyDescent="0.25">
      <c r="A26" s="2">
        <v>25</v>
      </c>
      <c r="B26" s="2">
        <v>20201023</v>
      </c>
      <c r="C26" s="2" t="s">
        <v>70</v>
      </c>
      <c r="D26" s="2" t="s">
        <v>15</v>
      </c>
      <c r="E26" s="2" t="s">
        <v>127</v>
      </c>
      <c r="F26" s="2" t="s">
        <v>128</v>
      </c>
      <c r="G26" s="2" t="s">
        <v>129</v>
      </c>
      <c r="H26" s="2" t="s">
        <v>54</v>
      </c>
    </row>
    <row r="27" spans="1:8" x14ac:dyDescent="0.25">
      <c r="A27" s="2">
        <v>26</v>
      </c>
      <c r="B27" s="2">
        <v>20401005</v>
      </c>
      <c r="C27" s="2" t="s">
        <v>9</v>
      </c>
      <c r="D27" s="2" t="s">
        <v>10</v>
      </c>
      <c r="E27" s="2" t="s">
        <v>132</v>
      </c>
      <c r="F27" s="2" t="s">
        <v>128</v>
      </c>
      <c r="G27" s="2" t="s">
        <v>129</v>
      </c>
      <c r="H27" s="2" t="s">
        <v>54</v>
      </c>
    </row>
    <row r="28" spans="1:8" x14ac:dyDescent="0.25">
      <c r="A28" s="2">
        <v>27</v>
      </c>
      <c r="B28" s="2">
        <v>20401006</v>
      </c>
      <c r="C28" s="2" t="s">
        <v>11</v>
      </c>
      <c r="D28" s="2" t="s">
        <v>10</v>
      </c>
      <c r="E28" s="2" t="s">
        <v>132</v>
      </c>
      <c r="F28" s="2" t="s">
        <v>128</v>
      </c>
      <c r="G28" s="2" t="s">
        <v>129</v>
      </c>
      <c r="H28" s="2" t="s">
        <v>54</v>
      </c>
    </row>
    <row r="29" spans="1:8" x14ac:dyDescent="0.25">
      <c r="A29" s="2">
        <v>28</v>
      </c>
      <c r="B29" s="2">
        <v>20401009</v>
      </c>
      <c r="C29" s="2" t="s">
        <v>133</v>
      </c>
      <c r="D29" s="2" t="s">
        <v>10</v>
      </c>
      <c r="E29" s="2" t="s">
        <v>132</v>
      </c>
      <c r="F29" s="2" t="s">
        <v>131</v>
      </c>
      <c r="G29" s="2" t="s">
        <v>129</v>
      </c>
      <c r="H29" s="2" t="s">
        <v>54</v>
      </c>
    </row>
    <row r="30" spans="1:8" x14ac:dyDescent="0.25">
      <c r="A30" s="2">
        <v>29</v>
      </c>
      <c r="B30" s="2">
        <v>20201026</v>
      </c>
      <c r="C30" s="2" t="s">
        <v>72</v>
      </c>
      <c r="D30" s="2" t="s">
        <v>15</v>
      </c>
      <c r="E30" s="2" t="s">
        <v>127</v>
      </c>
      <c r="F30" s="2" t="s">
        <v>128</v>
      </c>
      <c r="G30" s="2" t="s">
        <v>129</v>
      </c>
      <c r="H30" s="2" t="s">
        <v>54</v>
      </c>
    </row>
    <row r="31" spans="1:8" x14ac:dyDescent="0.25">
      <c r="A31" s="2">
        <v>30</v>
      </c>
      <c r="B31" s="2">
        <v>20201027</v>
      </c>
      <c r="C31" s="2" t="s">
        <v>86</v>
      </c>
      <c r="D31" s="2" t="s">
        <v>15</v>
      </c>
      <c r="E31" s="2" t="s">
        <v>127</v>
      </c>
      <c r="F31" s="2" t="s">
        <v>128</v>
      </c>
      <c r="G31" s="2" t="s">
        <v>129</v>
      </c>
      <c r="H31" s="2" t="s">
        <v>54</v>
      </c>
    </row>
    <row r="32" spans="1:8" x14ac:dyDescent="0.25">
      <c r="A32" s="2">
        <v>31</v>
      </c>
      <c r="B32" s="2">
        <v>20201029</v>
      </c>
      <c r="C32" s="2" t="s">
        <v>38</v>
      </c>
      <c r="D32" s="2" t="s">
        <v>15</v>
      </c>
      <c r="E32" s="2" t="s">
        <v>127</v>
      </c>
      <c r="F32" s="2" t="s">
        <v>128</v>
      </c>
      <c r="G32" s="2" t="s">
        <v>129</v>
      </c>
      <c r="H32" s="2" t="s">
        <v>54</v>
      </c>
    </row>
    <row r="33" spans="1:8" x14ac:dyDescent="0.25">
      <c r="A33" s="2">
        <v>32</v>
      </c>
      <c r="B33" s="2">
        <v>20201030</v>
      </c>
      <c r="C33" s="2" t="s">
        <v>57</v>
      </c>
      <c r="D33" s="2" t="s">
        <v>15</v>
      </c>
      <c r="E33" s="2" t="s">
        <v>127</v>
      </c>
      <c r="F33" s="2" t="s">
        <v>128</v>
      </c>
      <c r="G33" s="2" t="s">
        <v>129</v>
      </c>
      <c r="H33" s="2" t="s">
        <v>54</v>
      </c>
    </row>
    <row r="34" spans="1:8" x14ac:dyDescent="0.25">
      <c r="A34" s="2">
        <v>33</v>
      </c>
      <c r="B34" s="2">
        <v>20201031</v>
      </c>
      <c r="C34" s="2" t="s">
        <v>46</v>
      </c>
      <c r="D34" s="2" t="s">
        <v>15</v>
      </c>
      <c r="E34" s="2" t="s">
        <v>127</v>
      </c>
      <c r="F34" s="2" t="s">
        <v>128</v>
      </c>
      <c r="G34" s="2" t="s">
        <v>129</v>
      </c>
      <c r="H34" s="2" t="s">
        <v>54</v>
      </c>
    </row>
    <row r="35" spans="1:8" x14ac:dyDescent="0.25">
      <c r="A35" s="2">
        <v>34</v>
      </c>
      <c r="B35" s="2">
        <v>20201032</v>
      </c>
      <c r="C35" s="2" t="s">
        <v>60</v>
      </c>
      <c r="D35" s="2" t="s">
        <v>15</v>
      </c>
      <c r="E35" s="2" t="s">
        <v>127</v>
      </c>
      <c r="F35" s="2" t="s">
        <v>128</v>
      </c>
      <c r="G35" s="2" t="s">
        <v>129</v>
      </c>
      <c r="H35" s="2" t="s">
        <v>54</v>
      </c>
    </row>
    <row r="36" spans="1:8" x14ac:dyDescent="0.25">
      <c r="A36" s="2">
        <v>35</v>
      </c>
      <c r="B36" s="2">
        <v>20201033</v>
      </c>
      <c r="C36" s="2" t="s">
        <v>47</v>
      </c>
      <c r="D36" s="2" t="s">
        <v>15</v>
      </c>
      <c r="E36" s="2" t="s">
        <v>127</v>
      </c>
      <c r="F36" s="2" t="s">
        <v>128</v>
      </c>
      <c r="G36" s="2" t="s">
        <v>129</v>
      </c>
      <c r="H36" s="2" t="s">
        <v>54</v>
      </c>
    </row>
    <row r="37" spans="1:8" x14ac:dyDescent="0.25">
      <c r="A37" s="2">
        <v>36</v>
      </c>
      <c r="B37" s="2">
        <v>20201034</v>
      </c>
      <c r="C37" s="2" t="s">
        <v>19</v>
      </c>
      <c r="D37" s="2" t="s">
        <v>15</v>
      </c>
      <c r="E37" s="2" t="s">
        <v>127</v>
      </c>
      <c r="F37" s="2" t="s">
        <v>128</v>
      </c>
      <c r="G37" s="2" t="s">
        <v>129</v>
      </c>
      <c r="H37" s="2" t="s">
        <v>54</v>
      </c>
    </row>
    <row r="38" spans="1:8" x14ac:dyDescent="0.25">
      <c r="A38" s="2">
        <v>37</v>
      </c>
      <c r="B38" s="2">
        <v>20201035</v>
      </c>
      <c r="C38" s="2" t="s">
        <v>77</v>
      </c>
      <c r="D38" s="2" t="s">
        <v>15</v>
      </c>
      <c r="E38" s="2" t="s">
        <v>127</v>
      </c>
      <c r="F38" s="2" t="s">
        <v>128</v>
      </c>
      <c r="G38" s="2" t="s">
        <v>129</v>
      </c>
      <c r="H38" s="2" t="s">
        <v>54</v>
      </c>
    </row>
    <row r="39" spans="1:8" x14ac:dyDescent="0.25">
      <c r="A39" s="2">
        <v>38</v>
      </c>
      <c r="B39" s="2">
        <v>20201036</v>
      </c>
      <c r="C39" s="2" t="s">
        <v>90</v>
      </c>
      <c r="D39" s="2" t="s">
        <v>15</v>
      </c>
      <c r="E39" s="2" t="s">
        <v>127</v>
      </c>
      <c r="F39" s="2" t="s">
        <v>128</v>
      </c>
      <c r="G39" s="2" t="s">
        <v>129</v>
      </c>
      <c r="H39" s="2" t="s">
        <v>54</v>
      </c>
    </row>
    <row r="40" spans="1:8" x14ac:dyDescent="0.25">
      <c r="A40" s="2">
        <v>39</v>
      </c>
      <c r="B40" s="2">
        <v>20401001</v>
      </c>
      <c r="C40" s="2" t="s">
        <v>12</v>
      </c>
      <c r="D40" s="2" t="s">
        <v>13</v>
      </c>
      <c r="E40" s="2" t="s">
        <v>134</v>
      </c>
      <c r="F40" s="2" t="s">
        <v>128</v>
      </c>
      <c r="G40" s="2" t="s">
        <v>129</v>
      </c>
      <c r="H40" s="2" t="s">
        <v>135</v>
      </c>
    </row>
    <row r="41" spans="1:8" x14ac:dyDescent="0.25">
      <c r="A41" s="2">
        <v>40</v>
      </c>
      <c r="B41" s="2">
        <v>20201037</v>
      </c>
      <c r="C41" s="2" t="s">
        <v>29</v>
      </c>
      <c r="D41" s="2" t="s">
        <v>15</v>
      </c>
      <c r="E41" s="2" t="s">
        <v>127</v>
      </c>
      <c r="F41" s="2" t="s">
        <v>128</v>
      </c>
      <c r="G41" s="2" t="s">
        <v>129</v>
      </c>
      <c r="H41" s="2" t="s">
        <v>54</v>
      </c>
    </row>
    <row r="42" spans="1:8" x14ac:dyDescent="0.25">
      <c r="A42" s="2">
        <v>41</v>
      </c>
      <c r="B42" s="2">
        <v>20201088</v>
      </c>
      <c r="C42" s="2" t="s">
        <v>53</v>
      </c>
      <c r="D42" s="2" t="s">
        <v>15</v>
      </c>
      <c r="E42" s="2" t="s">
        <v>127</v>
      </c>
      <c r="F42" s="2" t="s">
        <v>131</v>
      </c>
      <c r="G42" s="2" t="s">
        <v>129</v>
      </c>
      <c r="H42" s="2" t="s">
        <v>54</v>
      </c>
    </row>
    <row r="43" spans="1:8" x14ac:dyDescent="0.25">
      <c r="A43" s="2">
        <v>42</v>
      </c>
      <c r="B43" s="2">
        <v>20201038</v>
      </c>
      <c r="C43" s="2" t="s">
        <v>27</v>
      </c>
      <c r="D43" s="2" t="s">
        <v>15</v>
      </c>
      <c r="E43" s="2" t="s">
        <v>127</v>
      </c>
      <c r="F43" s="2" t="s">
        <v>128</v>
      </c>
      <c r="G43" s="2" t="s">
        <v>129</v>
      </c>
      <c r="H43" s="2" t="s">
        <v>54</v>
      </c>
    </row>
    <row r="44" spans="1:8" x14ac:dyDescent="0.25">
      <c r="A44" s="2">
        <v>43</v>
      </c>
      <c r="B44" s="2">
        <v>20201042</v>
      </c>
      <c r="C44" s="2" t="s">
        <v>17</v>
      </c>
      <c r="D44" s="2" t="s">
        <v>15</v>
      </c>
      <c r="E44" s="2" t="s">
        <v>127</v>
      </c>
      <c r="F44" s="2" t="s">
        <v>128</v>
      </c>
      <c r="G44" s="2" t="s">
        <v>129</v>
      </c>
      <c r="H44" s="2" t="s">
        <v>54</v>
      </c>
    </row>
    <row r="45" spans="1:8" x14ac:dyDescent="0.25">
      <c r="A45" s="2">
        <v>44</v>
      </c>
      <c r="B45" s="2">
        <v>20201043</v>
      </c>
      <c r="C45" s="2" t="s">
        <v>40</v>
      </c>
      <c r="D45" s="2" t="s">
        <v>15</v>
      </c>
      <c r="E45" s="2" t="s">
        <v>127</v>
      </c>
      <c r="F45" s="2" t="s">
        <v>131</v>
      </c>
      <c r="G45" s="2" t="s">
        <v>129</v>
      </c>
      <c r="H45" s="2" t="s">
        <v>54</v>
      </c>
    </row>
    <row r="46" spans="1:8" x14ac:dyDescent="0.25">
      <c r="A46" s="2">
        <v>45</v>
      </c>
      <c r="B46" s="2">
        <v>20201044</v>
      </c>
      <c r="C46" s="2" t="s">
        <v>31</v>
      </c>
      <c r="D46" s="2" t="s">
        <v>15</v>
      </c>
      <c r="E46" s="2" t="s">
        <v>127</v>
      </c>
      <c r="F46" s="2" t="s">
        <v>131</v>
      </c>
      <c r="G46" s="2" t="s">
        <v>129</v>
      </c>
      <c r="H46" s="2" t="s">
        <v>54</v>
      </c>
    </row>
    <row r="47" spans="1:8" x14ac:dyDescent="0.25">
      <c r="A47" s="2">
        <v>46</v>
      </c>
      <c r="B47" s="2">
        <v>20201046</v>
      </c>
      <c r="C47" s="2" t="s">
        <v>83</v>
      </c>
      <c r="D47" s="2" t="s">
        <v>15</v>
      </c>
      <c r="E47" s="2" t="s">
        <v>127</v>
      </c>
      <c r="F47" s="2" t="s">
        <v>128</v>
      </c>
      <c r="G47" s="2" t="s">
        <v>129</v>
      </c>
      <c r="H47" s="2" t="s">
        <v>54</v>
      </c>
    </row>
    <row r="48" spans="1:8" x14ac:dyDescent="0.25">
      <c r="A48" s="2">
        <v>47</v>
      </c>
      <c r="B48" s="2">
        <v>20201047</v>
      </c>
      <c r="C48" s="2" t="s">
        <v>85</v>
      </c>
      <c r="D48" s="2" t="s">
        <v>15</v>
      </c>
      <c r="E48" s="2" t="s">
        <v>127</v>
      </c>
      <c r="F48" s="2" t="s">
        <v>128</v>
      </c>
      <c r="G48" s="2" t="s">
        <v>129</v>
      </c>
      <c r="H48" s="2" t="s">
        <v>54</v>
      </c>
    </row>
    <row r="49" spans="1:8" x14ac:dyDescent="0.25">
      <c r="A49" s="2">
        <v>48</v>
      </c>
      <c r="B49" s="2">
        <v>20201048</v>
      </c>
      <c r="C49" s="2" t="s">
        <v>63</v>
      </c>
      <c r="D49" s="2" t="s">
        <v>15</v>
      </c>
      <c r="E49" s="2" t="s">
        <v>127</v>
      </c>
      <c r="F49" s="2" t="s">
        <v>131</v>
      </c>
      <c r="G49" s="2" t="s">
        <v>129</v>
      </c>
      <c r="H49" s="2" t="s">
        <v>54</v>
      </c>
    </row>
    <row r="50" spans="1:8" x14ac:dyDescent="0.25">
      <c r="A50" s="2">
        <v>49</v>
      </c>
      <c r="B50" s="2">
        <v>20201049</v>
      </c>
      <c r="C50" s="2" t="s">
        <v>67</v>
      </c>
      <c r="D50" s="2" t="s">
        <v>15</v>
      </c>
      <c r="E50" s="2" t="s">
        <v>127</v>
      </c>
      <c r="F50" s="2" t="s">
        <v>128</v>
      </c>
      <c r="G50" s="2" t="s">
        <v>129</v>
      </c>
      <c r="H50" s="2" t="s">
        <v>54</v>
      </c>
    </row>
    <row r="51" spans="1:8" x14ac:dyDescent="0.25">
      <c r="A51" s="2">
        <v>50</v>
      </c>
      <c r="B51" s="2">
        <v>20201050</v>
      </c>
      <c r="C51" s="2" t="s">
        <v>79</v>
      </c>
      <c r="D51" s="2" t="s">
        <v>15</v>
      </c>
      <c r="E51" s="2" t="s">
        <v>127</v>
      </c>
      <c r="F51" s="2" t="s">
        <v>128</v>
      </c>
      <c r="G51" s="2" t="s">
        <v>129</v>
      </c>
      <c r="H51" s="2" t="s">
        <v>54</v>
      </c>
    </row>
    <row r="52" spans="1:8" x14ac:dyDescent="0.25">
      <c r="A52" s="2">
        <v>51</v>
      </c>
      <c r="B52" s="2">
        <v>20201052</v>
      </c>
      <c r="C52" s="2" t="s">
        <v>48</v>
      </c>
      <c r="D52" s="2" t="s">
        <v>15</v>
      </c>
      <c r="E52" s="2" t="s">
        <v>127</v>
      </c>
      <c r="F52" s="2" t="s">
        <v>128</v>
      </c>
      <c r="G52" s="2" t="s">
        <v>129</v>
      </c>
      <c r="H52" s="2" t="s">
        <v>54</v>
      </c>
    </row>
    <row r="53" spans="1:8" x14ac:dyDescent="0.25">
      <c r="A53" s="2">
        <v>52</v>
      </c>
      <c r="B53" s="2">
        <v>20201089</v>
      </c>
      <c r="C53" s="2" t="s">
        <v>56</v>
      </c>
      <c r="D53" s="2" t="s">
        <v>15</v>
      </c>
      <c r="E53" s="2" t="s">
        <v>127</v>
      </c>
      <c r="F53" s="2" t="s">
        <v>131</v>
      </c>
      <c r="G53" s="2" t="s">
        <v>129</v>
      </c>
      <c r="H53" s="2" t="s">
        <v>54</v>
      </c>
    </row>
    <row r="54" spans="1:8" x14ac:dyDescent="0.25">
      <c r="A54" s="2">
        <v>53</v>
      </c>
      <c r="B54" s="2">
        <v>20201054</v>
      </c>
      <c r="C54" s="2" t="s">
        <v>36</v>
      </c>
      <c r="D54" s="2" t="s">
        <v>15</v>
      </c>
      <c r="E54" s="2" t="s">
        <v>127</v>
      </c>
      <c r="F54" s="2" t="s">
        <v>131</v>
      </c>
      <c r="G54" s="2" t="s">
        <v>129</v>
      </c>
      <c r="H54" s="2" t="s">
        <v>54</v>
      </c>
    </row>
    <row r="55" spans="1:8" x14ac:dyDescent="0.25">
      <c r="A55" s="2">
        <v>54</v>
      </c>
      <c r="B55" s="2">
        <v>20201055</v>
      </c>
      <c r="C55" s="2" t="s">
        <v>71</v>
      </c>
      <c r="D55" s="2" t="s">
        <v>15</v>
      </c>
      <c r="E55" s="2" t="s">
        <v>127</v>
      </c>
      <c r="F55" s="2" t="s">
        <v>128</v>
      </c>
      <c r="G55" s="2" t="s">
        <v>129</v>
      </c>
      <c r="H55" s="2" t="s">
        <v>54</v>
      </c>
    </row>
    <row r="56" spans="1:8" x14ac:dyDescent="0.25">
      <c r="A56" s="2">
        <v>55</v>
      </c>
      <c r="B56" s="2">
        <v>20201056</v>
      </c>
      <c r="C56" s="2" t="s">
        <v>58</v>
      </c>
      <c r="D56" s="2" t="s">
        <v>15</v>
      </c>
      <c r="E56" s="2" t="s">
        <v>127</v>
      </c>
      <c r="F56" s="2" t="s">
        <v>128</v>
      </c>
      <c r="G56" s="2" t="s">
        <v>129</v>
      </c>
      <c r="H56" s="2" t="s">
        <v>54</v>
      </c>
    </row>
    <row r="57" spans="1:8" x14ac:dyDescent="0.25">
      <c r="A57" s="2">
        <v>56</v>
      </c>
      <c r="B57" s="2">
        <v>20401003</v>
      </c>
      <c r="C57" s="2" t="s">
        <v>65</v>
      </c>
      <c r="D57" s="2" t="s">
        <v>15</v>
      </c>
      <c r="E57" s="2" t="s">
        <v>127</v>
      </c>
      <c r="F57" s="2" t="s">
        <v>128</v>
      </c>
      <c r="G57" s="2" t="s">
        <v>130</v>
      </c>
      <c r="H57" s="2" t="s">
        <v>54</v>
      </c>
    </row>
    <row r="58" spans="1:8" x14ac:dyDescent="0.25">
      <c r="A58" s="2">
        <v>57</v>
      </c>
      <c r="B58" s="2">
        <v>20201057</v>
      </c>
      <c r="C58" s="2" t="s">
        <v>14</v>
      </c>
      <c r="D58" s="2" t="s">
        <v>15</v>
      </c>
      <c r="E58" s="2" t="s">
        <v>127</v>
      </c>
      <c r="F58" s="2" t="s">
        <v>131</v>
      </c>
      <c r="G58" s="2" t="s">
        <v>129</v>
      </c>
      <c r="H58" s="2" t="s">
        <v>54</v>
      </c>
    </row>
    <row r="59" spans="1:8" x14ac:dyDescent="0.25">
      <c r="A59" s="2">
        <v>58</v>
      </c>
      <c r="B59" s="2">
        <v>20201058</v>
      </c>
      <c r="C59" s="2" t="s">
        <v>78</v>
      </c>
      <c r="D59" s="2" t="s">
        <v>15</v>
      </c>
      <c r="E59" s="2" t="s">
        <v>127</v>
      </c>
      <c r="F59" s="2" t="s">
        <v>128</v>
      </c>
      <c r="G59" s="2" t="s">
        <v>129</v>
      </c>
      <c r="H59" s="2" t="s">
        <v>54</v>
      </c>
    </row>
    <row r="60" spans="1:8" x14ac:dyDescent="0.25">
      <c r="A60" s="2">
        <v>59</v>
      </c>
      <c r="B60" s="2">
        <v>20201059</v>
      </c>
      <c r="C60" s="2" t="s">
        <v>22</v>
      </c>
      <c r="D60" s="2" t="s">
        <v>15</v>
      </c>
      <c r="E60" s="2" t="s">
        <v>127</v>
      </c>
      <c r="F60" s="2" t="s">
        <v>128</v>
      </c>
      <c r="G60" s="2" t="s">
        <v>129</v>
      </c>
      <c r="H60" s="2" t="s">
        <v>54</v>
      </c>
    </row>
    <row r="61" spans="1:8" x14ac:dyDescent="0.25">
      <c r="A61" s="2">
        <v>60</v>
      </c>
      <c r="B61" s="2">
        <v>20201060</v>
      </c>
      <c r="C61" s="2" t="s">
        <v>34</v>
      </c>
      <c r="D61" s="2" t="s">
        <v>15</v>
      </c>
      <c r="E61" s="2" t="s">
        <v>127</v>
      </c>
      <c r="F61" s="2" t="s">
        <v>128</v>
      </c>
      <c r="G61" s="2" t="s">
        <v>129</v>
      </c>
      <c r="H61" s="2" t="s">
        <v>136</v>
      </c>
    </row>
    <row r="62" spans="1:8" x14ac:dyDescent="0.25">
      <c r="A62" s="2">
        <v>61</v>
      </c>
      <c r="B62" s="2">
        <v>20201061</v>
      </c>
      <c r="C62" s="2" t="s">
        <v>76</v>
      </c>
      <c r="D62" s="2" t="s">
        <v>15</v>
      </c>
      <c r="E62" s="2" t="s">
        <v>127</v>
      </c>
      <c r="F62" s="2" t="s">
        <v>128</v>
      </c>
      <c r="G62" s="2" t="s">
        <v>129</v>
      </c>
      <c r="H62" s="2" t="s">
        <v>54</v>
      </c>
    </row>
    <row r="63" spans="1:8" x14ac:dyDescent="0.25">
      <c r="A63" s="2">
        <v>62</v>
      </c>
      <c r="B63" s="2">
        <v>20201062</v>
      </c>
      <c r="C63" s="2" t="s">
        <v>24</v>
      </c>
      <c r="D63" s="2" t="s">
        <v>15</v>
      </c>
      <c r="E63" s="2" t="s">
        <v>127</v>
      </c>
      <c r="F63" s="2" t="s">
        <v>128</v>
      </c>
      <c r="G63" s="2" t="s">
        <v>129</v>
      </c>
      <c r="H63" s="2" t="s">
        <v>54</v>
      </c>
    </row>
    <row r="64" spans="1:8" x14ac:dyDescent="0.25">
      <c r="A64" s="2">
        <v>63</v>
      </c>
      <c r="B64" s="2">
        <v>20201063</v>
      </c>
      <c r="C64" s="2" t="s">
        <v>89</v>
      </c>
      <c r="D64" s="2" t="s">
        <v>15</v>
      </c>
      <c r="E64" s="2" t="s">
        <v>127</v>
      </c>
      <c r="F64" s="2" t="s">
        <v>128</v>
      </c>
      <c r="G64" s="2" t="s">
        <v>129</v>
      </c>
      <c r="H64" s="2" t="s">
        <v>54</v>
      </c>
    </row>
    <row r="65" spans="1:8" x14ac:dyDescent="0.25">
      <c r="A65" s="2">
        <v>64</v>
      </c>
      <c r="B65" s="2">
        <v>20201064</v>
      </c>
      <c r="C65" s="2" t="s">
        <v>61</v>
      </c>
      <c r="D65" s="2" t="s">
        <v>15</v>
      </c>
      <c r="E65" s="2" t="s">
        <v>127</v>
      </c>
      <c r="F65" s="2" t="s">
        <v>128</v>
      </c>
      <c r="G65" s="2" t="s">
        <v>129</v>
      </c>
      <c r="H65" s="2" t="s">
        <v>54</v>
      </c>
    </row>
    <row r="66" spans="1:8" x14ac:dyDescent="0.25">
      <c r="A66" s="2">
        <v>65</v>
      </c>
      <c r="B66" s="2">
        <v>20201065</v>
      </c>
      <c r="C66" s="2" t="s">
        <v>88</v>
      </c>
      <c r="D66" s="2" t="s">
        <v>15</v>
      </c>
      <c r="E66" s="2" t="s">
        <v>127</v>
      </c>
      <c r="F66" s="2" t="s">
        <v>128</v>
      </c>
      <c r="G66" s="2" t="s">
        <v>129</v>
      </c>
      <c r="H66" s="2" t="s">
        <v>54</v>
      </c>
    </row>
    <row r="67" spans="1:8" x14ac:dyDescent="0.25">
      <c r="A67" s="2">
        <v>66</v>
      </c>
      <c r="B67" s="2">
        <v>20201066</v>
      </c>
      <c r="C67" s="2" t="s">
        <v>82</v>
      </c>
      <c r="D67" s="2" t="s">
        <v>15</v>
      </c>
      <c r="E67" s="2" t="s">
        <v>127</v>
      </c>
      <c r="F67" s="2" t="s">
        <v>128</v>
      </c>
      <c r="G67" s="2" t="s">
        <v>129</v>
      </c>
      <c r="H67" s="2" t="s">
        <v>54</v>
      </c>
    </row>
    <row r="68" spans="1:8" x14ac:dyDescent="0.25">
      <c r="A68" s="2">
        <v>67</v>
      </c>
      <c r="B68" s="2">
        <v>20201067</v>
      </c>
      <c r="C68" s="2" t="s">
        <v>74</v>
      </c>
      <c r="D68" s="2" t="s">
        <v>15</v>
      </c>
      <c r="E68" s="2" t="s">
        <v>127</v>
      </c>
      <c r="F68" s="2" t="s">
        <v>128</v>
      </c>
      <c r="G68" s="2" t="s">
        <v>129</v>
      </c>
      <c r="H68" s="2" t="s">
        <v>54</v>
      </c>
    </row>
    <row r="69" spans="1:8" x14ac:dyDescent="0.25">
      <c r="A69" s="2">
        <v>68</v>
      </c>
      <c r="B69" s="2">
        <v>20201068</v>
      </c>
      <c r="C69" s="2" t="s">
        <v>84</v>
      </c>
      <c r="D69" s="2" t="s">
        <v>15</v>
      </c>
      <c r="E69" s="2" t="s">
        <v>127</v>
      </c>
      <c r="F69" s="2" t="s">
        <v>128</v>
      </c>
      <c r="G69" s="2" t="s">
        <v>129</v>
      </c>
      <c r="H69" s="2" t="s">
        <v>54</v>
      </c>
    </row>
    <row r="70" spans="1:8" x14ac:dyDescent="0.25">
      <c r="A70" s="2">
        <v>69</v>
      </c>
      <c r="B70" s="2">
        <v>20201070</v>
      </c>
      <c r="C70" s="2" t="s">
        <v>66</v>
      </c>
      <c r="D70" s="2" t="s">
        <v>15</v>
      </c>
      <c r="E70" s="2" t="s">
        <v>127</v>
      </c>
      <c r="F70" s="2" t="s">
        <v>128</v>
      </c>
      <c r="G70" s="2" t="s">
        <v>129</v>
      </c>
      <c r="H70" s="2" t="s">
        <v>54</v>
      </c>
    </row>
    <row r="71" spans="1:8" x14ac:dyDescent="0.25">
      <c r="A71" s="2">
        <v>70</v>
      </c>
      <c r="B71" s="2">
        <v>20201071</v>
      </c>
      <c r="C71" s="2" t="s">
        <v>52</v>
      </c>
      <c r="D71" s="2" t="s">
        <v>15</v>
      </c>
      <c r="E71" s="2" t="s">
        <v>127</v>
      </c>
      <c r="F71" s="2" t="s">
        <v>128</v>
      </c>
      <c r="G71" s="2" t="s">
        <v>129</v>
      </c>
      <c r="H71" s="2" t="s">
        <v>54</v>
      </c>
    </row>
    <row r="72" spans="1:8" x14ac:dyDescent="0.25">
      <c r="A72" s="2">
        <v>71</v>
      </c>
      <c r="B72" s="2">
        <v>20201072</v>
      </c>
      <c r="C72" s="2" t="s">
        <v>25</v>
      </c>
      <c r="D72" s="2" t="s">
        <v>15</v>
      </c>
      <c r="E72" s="2" t="s">
        <v>127</v>
      </c>
      <c r="F72" s="2" t="s">
        <v>128</v>
      </c>
      <c r="G72" s="2" t="s">
        <v>129</v>
      </c>
      <c r="H72" s="2" t="s">
        <v>137</v>
      </c>
    </row>
    <row r="73" spans="1:8" x14ac:dyDescent="0.25">
      <c r="A73" s="2">
        <v>72</v>
      </c>
      <c r="B73" s="2">
        <v>20201073</v>
      </c>
      <c r="C73" s="2" t="s">
        <v>35</v>
      </c>
      <c r="D73" s="2" t="s">
        <v>15</v>
      </c>
      <c r="E73" s="2" t="s">
        <v>127</v>
      </c>
      <c r="F73" s="2" t="s">
        <v>128</v>
      </c>
      <c r="G73" s="2" t="s">
        <v>129</v>
      </c>
      <c r="H73" s="2" t="s">
        <v>54</v>
      </c>
    </row>
    <row r="74" spans="1:8" x14ac:dyDescent="0.25">
      <c r="A74" s="2">
        <v>73</v>
      </c>
      <c r="B74" s="2">
        <v>20201075</v>
      </c>
      <c r="C74" s="2" t="s">
        <v>42</v>
      </c>
      <c r="D74" s="2" t="s">
        <v>15</v>
      </c>
      <c r="E74" s="2" t="s">
        <v>127</v>
      </c>
      <c r="F74" s="2" t="s">
        <v>128</v>
      </c>
      <c r="G74" s="2" t="s">
        <v>129</v>
      </c>
      <c r="H74" s="2" t="s">
        <v>54</v>
      </c>
    </row>
    <row r="75" spans="1:8" x14ac:dyDescent="0.25">
      <c r="A75" s="2">
        <v>74</v>
      </c>
      <c r="B75" s="2">
        <v>20201076</v>
      </c>
      <c r="C75" s="2" t="s">
        <v>49</v>
      </c>
      <c r="D75" s="2" t="s">
        <v>15</v>
      </c>
      <c r="E75" s="2" t="s">
        <v>127</v>
      </c>
      <c r="F75" s="2" t="s">
        <v>128</v>
      </c>
      <c r="G75" s="2" t="s">
        <v>129</v>
      </c>
      <c r="H75" s="2" t="s">
        <v>54</v>
      </c>
    </row>
    <row r="76" spans="1:8" x14ac:dyDescent="0.25">
      <c r="A76" s="2">
        <v>75</v>
      </c>
      <c r="B76" s="2">
        <v>20201077</v>
      </c>
      <c r="C76" s="2" t="s">
        <v>18</v>
      </c>
      <c r="D76" s="2" t="s">
        <v>15</v>
      </c>
      <c r="E76" s="2" t="s">
        <v>127</v>
      </c>
      <c r="F76" s="2" t="s">
        <v>128</v>
      </c>
      <c r="G76" s="2" t="s">
        <v>129</v>
      </c>
      <c r="H76" s="2" t="s">
        <v>54</v>
      </c>
    </row>
    <row r="77" spans="1:8" x14ac:dyDescent="0.25">
      <c r="A77" s="2">
        <v>76</v>
      </c>
      <c r="B77" s="2">
        <v>20201078</v>
      </c>
      <c r="C77" s="2" t="s">
        <v>44</v>
      </c>
      <c r="D77" s="2" t="s">
        <v>15</v>
      </c>
      <c r="E77" s="2" t="s">
        <v>127</v>
      </c>
      <c r="F77" s="2" t="s">
        <v>128</v>
      </c>
      <c r="G77" s="2" t="s">
        <v>129</v>
      </c>
      <c r="H77" s="2" t="s">
        <v>54</v>
      </c>
    </row>
    <row r="78" spans="1:8" x14ac:dyDescent="0.25">
      <c r="A78" s="2">
        <v>77</v>
      </c>
      <c r="B78" s="2">
        <v>20201079</v>
      </c>
      <c r="C78" s="2" t="s">
        <v>64</v>
      </c>
      <c r="D78" s="2" t="s">
        <v>15</v>
      </c>
      <c r="E78" s="2" t="s">
        <v>127</v>
      </c>
      <c r="F78" s="2" t="s">
        <v>128</v>
      </c>
      <c r="G78" s="2" t="s">
        <v>129</v>
      </c>
      <c r="H78" s="2" t="s">
        <v>54</v>
      </c>
    </row>
    <row r="79" spans="1:8" x14ac:dyDescent="0.25">
      <c r="A79" s="2">
        <v>78</v>
      </c>
      <c r="B79" s="2">
        <v>20201080</v>
      </c>
      <c r="C79" s="2" t="s">
        <v>23</v>
      </c>
      <c r="D79" s="2" t="s">
        <v>15</v>
      </c>
      <c r="E79" s="2" t="s">
        <v>127</v>
      </c>
      <c r="F79" s="2" t="s">
        <v>128</v>
      </c>
      <c r="G79" s="2" t="s">
        <v>129</v>
      </c>
      <c r="H79" s="2" t="s">
        <v>54</v>
      </c>
    </row>
    <row r="80" spans="1:8" x14ac:dyDescent="0.25">
      <c r="A80" s="2">
        <v>79</v>
      </c>
      <c r="B80" s="2">
        <v>20201081</v>
      </c>
      <c r="C80" s="2" t="s">
        <v>26</v>
      </c>
      <c r="D80" s="2" t="s">
        <v>15</v>
      </c>
      <c r="E80" s="2" t="s">
        <v>127</v>
      </c>
      <c r="F80" s="2" t="s">
        <v>128</v>
      </c>
      <c r="G80" s="2" t="s">
        <v>129</v>
      </c>
      <c r="H80" s="2" t="s">
        <v>54</v>
      </c>
    </row>
    <row r="81" spans="1:8" x14ac:dyDescent="0.25">
      <c r="A81" s="2">
        <v>80</v>
      </c>
      <c r="B81" s="2">
        <v>20201082</v>
      </c>
      <c r="C81" s="2" t="s">
        <v>50</v>
      </c>
      <c r="D81" s="2" t="s">
        <v>15</v>
      </c>
      <c r="E81" s="2" t="s">
        <v>127</v>
      </c>
      <c r="F81" s="2" t="s">
        <v>128</v>
      </c>
      <c r="G81" s="2" t="s">
        <v>129</v>
      </c>
      <c r="H81" s="2" t="s">
        <v>54</v>
      </c>
    </row>
    <row r="82" spans="1:8" x14ac:dyDescent="0.25">
      <c r="A82" s="2">
        <v>81</v>
      </c>
      <c r="B82" s="2">
        <v>20401007</v>
      </c>
      <c r="C82" s="2" t="s">
        <v>6</v>
      </c>
      <c r="D82" s="2" t="s">
        <v>7</v>
      </c>
      <c r="E82" s="2" t="s">
        <v>138</v>
      </c>
      <c r="F82" s="2" t="s">
        <v>128</v>
      </c>
      <c r="G82" s="2" t="s">
        <v>129</v>
      </c>
      <c r="H82" s="2" t="s">
        <v>139</v>
      </c>
    </row>
    <row r="83" spans="1:8" x14ac:dyDescent="0.25">
      <c r="A83" s="2">
        <v>82</v>
      </c>
      <c r="B83" s="2">
        <v>20401008</v>
      </c>
      <c r="C83" s="2" t="s">
        <v>8</v>
      </c>
      <c r="D83" s="2" t="s">
        <v>7</v>
      </c>
      <c r="E83" s="2" t="s">
        <v>138</v>
      </c>
      <c r="F83" s="2" t="s">
        <v>128</v>
      </c>
      <c r="G83" s="2" t="s">
        <v>129</v>
      </c>
      <c r="H83" s="2" t="s">
        <v>140</v>
      </c>
    </row>
    <row r="84" spans="1:8" x14ac:dyDescent="0.25">
      <c r="A84" s="2">
        <v>83</v>
      </c>
      <c r="B84" s="2">
        <v>20201090</v>
      </c>
      <c r="C84" s="2" t="s">
        <v>92</v>
      </c>
      <c r="D84" s="2" t="s">
        <v>93</v>
      </c>
      <c r="E84" s="2" t="s">
        <v>92</v>
      </c>
      <c r="F84" s="2" t="s">
        <v>128</v>
      </c>
      <c r="G84" s="2" t="s">
        <v>129</v>
      </c>
      <c r="H84" s="2" t="s">
        <v>54</v>
      </c>
    </row>
    <row r="85" spans="1:8" x14ac:dyDescent="0.25">
      <c r="A85" s="2">
        <v>84</v>
      </c>
      <c r="B85" s="2">
        <v>20201091</v>
      </c>
      <c r="C85" s="2" t="s">
        <v>94</v>
      </c>
      <c r="D85" s="2" t="s">
        <v>15</v>
      </c>
      <c r="E85" s="2" t="s">
        <v>127</v>
      </c>
      <c r="F85" s="2" t="s">
        <v>128</v>
      </c>
      <c r="G85" s="2" t="s">
        <v>129</v>
      </c>
      <c r="H85" s="2" t="s">
        <v>54</v>
      </c>
    </row>
    <row r="86" spans="1:8" x14ac:dyDescent="0.25">
      <c r="A86" s="2">
        <v>85</v>
      </c>
      <c r="B86" s="2">
        <v>20201092</v>
      </c>
      <c r="C86" s="2" t="s">
        <v>95</v>
      </c>
      <c r="D86" s="2" t="s">
        <v>15</v>
      </c>
      <c r="E86" s="2" t="s">
        <v>127</v>
      </c>
      <c r="F86" s="2" t="s">
        <v>128</v>
      </c>
      <c r="G86" s="2" t="s">
        <v>129</v>
      </c>
      <c r="H86" s="2" t="s">
        <v>54</v>
      </c>
    </row>
    <row r="87" spans="1:8" x14ac:dyDescent="0.25">
      <c r="A87" s="2">
        <v>86</v>
      </c>
      <c r="B87" s="2">
        <v>20201093</v>
      </c>
      <c r="C87" s="2" t="s">
        <v>96</v>
      </c>
      <c r="D87" s="2" t="s">
        <v>15</v>
      </c>
      <c r="E87" s="2" t="s">
        <v>127</v>
      </c>
      <c r="F87" s="2" t="s">
        <v>131</v>
      </c>
      <c r="G87" s="2" t="s">
        <v>129</v>
      </c>
      <c r="H87" s="2" t="s">
        <v>54</v>
      </c>
    </row>
    <row r="88" spans="1:8" x14ac:dyDescent="0.25">
      <c r="A88" s="2">
        <v>87</v>
      </c>
      <c r="B88" s="2">
        <v>20201094</v>
      </c>
      <c r="C88" s="2" t="s">
        <v>97</v>
      </c>
      <c r="D88" s="2" t="s">
        <v>15</v>
      </c>
      <c r="E88" s="2" t="s">
        <v>127</v>
      </c>
      <c r="F88" s="2" t="s">
        <v>131</v>
      </c>
      <c r="G88" s="2" t="s">
        <v>129</v>
      </c>
      <c r="H88" s="2" t="s">
        <v>54</v>
      </c>
    </row>
    <row r="89" spans="1:8" x14ac:dyDescent="0.25">
      <c r="A89" s="2">
        <v>88</v>
      </c>
      <c r="B89" s="2">
        <v>20201095</v>
      </c>
      <c r="C89" s="2" t="s">
        <v>98</v>
      </c>
      <c r="D89" s="2" t="s">
        <v>15</v>
      </c>
      <c r="E89" s="2" t="s">
        <v>127</v>
      </c>
      <c r="F89" s="2" t="s">
        <v>131</v>
      </c>
      <c r="G89" s="2" t="s">
        <v>129</v>
      </c>
      <c r="H89" s="2" t="s">
        <v>54</v>
      </c>
    </row>
    <row r="90" spans="1:8" x14ac:dyDescent="0.25">
      <c r="A90" s="2">
        <v>89</v>
      </c>
      <c r="B90" s="2">
        <v>20201096</v>
      </c>
      <c r="C90" s="2" t="s">
        <v>99</v>
      </c>
      <c r="D90" s="2" t="s">
        <v>15</v>
      </c>
      <c r="E90" s="2" t="s">
        <v>127</v>
      </c>
      <c r="F90" s="2" t="s">
        <v>131</v>
      </c>
      <c r="G90" s="2" t="s">
        <v>129</v>
      </c>
      <c r="H90" s="2" t="s">
        <v>54</v>
      </c>
    </row>
    <row r="91" spans="1:8" x14ac:dyDescent="0.25">
      <c r="A91" s="2">
        <v>90</v>
      </c>
      <c r="B91" s="2">
        <v>20201097</v>
      </c>
      <c r="C91" s="2" t="s">
        <v>100</v>
      </c>
      <c r="D91" s="2" t="s">
        <v>15</v>
      </c>
      <c r="E91" s="2" t="s">
        <v>127</v>
      </c>
      <c r="F91" s="2" t="s">
        <v>128</v>
      </c>
      <c r="G91" s="2" t="s">
        <v>129</v>
      </c>
      <c r="H91" s="2" t="s">
        <v>54</v>
      </c>
    </row>
    <row r="92" spans="1:8" x14ac:dyDescent="0.25">
      <c r="A92" s="2">
        <v>91</v>
      </c>
      <c r="B92" s="2">
        <v>20201098</v>
      </c>
      <c r="C92" s="2" t="s">
        <v>101</v>
      </c>
      <c r="D92" s="2" t="s">
        <v>15</v>
      </c>
      <c r="E92" s="2" t="s">
        <v>127</v>
      </c>
      <c r="F92" s="2" t="s">
        <v>128</v>
      </c>
      <c r="G92" s="2" t="s">
        <v>129</v>
      </c>
      <c r="H92" s="2" t="s">
        <v>54</v>
      </c>
    </row>
    <row r="93" spans="1:8" x14ac:dyDescent="0.25">
      <c r="A93" s="2">
        <v>92</v>
      </c>
      <c r="B93" s="2">
        <v>20201099</v>
      </c>
      <c r="C93" s="2" t="s">
        <v>102</v>
      </c>
      <c r="D93" s="2" t="s">
        <v>15</v>
      </c>
      <c r="E93" s="2" t="s">
        <v>127</v>
      </c>
      <c r="F93" s="2" t="s">
        <v>131</v>
      </c>
      <c r="G93" s="2" t="s">
        <v>129</v>
      </c>
      <c r="H93" s="2" t="s">
        <v>54</v>
      </c>
    </row>
    <row r="94" spans="1:8" x14ac:dyDescent="0.25">
      <c r="A94" s="2">
        <v>93</v>
      </c>
      <c r="B94" s="2">
        <v>20201100</v>
      </c>
      <c r="C94" s="2" t="s">
        <v>103</v>
      </c>
      <c r="D94" s="2" t="s">
        <v>15</v>
      </c>
      <c r="E94" s="2" t="s">
        <v>127</v>
      </c>
      <c r="F94" s="2" t="s">
        <v>128</v>
      </c>
      <c r="G94" s="2" t="s">
        <v>129</v>
      </c>
      <c r="H94" s="2" t="s">
        <v>54</v>
      </c>
    </row>
    <row r="95" spans="1:8" x14ac:dyDescent="0.25">
      <c r="A95" s="2">
        <v>94</v>
      </c>
      <c r="B95" s="2">
        <v>20201101</v>
      </c>
      <c r="C95" s="2" t="s">
        <v>104</v>
      </c>
      <c r="D95" s="2" t="s">
        <v>15</v>
      </c>
      <c r="E95" s="2" t="s">
        <v>127</v>
      </c>
      <c r="F95" s="2" t="s">
        <v>128</v>
      </c>
      <c r="G95" s="2" t="s">
        <v>129</v>
      </c>
      <c r="H95" s="2" t="s">
        <v>54</v>
      </c>
    </row>
    <row r="96" spans="1:8" x14ac:dyDescent="0.25">
      <c r="A96" s="2">
        <v>95</v>
      </c>
      <c r="B96" s="2">
        <v>20201102</v>
      </c>
      <c r="C96" s="2" t="s">
        <v>105</v>
      </c>
      <c r="D96" s="2" t="s">
        <v>15</v>
      </c>
      <c r="E96" s="2" t="s">
        <v>127</v>
      </c>
      <c r="F96" s="2" t="s">
        <v>131</v>
      </c>
      <c r="G96" s="2" t="s">
        <v>129</v>
      </c>
      <c r="H96" s="2" t="s">
        <v>54</v>
      </c>
    </row>
    <row r="97" spans="1:8" x14ac:dyDescent="0.25">
      <c r="A97" s="2">
        <v>96</v>
      </c>
      <c r="B97" s="2">
        <v>20201103</v>
      </c>
      <c r="C97" s="2" t="s">
        <v>106</v>
      </c>
      <c r="D97" s="2" t="s">
        <v>15</v>
      </c>
      <c r="E97" s="2" t="s">
        <v>127</v>
      </c>
      <c r="F97" s="2" t="s">
        <v>128</v>
      </c>
      <c r="G97" s="2" t="s">
        <v>129</v>
      </c>
      <c r="H97" s="2" t="s">
        <v>54</v>
      </c>
    </row>
    <row r="98" spans="1:8" x14ac:dyDescent="0.25">
      <c r="A98" s="2">
        <v>97</v>
      </c>
      <c r="B98" s="2">
        <v>20201104</v>
      </c>
      <c r="C98" s="2" t="s">
        <v>107</v>
      </c>
      <c r="D98" s="2" t="s">
        <v>15</v>
      </c>
      <c r="E98" s="2" t="s">
        <v>127</v>
      </c>
      <c r="F98" s="2" t="s">
        <v>131</v>
      </c>
      <c r="G98" s="2" t="s">
        <v>129</v>
      </c>
      <c r="H98" s="2" t="s">
        <v>54</v>
      </c>
    </row>
    <row r="99" spans="1:8" x14ac:dyDescent="0.25">
      <c r="A99" s="2">
        <v>98</v>
      </c>
      <c r="B99" s="2">
        <v>20201105</v>
      </c>
      <c r="C99" s="2" t="s">
        <v>108</v>
      </c>
      <c r="D99" s="2" t="s">
        <v>15</v>
      </c>
      <c r="E99" s="2" t="s">
        <v>127</v>
      </c>
      <c r="F99" s="2" t="s">
        <v>128</v>
      </c>
      <c r="G99" s="2" t="s">
        <v>129</v>
      </c>
      <c r="H99" s="2" t="s">
        <v>54</v>
      </c>
    </row>
    <row r="100" spans="1:8" x14ac:dyDescent="0.25">
      <c r="A100" s="2">
        <v>99</v>
      </c>
      <c r="B100" s="2">
        <v>20201106</v>
      </c>
      <c r="C100" s="2" t="s">
        <v>109</v>
      </c>
      <c r="D100" s="2" t="s">
        <v>15</v>
      </c>
      <c r="E100" s="2" t="s">
        <v>127</v>
      </c>
      <c r="F100" s="2" t="s">
        <v>131</v>
      </c>
      <c r="G100" s="2" t="s">
        <v>129</v>
      </c>
      <c r="H100" s="2" t="s">
        <v>54</v>
      </c>
    </row>
    <row r="101" spans="1:8" x14ac:dyDescent="0.25">
      <c r="A101" s="2">
        <v>100</v>
      </c>
      <c r="B101" s="2">
        <v>20201107</v>
      </c>
      <c r="C101" s="2" t="s">
        <v>110</v>
      </c>
      <c r="D101" s="2" t="s">
        <v>15</v>
      </c>
      <c r="E101" s="2" t="s">
        <v>127</v>
      </c>
      <c r="F101" s="2" t="s">
        <v>131</v>
      </c>
      <c r="G101" s="2" t="s">
        <v>129</v>
      </c>
      <c r="H101" s="2" t="s">
        <v>54</v>
      </c>
    </row>
    <row r="102" spans="1:8" x14ac:dyDescent="0.25">
      <c r="A102" s="2">
        <v>101</v>
      </c>
      <c r="B102" s="2">
        <v>20201108</v>
      </c>
      <c r="C102" s="2" t="s">
        <v>111</v>
      </c>
      <c r="D102" s="2" t="s">
        <v>15</v>
      </c>
      <c r="E102" s="2" t="s">
        <v>127</v>
      </c>
      <c r="F102" s="2" t="s">
        <v>128</v>
      </c>
      <c r="G102" s="2" t="s">
        <v>129</v>
      </c>
      <c r="H102" s="2" t="s">
        <v>54</v>
      </c>
    </row>
    <row r="103" spans="1:8" x14ac:dyDescent="0.25">
      <c r="A103" s="2">
        <v>102</v>
      </c>
      <c r="B103" s="2">
        <v>20201109</v>
      </c>
      <c r="C103" s="2" t="s">
        <v>112</v>
      </c>
      <c r="D103" s="2" t="s">
        <v>15</v>
      </c>
      <c r="E103" s="2" t="s">
        <v>127</v>
      </c>
      <c r="F103" s="2" t="s">
        <v>128</v>
      </c>
      <c r="G103" s="2" t="s">
        <v>129</v>
      </c>
      <c r="H103" s="2" t="s">
        <v>54</v>
      </c>
    </row>
    <row r="104" spans="1:8" x14ac:dyDescent="0.25">
      <c r="A104" s="2">
        <v>103</v>
      </c>
      <c r="B104" s="2">
        <v>20201110</v>
      </c>
      <c r="C104" s="2" t="s">
        <v>113</v>
      </c>
      <c r="D104" s="2" t="s">
        <v>15</v>
      </c>
      <c r="E104" s="2" t="s">
        <v>127</v>
      </c>
      <c r="F104" s="2" t="s">
        <v>131</v>
      </c>
      <c r="G104" s="2" t="s">
        <v>129</v>
      </c>
      <c r="H104" s="2" t="s">
        <v>54</v>
      </c>
    </row>
    <row r="105" spans="1:8" x14ac:dyDescent="0.25">
      <c r="A105" s="2">
        <v>104</v>
      </c>
      <c r="B105" s="2">
        <v>20301001</v>
      </c>
      <c r="C105" s="2" t="s">
        <v>118</v>
      </c>
      <c r="D105" s="2" t="s">
        <v>119</v>
      </c>
      <c r="E105" s="2" t="s">
        <v>141</v>
      </c>
      <c r="F105" s="2" t="s">
        <v>128</v>
      </c>
      <c r="G105" s="2" t="s">
        <v>129</v>
      </c>
      <c r="H105" s="2" t="s">
        <v>54</v>
      </c>
    </row>
    <row r="106" spans="1:8" x14ac:dyDescent="0.25">
      <c r="A106" s="2">
        <v>105</v>
      </c>
      <c r="B106" s="2">
        <v>20301002</v>
      </c>
      <c r="C106" s="2" t="s">
        <v>120</v>
      </c>
      <c r="D106" s="2" t="s">
        <v>119</v>
      </c>
      <c r="E106" s="2" t="s">
        <v>141</v>
      </c>
      <c r="F106" s="2" t="s">
        <v>128</v>
      </c>
      <c r="G106" s="2" t="s">
        <v>129</v>
      </c>
      <c r="H106" s="2" t="s">
        <v>54</v>
      </c>
    </row>
    <row r="107" spans="1:8" x14ac:dyDescent="0.25">
      <c r="A107" s="2">
        <v>106</v>
      </c>
      <c r="B107" s="2">
        <v>20301003</v>
      </c>
      <c r="C107" s="2" t="s">
        <v>142</v>
      </c>
      <c r="D107" s="2" t="s">
        <v>119</v>
      </c>
      <c r="E107" s="2" t="s">
        <v>141</v>
      </c>
      <c r="F107" s="2" t="s">
        <v>128</v>
      </c>
      <c r="G107" s="2" t="s">
        <v>129</v>
      </c>
      <c r="H107" s="2" t="s">
        <v>54</v>
      </c>
    </row>
    <row r="108" spans="1:8" x14ac:dyDescent="0.25">
      <c r="A108" s="2">
        <v>107</v>
      </c>
      <c r="B108" s="2">
        <v>20301004</v>
      </c>
      <c r="C108" s="2" t="s">
        <v>143</v>
      </c>
      <c r="D108" s="2" t="s">
        <v>119</v>
      </c>
      <c r="E108" s="2" t="s">
        <v>141</v>
      </c>
      <c r="F108" s="2" t="s">
        <v>128</v>
      </c>
      <c r="G108" s="2" t="s">
        <v>129</v>
      </c>
      <c r="H108" s="2" t="s">
        <v>54</v>
      </c>
    </row>
    <row r="109" spans="1:8" x14ac:dyDescent="0.25">
      <c r="A109" s="2">
        <v>108</v>
      </c>
      <c r="B109" s="2">
        <v>20301005</v>
      </c>
      <c r="C109" s="2" t="s">
        <v>144</v>
      </c>
      <c r="D109" s="2" t="s">
        <v>119</v>
      </c>
      <c r="E109" s="2" t="s">
        <v>141</v>
      </c>
      <c r="F109" s="2" t="s">
        <v>128</v>
      </c>
      <c r="G109" s="2" t="s">
        <v>129</v>
      </c>
      <c r="H109" s="2" t="s">
        <v>54</v>
      </c>
    </row>
    <row r="110" spans="1:8" x14ac:dyDescent="0.25">
      <c r="A110" s="2">
        <v>109</v>
      </c>
      <c r="B110" s="2">
        <v>20301006</v>
      </c>
      <c r="C110" s="2" t="s">
        <v>145</v>
      </c>
      <c r="D110" s="2" t="s">
        <v>119</v>
      </c>
      <c r="E110" s="2" t="s">
        <v>141</v>
      </c>
      <c r="F110" s="2" t="s">
        <v>128</v>
      </c>
      <c r="G110" s="2" t="s">
        <v>129</v>
      </c>
      <c r="H110" s="2" t="s">
        <v>54</v>
      </c>
    </row>
    <row r="111" spans="1:8" x14ac:dyDescent="0.25">
      <c r="A111" s="2">
        <v>110</v>
      </c>
      <c r="B111" s="2">
        <v>20201111</v>
      </c>
      <c r="C111" s="2" t="s">
        <v>146</v>
      </c>
      <c r="D111" s="2" t="s">
        <v>15</v>
      </c>
      <c r="E111" s="2" t="s">
        <v>127</v>
      </c>
      <c r="F111" s="2" t="s">
        <v>131</v>
      </c>
      <c r="G111" s="2" t="s">
        <v>129</v>
      </c>
      <c r="H111" s="2" t="s">
        <v>54</v>
      </c>
    </row>
    <row r="112" spans="1:8" x14ac:dyDescent="0.25">
      <c r="A112" s="2">
        <v>111</v>
      </c>
      <c r="B112" s="2">
        <v>20301007</v>
      </c>
      <c r="C112" s="2" t="s">
        <v>147</v>
      </c>
      <c r="D112" s="2" t="s">
        <v>119</v>
      </c>
      <c r="E112" s="2" t="s">
        <v>141</v>
      </c>
      <c r="F112" s="2" t="s">
        <v>128</v>
      </c>
      <c r="G112" s="2" t="s">
        <v>129</v>
      </c>
      <c r="H112" s="2" t="s">
        <v>148</v>
      </c>
    </row>
    <row r="113" spans="1:8" x14ac:dyDescent="0.25">
      <c r="A113" s="2">
        <v>112</v>
      </c>
      <c r="B113" s="2">
        <v>20201112</v>
      </c>
      <c r="C113" s="2" t="s">
        <v>149</v>
      </c>
      <c r="D113" s="2" t="s">
        <v>15</v>
      </c>
      <c r="E113" s="2" t="s">
        <v>127</v>
      </c>
      <c r="F113" s="2" t="s">
        <v>131</v>
      </c>
      <c r="G113" s="2" t="s">
        <v>129</v>
      </c>
      <c r="H113" s="2" t="s">
        <v>54</v>
      </c>
    </row>
    <row r="114" spans="1:8" x14ac:dyDescent="0.25">
      <c r="A114" s="2">
        <v>113</v>
      </c>
      <c r="B114" s="2">
        <v>20201113</v>
      </c>
      <c r="C114" s="2" t="s">
        <v>150</v>
      </c>
      <c r="D114" s="2" t="s">
        <v>15</v>
      </c>
      <c r="E114" s="2" t="s">
        <v>127</v>
      </c>
      <c r="F114" s="2" t="s">
        <v>131</v>
      </c>
      <c r="G114" s="2" t="s">
        <v>129</v>
      </c>
      <c r="H114" s="2" t="s">
        <v>54</v>
      </c>
    </row>
    <row r="115" spans="1:8" x14ac:dyDescent="0.25">
      <c r="A115" s="2">
        <v>114</v>
      </c>
      <c r="B115" s="2">
        <v>20201114</v>
      </c>
      <c r="C115" s="2" t="s">
        <v>151</v>
      </c>
      <c r="D115" s="2" t="s">
        <v>15</v>
      </c>
      <c r="E115" s="2" t="s">
        <v>127</v>
      </c>
      <c r="F115" s="2" t="s">
        <v>131</v>
      </c>
      <c r="G115" s="2" t="s">
        <v>152</v>
      </c>
      <c r="H115" s="2" t="s">
        <v>54</v>
      </c>
    </row>
    <row r="116" spans="1:8" x14ac:dyDescent="0.25">
      <c r="A116" s="2">
        <v>115</v>
      </c>
      <c r="B116" s="2">
        <v>20201115</v>
      </c>
      <c r="C116" s="2" t="s">
        <v>114</v>
      </c>
      <c r="D116" s="2" t="s">
        <v>15</v>
      </c>
      <c r="E116" s="2" t="s">
        <v>127</v>
      </c>
      <c r="F116" s="2" t="s">
        <v>128</v>
      </c>
      <c r="G116" s="2" t="s">
        <v>129</v>
      </c>
      <c r="H116" s="2" t="s">
        <v>153</v>
      </c>
    </row>
    <row r="117" spans="1:8" x14ac:dyDescent="0.25">
      <c r="A117" s="2">
        <v>116</v>
      </c>
      <c r="B117" s="2">
        <v>20509999</v>
      </c>
      <c r="C117" s="2" t="s">
        <v>154</v>
      </c>
      <c r="D117" s="2" t="s">
        <v>155</v>
      </c>
      <c r="E117" s="2" t="s">
        <v>156</v>
      </c>
      <c r="F117" s="2" t="s">
        <v>131</v>
      </c>
      <c r="G117" s="2" t="s">
        <v>129</v>
      </c>
      <c r="H117" s="2" t="s">
        <v>157</v>
      </c>
    </row>
    <row r="118" spans="1:8" x14ac:dyDescent="0.25">
      <c r="A118" s="2">
        <v>117</v>
      </c>
      <c r="B118" s="2">
        <v>20301008</v>
      </c>
      <c r="C118" s="2" t="s">
        <v>158</v>
      </c>
      <c r="D118" s="2" t="s">
        <v>119</v>
      </c>
      <c r="E118" s="2" t="s">
        <v>141</v>
      </c>
      <c r="F118" s="2" t="s">
        <v>128</v>
      </c>
      <c r="G118" s="2" t="s">
        <v>129</v>
      </c>
      <c r="H118" s="2" t="s">
        <v>54</v>
      </c>
    </row>
    <row r="119" spans="1:8" x14ac:dyDescent="0.25">
      <c r="A119" s="2">
        <v>118</v>
      </c>
      <c r="B119" s="2">
        <v>20301009</v>
      </c>
      <c r="C119" s="2" t="s">
        <v>159</v>
      </c>
      <c r="D119" s="2" t="s">
        <v>15</v>
      </c>
      <c r="E119" s="2" t="s">
        <v>127</v>
      </c>
      <c r="F119" s="2" t="s">
        <v>128</v>
      </c>
      <c r="G119" s="2" t="s">
        <v>129</v>
      </c>
    </row>
    <row r="120" spans="1:8" x14ac:dyDescent="0.25">
      <c r="A120" s="2">
        <v>119</v>
      </c>
      <c r="B120" s="2">
        <v>20301010</v>
      </c>
      <c r="C120" s="2" t="s">
        <v>160</v>
      </c>
      <c r="D120" s="2" t="s">
        <v>119</v>
      </c>
      <c r="E120" s="2" t="s">
        <v>141</v>
      </c>
      <c r="F120" s="2" t="s">
        <v>128</v>
      </c>
      <c r="G120" s="2" t="s">
        <v>129</v>
      </c>
      <c r="H120" s="2" t="s">
        <v>54</v>
      </c>
    </row>
    <row r="121" spans="1:8" x14ac:dyDescent="0.25">
      <c r="A121" s="2">
        <v>120</v>
      </c>
      <c r="B121" s="2">
        <v>20401010</v>
      </c>
      <c r="C121" s="2" t="s">
        <v>161</v>
      </c>
      <c r="D121" s="2" t="s">
        <v>15</v>
      </c>
      <c r="E121" s="2" t="s">
        <v>127</v>
      </c>
      <c r="F121" s="2" t="s">
        <v>128</v>
      </c>
      <c r="G121" s="2" t="s">
        <v>129</v>
      </c>
      <c r="H121" s="2" t="s">
        <v>162</v>
      </c>
    </row>
    <row r="122" spans="1:8" x14ac:dyDescent="0.25">
      <c r="A122" s="2">
        <v>121</v>
      </c>
      <c r="B122" s="2">
        <v>20601001</v>
      </c>
      <c r="C122" s="2" t="s">
        <v>163</v>
      </c>
      <c r="D122" s="2" t="s">
        <v>119</v>
      </c>
      <c r="E122" s="2" t="s">
        <v>141</v>
      </c>
      <c r="F122" s="2" t="s">
        <v>128</v>
      </c>
      <c r="G122" s="2" t="s">
        <v>152</v>
      </c>
      <c r="H122" s="2" t="s">
        <v>164</v>
      </c>
    </row>
    <row r="123" spans="1:8" x14ac:dyDescent="0.25">
      <c r="A123" s="2">
        <v>122</v>
      </c>
      <c r="B123" s="2">
        <v>20401011</v>
      </c>
      <c r="C123" s="2" t="s">
        <v>116</v>
      </c>
      <c r="D123" s="2" t="s">
        <v>7</v>
      </c>
      <c r="E123" s="2" t="s">
        <v>138</v>
      </c>
      <c r="F123" s="2" t="s">
        <v>128</v>
      </c>
      <c r="G123" s="2" t="s">
        <v>129</v>
      </c>
      <c r="H123" s="2" t="s">
        <v>140</v>
      </c>
    </row>
    <row r="124" spans="1:8" x14ac:dyDescent="0.25">
      <c r="A124" s="2">
        <v>123</v>
      </c>
      <c r="B124" s="2">
        <v>20401012</v>
      </c>
      <c r="C124" s="2" t="s">
        <v>117</v>
      </c>
      <c r="D124" s="2" t="s">
        <v>7</v>
      </c>
      <c r="E124" s="2" t="s">
        <v>138</v>
      </c>
      <c r="F124" s="2" t="s">
        <v>128</v>
      </c>
      <c r="G124" s="2" t="s">
        <v>129</v>
      </c>
      <c r="H124" s="2" t="s">
        <v>165</v>
      </c>
    </row>
    <row r="125" spans="1:8" x14ac:dyDescent="0.25">
      <c r="A125" s="2">
        <v>124</v>
      </c>
      <c r="B125" s="2">
        <v>20501001</v>
      </c>
      <c r="C125" s="2" t="s">
        <v>224</v>
      </c>
      <c r="D125" s="2" t="s">
        <v>155</v>
      </c>
      <c r="E125" s="2" t="s">
        <v>156</v>
      </c>
      <c r="F125" s="2" t="s">
        <v>128</v>
      </c>
      <c r="G125" s="2" t="s">
        <v>129</v>
      </c>
      <c r="H125" s="2" t="s">
        <v>54</v>
      </c>
    </row>
    <row r="126" spans="1:8" x14ac:dyDescent="0.25">
      <c r="A126" s="2">
        <v>125</v>
      </c>
      <c r="B126" s="2">
        <v>20501002</v>
      </c>
      <c r="C126" s="2" t="s">
        <v>225</v>
      </c>
      <c r="D126" s="2" t="s">
        <v>155</v>
      </c>
      <c r="E126" s="2" t="s">
        <v>156</v>
      </c>
      <c r="F126" s="2" t="s">
        <v>128</v>
      </c>
      <c r="G126" s="2" t="s">
        <v>226</v>
      </c>
      <c r="H126" s="2" t="s">
        <v>54</v>
      </c>
    </row>
    <row r="127" spans="1:8" x14ac:dyDescent="0.25">
      <c r="A127" s="2">
        <v>126</v>
      </c>
      <c r="B127" s="2">
        <v>20501003</v>
      </c>
      <c r="C127" s="2" t="s">
        <v>227</v>
      </c>
      <c r="D127" s="2" t="s">
        <v>155</v>
      </c>
      <c r="E127" s="2" t="s">
        <v>156</v>
      </c>
      <c r="F127" s="2" t="s">
        <v>128</v>
      </c>
      <c r="G127" s="2" t="s">
        <v>226</v>
      </c>
      <c r="H127" s="2" t="s">
        <v>54</v>
      </c>
    </row>
  </sheetData>
  <autoFilter ref="A1:H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_vw_employee">
                <anchor>
                  <from>
                    <xdr:col>7</xdr:col>
                    <xdr:colOff>1323975</xdr:colOff>
                    <xdr:row>0</xdr:row>
                    <xdr:rowOff>0</xdr:rowOff>
                  </from>
                  <to>
                    <xdr:col>7</xdr:col>
                    <xdr:colOff>2505075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N15"/>
  <sheetViews>
    <sheetView showGridLines="0" tabSelected="1" workbookViewId="0">
      <selection activeCell="G9" sqref="G9"/>
    </sheetView>
  </sheetViews>
  <sheetFormatPr defaultRowHeight="13.5" x14ac:dyDescent="0.25"/>
  <cols>
    <col min="1" max="13" width="9" style="2"/>
    <col min="14" max="14" width="55.875" style="2" bestFit="1" customWidth="1"/>
    <col min="15" max="16384" width="9" style="2"/>
  </cols>
  <sheetData>
    <row r="1" spans="1:14" x14ac:dyDescent="0.25">
      <c r="A1" s="7" t="s">
        <v>166</v>
      </c>
      <c r="B1" s="8">
        <v>1</v>
      </c>
      <c r="C1" s="8">
        <f>+B1+1</f>
        <v>2</v>
      </c>
      <c r="D1" s="8">
        <f t="shared" ref="D1:M1" si="0">+C1+1</f>
        <v>3</v>
      </c>
      <c r="E1" s="8">
        <f t="shared" si="0"/>
        <v>4</v>
      </c>
      <c r="F1" s="8">
        <f t="shared" si="0"/>
        <v>5</v>
      </c>
      <c r="G1" s="8">
        <f t="shared" si="0"/>
        <v>6</v>
      </c>
      <c r="H1" s="8">
        <f t="shared" si="0"/>
        <v>7</v>
      </c>
      <c r="I1" s="8">
        <f t="shared" si="0"/>
        <v>8</v>
      </c>
      <c r="J1" s="8">
        <f t="shared" si="0"/>
        <v>9</v>
      </c>
      <c r="K1" s="8">
        <f t="shared" si="0"/>
        <v>10</v>
      </c>
      <c r="L1" s="8">
        <f t="shared" si="0"/>
        <v>11</v>
      </c>
      <c r="M1" s="8">
        <f t="shared" si="0"/>
        <v>12</v>
      </c>
      <c r="N1" s="7" t="s">
        <v>167</v>
      </c>
    </row>
    <row r="2" spans="1:14" x14ac:dyDescent="0.25">
      <c r="A2" s="9" t="s">
        <v>168</v>
      </c>
      <c r="B2" s="10">
        <v>20000</v>
      </c>
      <c r="C2" s="10">
        <v>20000</v>
      </c>
      <c r="D2" s="10">
        <v>20000</v>
      </c>
      <c r="E2" s="10">
        <v>20000</v>
      </c>
      <c r="F2" s="11">
        <v>20000</v>
      </c>
      <c r="G2" s="11">
        <v>20000</v>
      </c>
      <c r="H2" s="11">
        <v>20000</v>
      </c>
      <c r="I2" s="11">
        <v>20000</v>
      </c>
      <c r="J2" s="11">
        <v>20000</v>
      </c>
      <c r="K2" s="11">
        <f>J2</f>
        <v>20000</v>
      </c>
      <c r="L2" s="12"/>
      <c r="M2" s="12"/>
      <c r="N2" s="9" t="s">
        <v>169</v>
      </c>
    </row>
    <row r="3" spans="1:14" x14ac:dyDescent="0.25">
      <c r="A3" s="9" t="s">
        <v>170</v>
      </c>
      <c r="B3" s="13"/>
      <c r="C3" s="13"/>
      <c r="D3" s="13"/>
      <c r="E3" s="13"/>
      <c r="F3" s="12"/>
      <c r="G3" s="12"/>
      <c r="H3" s="12"/>
      <c r="I3" s="12"/>
      <c r="J3" s="12"/>
      <c r="K3" s="12"/>
      <c r="L3" s="11">
        <v>20000</v>
      </c>
      <c r="M3" s="11">
        <f>L3</f>
        <v>20000</v>
      </c>
      <c r="N3" s="9" t="s">
        <v>171</v>
      </c>
    </row>
    <row r="4" spans="1:14" x14ac:dyDescent="0.25">
      <c r="A4" s="14" t="s">
        <v>172</v>
      </c>
      <c r="B4" s="10">
        <v>40000</v>
      </c>
      <c r="C4" s="10">
        <v>40000</v>
      </c>
      <c r="D4" s="10">
        <v>40000</v>
      </c>
      <c r="E4" s="10">
        <v>40000</v>
      </c>
      <c r="F4" s="15">
        <v>40000</v>
      </c>
      <c r="G4" s="15">
        <v>40000</v>
      </c>
      <c r="H4" s="15">
        <v>40000</v>
      </c>
      <c r="I4" s="15">
        <v>40000</v>
      </c>
      <c r="J4" s="15">
        <v>40000</v>
      </c>
      <c r="K4" s="15">
        <f t="shared" ref="K4:M15" si="1">J4</f>
        <v>40000</v>
      </c>
      <c r="L4" s="15">
        <f t="shared" si="1"/>
        <v>40000</v>
      </c>
      <c r="M4" s="11">
        <f>L4</f>
        <v>40000</v>
      </c>
      <c r="N4" s="14" t="s">
        <v>173</v>
      </c>
    </row>
    <row r="5" spans="1:14" x14ac:dyDescent="0.25">
      <c r="A5" s="14" t="s">
        <v>168</v>
      </c>
      <c r="B5" s="10">
        <v>20000</v>
      </c>
      <c r="C5" s="10">
        <v>20000</v>
      </c>
      <c r="D5" s="10">
        <v>20000</v>
      </c>
      <c r="E5" s="10">
        <v>20000</v>
      </c>
      <c r="F5" s="15">
        <v>20000</v>
      </c>
      <c r="G5" s="15">
        <v>20000</v>
      </c>
      <c r="H5" s="15">
        <v>20000</v>
      </c>
      <c r="I5" s="15">
        <v>20000</v>
      </c>
      <c r="J5" s="15">
        <v>20000</v>
      </c>
      <c r="K5" s="15">
        <f t="shared" si="1"/>
        <v>20000</v>
      </c>
      <c r="L5" s="16"/>
      <c r="M5" s="16"/>
      <c r="N5" s="14" t="s">
        <v>171</v>
      </c>
    </row>
    <row r="6" spans="1:14" x14ac:dyDescent="0.25">
      <c r="A6" s="14" t="s">
        <v>174</v>
      </c>
      <c r="B6" s="13"/>
      <c r="C6" s="13"/>
      <c r="D6" s="13"/>
      <c r="E6" s="13"/>
      <c r="F6" s="16"/>
      <c r="G6" s="16"/>
      <c r="H6" s="16"/>
      <c r="I6" s="16"/>
      <c r="J6" s="16"/>
      <c r="K6" s="16"/>
      <c r="L6" s="15">
        <v>20000</v>
      </c>
      <c r="M6" s="11">
        <f>L6</f>
        <v>20000</v>
      </c>
      <c r="N6" s="14" t="s">
        <v>171</v>
      </c>
    </row>
    <row r="7" spans="1:14" x14ac:dyDescent="0.25">
      <c r="A7" s="14" t="s">
        <v>175</v>
      </c>
      <c r="B7" s="10">
        <v>40000</v>
      </c>
      <c r="C7" s="10">
        <v>40000</v>
      </c>
      <c r="D7" s="10">
        <v>40000</v>
      </c>
      <c r="E7" s="10">
        <v>40000</v>
      </c>
      <c r="F7" s="15">
        <v>40000</v>
      </c>
      <c r="G7" s="15">
        <v>40000</v>
      </c>
      <c r="H7" s="15">
        <v>40000</v>
      </c>
      <c r="I7" s="15">
        <v>40000</v>
      </c>
      <c r="J7" s="15">
        <v>40000</v>
      </c>
      <c r="K7" s="15">
        <f t="shared" si="1"/>
        <v>40000</v>
      </c>
      <c r="L7" s="15">
        <f t="shared" si="1"/>
        <v>40000</v>
      </c>
      <c r="M7" s="11">
        <f>L7</f>
        <v>40000</v>
      </c>
      <c r="N7" s="14" t="s">
        <v>176</v>
      </c>
    </row>
    <row r="8" spans="1:14" x14ac:dyDescent="0.25">
      <c r="A8" s="17" t="s">
        <v>177</v>
      </c>
      <c r="B8" s="18">
        <v>100000</v>
      </c>
      <c r="C8" s="18">
        <v>100000</v>
      </c>
      <c r="D8" s="18">
        <v>100000</v>
      </c>
      <c r="E8" s="18">
        <v>100000</v>
      </c>
      <c r="F8" s="19">
        <v>100000</v>
      </c>
      <c r="G8" s="19">
        <v>100000</v>
      </c>
      <c r="H8" s="19">
        <v>100000</v>
      </c>
      <c r="I8" s="19">
        <v>100000</v>
      </c>
      <c r="J8" s="19">
        <v>100000</v>
      </c>
      <c r="K8" s="19">
        <f t="shared" si="1"/>
        <v>100000</v>
      </c>
      <c r="L8" s="19">
        <f t="shared" si="1"/>
        <v>100000</v>
      </c>
      <c r="M8" s="19">
        <f t="shared" si="1"/>
        <v>100000</v>
      </c>
      <c r="N8" s="17" t="s">
        <v>178</v>
      </c>
    </row>
    <row r="9" spans="1:14" x14ac:dyDescent="0.25">
      <c r="A9" s="14" t="s">
        <v>179</v>
      </c>
      <c r="B9" s="10">
        <v>100000</v>
      </c>
      <c r="C9" s="10">
        <v>100000</v>
      </c>
      <c r="D9" s="10">
        <v>100000</v>
      </c>
      <c r="E9" s="10">
        <v>100000</v>
      </c>
      <c r="F9" s="15">
        <v>100000</v>
      </c>
      <c r="G9" s="15">
        <v>100000</v>
      </c>
      <c r="H9" s="15">
        <v>100000</v>
      </c>
      <c r="I9" s="15">
        <v>100000</v>
      </c>
      <c r="J9" s="15">
        <v>100000</v>
      </c>
      <c r="K9" s="15">
        <f t="shared" si="1"/>
        <v>100000</v>
      </c>
      <c r="L9" s="15">
        <f t="shared" si="1"/>
        <v>100000</v>
      </c>
      <c r="M9" s="15">
        <f t="shared" si="1"/>
        <v>100000</v>
      </c>
      <c r="N9" s="14" t="s">
        <v>180</v>
      </c>
    </row>
    <row r="10" spans="1:14" x14ac:dyDescent="0.25">
      <c r="A10" s="14" t="s">
        <v>181</v>
      </c>
      <c r="B10" s="10">
        <v>40000</v>
      </c>
      <c r="C10" s="10">
        <v>40000</v>
      </c>
      <c r="D10" s="10">
        <v>40000</v>
      </c>
      <c r="E10" s="10">
        <v>40000</v>
      </c>
      <c r="F10" s="15">
        <v>40000</v>
      </c>
      <c r="G10" s="15">
        <v>40000</v>
      </c>
      <c r="H10" s="15">
        <v>40000</v>
      </c>
      <c r="I10" s="15">
        <v>40000</v>
      </c>
      <c r="J10" s="15">
        <v>40000</v>
      </c>
      <c r="K10" s="15">
        <f t="shared" si="1"/>
        <v>40000</v>
      </c>
      <c r="L10" s="15">
        <f t="shared" si="1"/>
        <v>40000</v>
      </c>
      <c r="M10" s="15">
        <f t="shared" si="1"/>
        <v>40000</v>
      </c>
      <c r="N10" s="14" t="s">
        <v>182</v>
      </c>
    </row>
    <row r="11" spans="1:14" x14ac:dyDescent="0.25">
      <c r="A11" s="14" t="s">
        <v>183</v>
      </c>
      <c r="B11" s="13"/>
      <c r="C11" s="13"/>
      <c r="D11" s="13"/>
      <c r="E11" s="13"/>
      <c r="F11" s="15">
        <v>15000</v>
      </c>
      <c r="G11" s="15">
        <v>15000</v>
      </c>
      <c r="H11" s="15">
        <v>15000</v>
      </c>
      <c r="I11" s="16"/>
      <c r="J11" s="16">
        <v>0</v>
      </c>
      <c r="K11" s="16">
        <f t="shared" si="1"/>
        <v>0</v>
      </c>
      <c r="L11" s="16">
        <f t="shared" si="1"/>
        <v>0</v>
      </c>
      <c r="M11" s="16">
        <f t="shared" si="1"/>
        <v>0</v>
      </c>
      <c r="N11" s="14" t="s">
        <v>184</v>
      </c>
    </row>
    <row r="12" spans="1:14" x14ac:dyDescent="0.25">
      <c r="A12" s="14" t="s">
        <v>185</v>
      </c>
      <c r="B12" s="13"/>
      <c r="C12" s="13"/>
      <c r="D12" s="13"/>
      <c r="E12" s="13"/>
      <c r="F12" s="16">
        <v>15000</v>
      </c>
      <c r="G12" s="16">
        <v>15000</v>
      </c>
      <c r="H12" s="16">
        <v>15000</v>
      </c>
      <c r="I12" s="15">
        <v>90000</v>
      </c>
      <c r="J12" s="15">
        <v>90000</v>
      </c>
      <c r="K12" s="15">
        <f t="shared" si="1"/>
        <v>90000</v>
      </c>
      <c r="L12" s="15">
        <f t="shared" si="1"/>
        <v>90000</v>
      </c>
      <c r="M12" s="15">
        <f t="shared" si="1"/>
        <v>90000</v>
      </c>
      <c r="N12" s="20" t="s">
        <v>186</v>
      </c>
    </row>
    <row r="13" spans="1:14" x14ac:dyDescent="0.25">
      <c r="A13" s="14" t="s">
        <v>187</v>
      </c>
      <c r="B13" s="13"/>
      <c r="C13" s="13"/>
      <c r="D13" s="13"/>
      <c r="E13" s="13"/>
      <c r="F13" s="15">
        <v>15000</v>
      </c>
      <c r="G13" s="15">
        <v>15000</v>
      </c>
      <c r="H13" s="15">
        <v>15000</v>
      </c>
      <c r="I13" s="15">
        <f>15000</f>
        <v>15000</v>
      </c>
      <c r="J13" s="15">
        <v>15000</v>
      </c>
      <c r="K13" s="15">
        <f t="shared" si="1"/>
        <v>15000</v>
      </c>
      <c r="L13" s="15">
        <f t="shared" si="1"/>
        <v>15000</v>
      </c>
      <c r="M13" s="15">
        <f t="shared" si="1"/>
        <v>15000</v>
      </c>
      <c r="N13" s="14" t="s">
        <v>188</v>
      </c>
    </row>
    <row r="14" spans="1:14" x14ac:dyDescent="0.25">
      <c r="A14" s="14" t="s">
        <v>189</v>
      </c>
      <c r="B14" s="13"/>
      <c r="C14" s="13"/>
      <c r="D14" s="13"/>
      <c r="E14" s="13"/>
      <c r="F14" s="16"/>
      <c r="G14" s="15">
        <v>90909</v>
      </c>
      <c r="H14" s="15">
        <v>90909</v>
      </c>
      <c r="I14" s="15">
        <v>90909</v>
      </c>
      <c r="J14" s="15">
        <v>90909</v>
      </c>
      <c r="K14" s="15">
        <f t="shared" si="1"/>
        <v>90909</v>
      </c>
      <c r="L14" s="15">
        <f t="shared" si="1"/>
        <v>90909</v>
      </c>
      <c r="M14" s="15">
        <f t="shared" si="1"/>
        <v>90909</v>
      </c>
      <c r="N14" s="20" t="s">
        <v>190</v>
      </c>
    </row>
    <row r="15" spans="1:14" x14ac:dyDescent="0.25">
      <c r="A15" s="14" t="s">
        <v>191</v>
      </c>
      <c r="B15" s="13"/>
      <c r="C15" s="13"/>
      <c r="D15" s="13"/>
      <c r="E15" s="13"/>
      <c r="F15" s="16"/>
      <c r="G15" s="15">
        <v>90909</v>
      </c>
      <c r="H15" s="15">
        <v>90909</v>
      </c>
      <c r="I15" s="15">
        <v>90909</v>
      </c>
      <c r="J15" s="15">
        <v>90909</v>
      </c>
      <c r="K15" s="15">
        <f t="shared" si="1"/>
        <v>90909</v>
      </c>
      <c r="L15" s="15">
        <f t="shared" si="1"/>
        <v>90909</v>
      </c>
      <c r="M15" s="15">
        <f t="shared" si="1"/>
        <v>90909</v>
      </c>
      <c r="N15" s="20" t="s">
        <v>192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"/>
  <sheetViews>
    <sheetView showGridLines="0" workbookViewId="0">
      <selection activeCell="D4" sqref="D4"/>
    </sheetView>
  </sheetViews>
  <sheetFormatPr defaultRowHeight="13.5" x14ac:dyDescent="0.25"/>
  <cols>
    <col min="1" max="1" width="4.875" style="3" bestFit="1" customWidth="1"/>
    <col min="2" max="2" width="11.625" style="3" bestFit="1" customWidth="1"/>
    <col min="3" max="3" width="11.625" style="3" customWidth="1"/>
    <col min="4" max="4" width="11.625" style="3" bestFit="1" customWidth="1"/>
    <col min="5" max="5" width="8.5" style="3" bestFit="1" customWidth="1"/>
    <col min="6" max="6" width="6.75" style="3" bestFit="1" customWidth="1"/>
    <col min="7" max="7" width="11.625" style="3" bestFit="1" customWidth="1"/>
    <col min="8" max="8" width="22.25" style="3" bestFit="1" customWidth="1"/>
    <col min="9" max="9" width="23" style="3" bestFit="1" customWidth="1"/>
    <col min="10" max="10" width="7.125" style="3" bestFit="1" customWidth="1"/>
    <col min="11" max="12" width="8.375" style="3" bestFit="1" customWidth="1"/>
    <col min="13" max="13" width="6.75" style="3" bestFit="1" customWidth="1"/>
    <col min="14" max="16384" width="9" style="3"/>
  </cols>
  <sheetData>
    <row r="1" spans="1:13" x14ac:dyDescent="0.25">
      <c r="A1" s="3" t="s">
        <v>121</v>
      </c>
      <c r="B1" s="21" t="s">
        <v>193</v>
      </c>
      <c r="C1" s="21" t="s">
        <v>199</v>
      </c>
      <c r="D1" s="21" t="s">
        <v>200</v>
      </c>
      <c r="E1" s="3" t="s">
        <v>194</v>
      </c>
      <c r="F1" s="21" t="s">
        <v>195</v>
      </c>
      <c r="G1" s="3" t="s">
        <v>196</v>
      </c>
      <c r="H1" s="21" t="s">
        <v>197</v>
      </c>
      <c r="I1" s="3" t="s">
        <v>198</v>
      </c>
      <c r="J1" s="3" t="s">
        <v>0</v>
      </c>
      <c r="K1" s="3" t="s">
        <v>122</v>
      </c>
      <c r="L1" s="3" t="s">
        <v>123</v>
      </c>
      <c r="M1" s="3" t="s">
        <v>115</v>
      </c>
    </row>
    <row r="2" spans="1:13" x14ac:dyDescent="0.25">
      <c r="A2" s="3">
        <f t="shared" ref="A2:A10" si="0">ROW()-1</f>
        <v>1</v>
      </c>
      <c r="B2" s="23">
        <v>45306</v>
      </c>
      <c r="C2" s="23">
        <v>45261</v>
      </c>
      <c r="D2" s="23">
        <v>45291</v>
      </c>
      <c r="E2" s="4">
        <v>20201055</v>
      </c>
      <c r="F2" s="22" t="s">
        <v>71</v>
      </c>
      <c r="G2" s="6" t="s">
        <v>201</v>
      </c>
      <c r="H2" s="22" t="s">
        <v>204</v>
      </c>
      <c r="I2" s="6" t="s">
        <v>211</v>
      </c>
      <c r="J2" s="5">
        <v>20000</v>
      </c>
    </row>
    <row r="3" spans="1:13" x14ac:dyDescent="0.25">
      <c r="A3" s="3">
        <f t="shared" si="0"/>
        <v>2</v>
      </c>
      <c r="B3" s="23">
        <v>45306</v>
      </c>
      <c r="C3" s="23">
        <v>45261</v>
      </c>
      <c r="D3" s="23">
        <v>45291</v>
      </c>
      <c r="E3" s="4">
        <v>20201034</v>
      </c>
      <c r="F3" s="22" t="s">
        <v>19</v>
      </c>
      <c r="G3" s="6" t="s">
        <v>202</v>
      </c>
      <c r="H3" s="22" t="s">
        <v>203</v>
      </c>
      <c r="I3" s="6" t="s">
        <v>211</v>
      </c>
      <c r="J3" s="5">
        <v>40000</v>
      </c>
    </row>
    <row r="4" spans="1:13" x14ac:dyDescent="0.25">
      <c r="A4" s="3">
        <f t="shared" si="0"/>
        <v>3</v>
      </c>
      <c r="B4" s="23">
        <v>45306</v>
      </c>
      <c r="C4" s="23">
        <v>45261</v>
      </c>
      <c r="D4" s="23">
        <v>45291</v>
      </c>
      <c r="E4" s="4">
        <v>20201055</v>
      </c>
      <c r="F4" s="22" t="s">
        <v>71</v>
      </c>
      <c r="G4" s="6" t="s">
        <v>201</v>
      </c>
      <c r="H4" s="22" t="s">
        <v>204</v>
      </c>
      <c r="I4" s="6" t="s">
        <v>211</v>
      </c>
      <c r="J4" s="5">
        <v>20000</v>
      </c>
    </row>
    <row r="5" spans="1:13" x14ac:dyDescent="0.25">
      <c r="A5" s="3">
        <f t="shared" si="0"/>
        <v>4</v>
      </c>
      <c r="B5" s="23">
        <v>45306</v>
      </c>
      <c r="C5" s="23">
        <v>45261</v>
      </c>
      <c r="D5" s="23">
        <v>45291</v>
      </c>
      <c r="E5" s="4">
        <v>20201046</v>
      </c>
      <c r="F5" s="22" t="s">
        <v>83</v>
      </c>
      <c r="G5" s="6" t="s">
        <v>205</v>
      </c>
      <c r="H5" s="22" t="s">
        <v>206</v>
      </c>
      <c r="I5" s="6" t="s">
        <v>210</v>
      </c>
      <c r="J5" s="5">
        <v>40000</v>
      </c>
    </row>
    <row r="6" spans="1:13" x14ac:dyDescent="0.25">
      <c r="A6" s="3">
        <f t="shared" si="0"/>
        <v>5</v>
      </c>
      <c r="B6" s="23">
        <v>45306</v>
      </c>
      <c r="C6" s="23">
        <v>45261</v>
      </c>
      <c r="D6" s="23">
        <v>45291</v>
      </c>
      <c r="E6" s="4">
        <v>20201049</v>
      </c>
      <c r="F6" s="22" t="s">
        <v>67</v>
      </c>
      <c r="G6" s="6" t="s">
        <v>207</v>
      </c>
      <c r="H6" s="22" t="s">
        <v>208</v>
      </c>
      <c r="I6" s="6" t="s">
        <v>209</v>
      </c>
      <c r="J6" s="5">
        <v>100000</v>
      </c>
    </row>
    <row r="7" spans="1:13" x14ac:dyDescent="0.25">
      <c r="A7" s="3">
        <f t="shared" si="0"/>
        <v>6</v>
      </c>
      <c r="B7" s="23">
        <v>45306</v>
      </c>
      <c r="C7" s="23">
        <v>45261</v>
      </c>
      <c r="D7" s="23">
        <v>45291</v>
      </c>
      <c r="E7" s="4">
        <v>20201070</v>
      </c>
      <c r="F7" s="22" t="s">
        <v>66</v>
      </c>
      <c r="G7" s="6" t="s">
        <v>212</v>
      </c>
      <c r="H7" s="22" t="s">
        <v>213</v>
      </c>
      <c r="I7" s="6" t="s">
        <v>214</v>
      </c>
      <c r="J7" s="5">
        <v>100000</v>
      </c>
    </row>
    <row r="8" spans="1:13" x14ac:dyDescent="0.25">
      <c r="A8" s="3">
        <f t="shared" si="0"/>
        <v>7</v>
      </c>
      <c r="B8" s="23">
        <v>45306</v>
      </c>
      <c r="C8" s="23">
        <v>45261</v>
      </c>
      <c r="D8" s="23">
        <v>45291</v>
      </c>
      <c r="E8" s="4">
        <v>20201078</v>
      </c>
      <c r="F8" s="22" t="s">
        <v>44</v>
      </c>
      <c r="G8" s="6" t="s">
        <v>215</v>
      </c>
      <c r="H8" s="22" t="s">
        <v>216</v>
      </c>
      <c r="I8" s="6" t="s">
        <v>214</v>
      </c>
      <c r="J8" s="5">
        <v>40000</v>
      </c>
    </row>
    <row r="9" spans="1:13" x14ac:dyDescent="0.25">
      <c r="A9" s="3">
        <f t="shared" si="0"/>
        <v>8</v>
      </c>
      <c r="B9" s="23">
        <v>45306</v>
      </c>
      <c r="C9" s="23">
        <v>45261</v>
      </c>
      <c r="D9" s="23">
        <v>45291</v>
      </c>
      <c r="E9" s="4">
        <v>20201058</v>
      </c>
      <c r="F9" s="22" t="s">
        <v>78</v>
      </c>
      <c r="G9" s="6" t="s">
        <v>220</v>
      </c>
      <c r="H9" s="22" t="s">
        <v>221</v>
      </c>
      <c r="I9" s="6" t="s">
        <v>222</v>
      </c>
      <c r="J9" s="5">
        <v>90909</v>
      </c>
    </row>
    <row r="10" spans="1:13" x14ac:dyDescent="0.25">
      <c r="A10" s="3">
        <f t="shared" si="0"/>
        <v>9</v>
      </c>
      <c r="B10" s="23">
        <v>45306</v>
      </c>
      <c r="C10" s="23">
        <v>45261</v>
      </c>
      <c r="D10" s="23">
        <v>45291</v>
      </c>
      <c r="E10" s="4">
        <v>20201016</v>
      </c>
      <c r="F10" s="22" t="s">
        <v>73</v>
      </c>
      <c r="G10" s="6" t="s">
        <v>220</v>
      </c>
      <c r="H10" s="22" t="s">
        <v>221</v>
      </c>
      <c r="I10" s="6" t="s">
        <v>222</v>
      </c>
      <c r="J10" s="5">
        <v>90909</v>
      </c>
    </row>
  </sheetData>
  <autoFilter ref="A1:M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0"/>
  <sheetViews>
    <sheetView showGridLines="0" workbookViewId="0">
      <selection activeCell="D31" sqref="D31"/>
    </sheetView>
  </sheetViews>
  <sheetFormatPr defaultRowHeight="13.5" x14ac:dyDescent="0.25"/>
  <cols>
    <col min="1" max="1" width="4.875" style="3" bestFit="1" customWidth="1"/>
    <col min="2" max="2" width="8.5" style="3" bestFit="1" customWidth="1"/>
    <col min="3" max="3" width="11.625" style="3" bestFit="1" customWidth="1"/>
    <col min="4" max="4" width="23" style="3" bestFit="1" customWidth="1"/>
    <col min="5" max="5" width="7.125" style="3" bestFit="1" customWidth="1"/>
    <col min="6" max="7" width="8.375" style="3" bestFit="1" customWidth="1"/>
    <col min="8" max="8" width="6.75" style="3" bestFit="1" customWidth="1"/>
    <col min="9" max="16384" width="9" style="3"/>
  </cols>
  <sheetData>
    <row r="1" spans="1:8" x14ac:dyDescent="0.25">
      <c r="A1" s="3" t="s">
        <v>121</v>
      </c>
      <c r="B1" s="3" t="s">
        <v>194</v>
      </c>
      <c r="C1" s="3" t="s">
        <v>196</v>
      </c>
      <c r="D1" s="3" t="s">
        <v>198</v>
      </c>
      <c r="E1" s="3" t="s">
        <v>0</v>
      </c>
      <c r="F1" s="3" t="s">
        <v>122</v>
      </c>
      <c r="G1" s="3" t="s">
        <v>123</v>
      </c>
      <c r="H1" s="3" t="s">
        <v>115</v>
      </c>
    </row>
    <row r="2" spans="1:8" x14ac:dyDescent="0.25">
      <c r="A2" s="3">
        <f t="shared" ref="A2:A10" si="0">ROW()-1</f>
        <v>1</v>
      </c>
      <c r="B2" s="4">
        <v>20201055</v>
      </c>
      <c r="C2" s="6" t="s">
        <v>201</v>
      </c>
      <c r="D2" s="6" t="s">
        <v>211</v>
      </c>
      <c r="E2" s="5">
        <v>20000</v>
      </c>
    </row>
    <row r="3" spans="1:8" x14ac:dyDescent="0.25">
      <c r="A3" s="3">
        <f t="shared" si="0"/>
        <v>2</v>
      </c>
      <c r="B3" s="4">
        <v>20201034</v>
      </c>
      <c r="C3" s="6" t="s">
        <v>202</v>
      </c>
      <c r="D3" s="6" t="s">
        <v>211</v>
      </c>
      <c r="E3" s="5">
        <v>40000</v>
      </c>
    </row>
    <row r="4" spans="1:8" x14ac:dyDescent="0.25">
      <c r="A4" s="3">
        <f t="shared" si="0"/>
        <v>3</v>
      </c>
      <c r="B4" s="4">
        <v>20201055</v>
      </c>
      <c r="C4" s="6" t="s">
        <v>201</v>
      </c>
      <c r="D4" s="6" t="s">
        <v>211</v>
      </c>
      <c r="E4" s="5">
        <v>20000</v>
      </c>
    </row>
    <row r="5" spans="1:8" x14ac:dyDescent="0.25">
      <c r="A5" s="3">
        <f t="shared" si="0"/>
        <v>4</v>
      </c>
      <c r="B5" s="4">
        <v>20201046</v>
      </c>
      <c r="C5" s="6" t="s">
        <v>205</v>
      </c>
      <c r="D5" s="6" t="s">
        <v>210</v>
      </c>
      <c r="E5" s="5">
        <v>40000</v>
      </c>
    </row>
    <row r="6" spans="1:8" x14ac:dyDescent="0.25">
      <c r="A6" s="3">
        <f t="shared" si="0"/>
        <v>5</v>
      </c>
      <c r="B6" s="4">
        <v>20201049</v>
      </c>
      <c r="C6" s="6" t="s">
        <v>207</v>
      </c>
      <c r="D6" s="6" t="s">
        <v>209</v>
      </c>
      <c r="E6" s="5">
        <v>100000</v>
      </c>
    </row>
    <row r="7" spans="1:8" x14ac:dyDescent="0.25">
      <c r="A7" s="3">
        <f t="shared" si="0"/>
        <v>6</v>
      </c>
      <c r="B7" s="4">
        <v>20201070</v>
      </c>
      <c r="C7" s="6" t="s">
        <v>212</v>
      </c>
      <c r="D7" s="6" t="s">
        <v>214</v>
      </c>
      <c r="E7" s="5">
        <v>100000</v>
      </c>
    </row>
    <row r="8" spans="1:8" x14ac:dyDescent="0.25">
      <c r="A8" s="3">
        <f t="shared" si="0"/>
        <v>7</v>
      </c>
      <c r="B8" s="4">
        <v>20201078</v>
      </c>
      <c r="C8" s="6" t="s">
        <v>215</v>
      </c>
      <c r="D8" s="6" t="s">
        <v>214</v>
      </c>
      <c r="E8" s="5">
        <v>40000</v>
      </c>
    </row>
    <row r="9" spans="1:8" x14ac:dyDescent="0.25">
      <c r="A9" s="3">
        <f t="shared" si="0"/>
        <v>8</v>
      </c>
      <c r="B9" s="4">
        <v>20201058</v>
      </c>
      <c r="C9" s="6" t="s">
        <v>220</v>
      </c>
      <c r="D9" s="6" t="s">
        <v>222</v>
      </c>
      <c r="E9" s="5">
        <v>90909</v>
      </c>
    </row>
    <row r="10" spans="1:8" x14ac:dyDescent="0.25">
      <c r="A10" s="3">
        <f t="shared" si="0"/>
        <v>9</v>
      </c>
      <c r="B10" s="4">
        <v>20201016</v>
      </c>
      <c r="C10" s="6" t="s">
        <v>220</v>
      </c>
      <c r="D10" s="6" t="s">
        <v>222</v>
      </c>
      <c r="E10" s="5">
        <v>90909</v>
      </c>
    </row>
  </sheetData>
  <autoFilter ref="A1:H1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"/>
  <sheetViews>
    <sheetView showGridLines="0" workbookViewId="0">
      <selection activeCell="D17" sqref="D17"/>
    </sheetView>
  </sheetViews>
  <sheetFormatPr defaultRowHeight="13.5" x14ac:dyDescent="0.25"/>
  <cols>
    <col min="1" max="1" width="4.875" style="3" bestFit="1" customWidth="1"/>
    <col min="2" max="2" width="11.625" style="3" bestFit="1" customWidth="1"/>
    <col min="3" max="3" width="11.625" style="3" customWidth="1"/>
    <col min="4" max="4" width="11.625" style="3" bestFit="1" customWidth="1"/>
    <col min="5" max="5" width="8.5" style="3" bestFit="1" customWidth="1"/>
    <col min="6" max="6" width="6.75" style="3" bestFit="1" customWidth="1"/>
    <col min="7" max="7" width="11.625" style="3" bestFit="1" customWidth="1"/>
    <col min="8" max="8" width="22.25" style="3" bestFit="1" customWidth="1"/>
    <col min="9" max="9" width="23" style="3" bestFit="1" customWidth="1"/>
    <col min="10" max="10" width="7.125" style="3" bestFit="1" customWidth="1"/>
    <col min="11" max="12" width="8.375" style="3" bestFit="1" customWidth="1"/>
    <col min="13" max="13" width="6.75" style="3" bestFit="1" customWidth="1"/>
    <col min="14" max="16384" width="9" style="3"/>
  </cols>
  <sheetData>
    <row r="1" spans="1:13" x14ac:dyDescent="0.25">
      <c r="A1" s="3" t="s">
        <v>121</v>
      </c>
      <c r="B1" s="21" t="s">
        <v>193</v>
      </c>
      <c r="C1" s="21" t="s">
        <v>199</v>
      </c>
      <c r="D1" s="21" t="s">
        <v>200</v>
      </c>
      <c r="E1" s="3" t="s">
        <v>194</v>
      </c>
      <c r="F1" s="21" t="s">
        <v>195</v>
      </c>
      <c r="G1" s="3" t="s">
        <v>196</v>
      </c>
      <c r="H1" s="21" t="s">
        <v>197</v>
      </c>
      <c r="I1" s="3" t="s">
        <v>198</v>
      </c>
      <c r="J1" s="3" t="s">
        <v>0</v>
      </c>
      <c r="K1" s="3" t="s">
        <v>122</v>
      </c>
      <c r="L1" s="3" t="s">
        <v>123</v>
      </c>
      <c r="M1" s="3" t="s">
        <v>115</v>
      </c>
    </row>
    <row r="2" spans="1:13" x14ac:dyDescent="0.25">
      <c r="A2" s="24">
        <f t="shared" ref="A2:A3" si="0">ROW()-1</f>
        <v>1</v>
      </c>
      <c r="B2" s="23">
        <v>45306</v>
      </c>
      <c r="C2" s="23">
        <v>45261</v>
      </c>
      <c r="D2" s="23">
        <v>45291</v>
      </c>
      <c r="E2" s="25">
        <v>20201065</v>
      </c>
      <c r="F2" s="22" t="s">
        <v>88</v>
      </c>
      <c r="G2" s="22" t="s">
        <v>217</v>
      </c>
      <c r="H2" s="22" t="s">
        <v>218</v>
      </c>
      <c r="I2" s="26" t="s">
        <v>223</v>
      </c>
      <c r="J2" s="27">
        <v>90000</v>
      </c>
      <c r="K2" s="24"/>
      <c r="L2" s="24"/>
      <c r="M2" s="24"/>
    </row>
    <row r="3" spans="1:13" x14ac:dyDescent="0.25">
      <c r="A3" s="24">
        <f t="shared" si="0"/>
        <v>2</v>
      </c>
      <c r="B3" s="23">
        <v>45306</v>
      </c>
      <c r="C3" s="23">
        <v>45261</v>
      </c>
      <c r="D3" s="23">
        <v>45291</v>
      </c>
      <c r="E3" s="25">
        <v>20201065</v>
      </c>
      <c r="F3" s="22" t="s">
        <v>88</v>
      </c>
      <c r="G3" s="22" t="s">
        <v>217</v>
      </c>
      <c r="H3" s="22" t="s">
        <v>217</v>
      </c>
      <c r="I3" s="26" t="s">
        <v>219</v>
      </c>
      <c r="J3" s="27">
        <v>15000</v>
      </c>
      <c r="K3" s="24"/>
      <c r="L3" s="24"/>
      <c r="M3" s="24"/>
    </row>
  </sheetData>
  <autoFilter ref="A1:M1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"/>
  <sheetViews>
    <sheetView showGridLines="0" workbookViewId="0">
      <selection activeCell="H24" sqref="H24"/>
    </sheetView>
  </sheetViews>
  <sheetFormatPr defaultRowHeight="13.5" x14ac:dyDescent="0.25"/>
  <cols>
    <col min="1" max="1" width="4.875" style="3" bestFit="1" customWidth="1"/>
    <col min="2" max="2" width="8.5" style="3" bestFit="1" customWidth="1"/>
    <col min="3" max="3" width="23" style="3" bestFit="1" customWidth="1"/>
    <col min="4" max="4" width="7.125" style="3" bestFit="1" customWidth="1"/>
    <col min="5" max="6" width="8.375" style="3" bestFit="1" customWidth="1"/>
    <col min="7" max="7" width="6.75" style="3" bestFit="1" customWidth="1"/>
    <col min="8" max="16384" width="9" style="3"/>
  </cols>
  <sheetData>
    <row r="1" spans="1:7" x14ac:dyDescent="0.25">
      <c r="A1" s="3" t="s">
        <v>121</v>
      </c>
      <c r="B1" s="3" t="s">
        <v>194</v>
      </c>
      <c r="C1" s="3" t="s">
        <v>198</v>
      </c>
      <c r="D1" s="3" t="s">
        <v>0</v>
      </c>
      <c r="E1" s="3" t="s">
        <v>122</v>
      </c>
      <c r="F1" s="3" t="s">
        <v>123</v>
      </c>
      <c r="G1" s="3" t="s">
        <v>115</v>
      </c>
    </row>
    <row r="2" spans="1:7" x14ac:dyDescent="0.25">
      <c r="A2" s="24">
        <f t="shared" ref="A2:A3" si="0">ROW()-1</f>
        <v>1</v>
      </c>
      <c r="B2" s="25">
        <v>20201065</v>
      </c>
      <c r="C2" s="26" t="s">
        <v>223</v>
      </c>
      <c r="D2" s="27">
        <v>90000</v>
      </c>
      <c r="E2" s="24"/>
      <c r="F2" s="24"/>
      <c r="G2" s="24"/>
    </row>
    <row r="3" spans="1:7" x14ac:dyDescent="0.25">
      <c r="A3" s="24">
        <f t="shared" si="0"/>
        <v>2</v>
      </c>
      <c r="B3" s="25">
        <v>20201065</v>
      </c>
      <c r="C3" s="26" t="s">
        <v>219</v>
      </c>
      <c r="D3" s="27">
        <v>15000</v>
      </c>
      <c r="E3" s="24"/>
      <c r="F3" s="24"/>
      <c r="G3" s="24"/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4</vt:i4>
      </vt:variant>
    </vt:vector>
  </HeadingPairs>
  <TitlesOfParts>
    <vt:vector size="10" baseType="lpstr">
      <vt:lpstr>employee</vt:lpstr>
      <vt:lpstr>지원금</vt:lpstr>
      <vt:lpstr>DATA</vt:lpstr>
      <vt:lpstr>DATA_1</vt:lpstr>
      <vt:lpstr>DATA2</vt:lpstr>
      <vt:lpstr>DATA2_1</vt:lpstr>
      <vt:lpstr>employee!JWLee</vt:lpstr>
      <vt:lpstr>employee!JWLee_7</vt:lpstr>
      <vt:lpstr>employee!JWLee_8</vt:lpstr>
      <vt:lpstr>employee!JWLee_9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Jongwook Lee</cp:lastModifiedBy>
  <dcterms:created xsi:type="dcterms:W3CDTF">2015-06-05T18:19:34Z</dcterms:created>
  <dcterms:modified xsi:type="dcterms:W3CDTF">2024-01-06T07:43:42Z</dcterms:modified>
</cp:coreProperties>
</file>