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2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List!$A$1:$V$243</definedName>
    <definedName name="JWLee_2" localSheetId="0">Customer!$A$1:$F$29</definedName>
    <definedName name="JWLee_2" localSheetId="2">List!$A$1:$P$624</definedName>
    <definedName name="JWLee_20" localSheetId="2">List!$A$1:$V$5</definedName>
    <definedName name="JWLee_21" localSheetId="2">List!$A$1:$V$14</definedName>
    <definedName name="JWLee_22" localSheetId="2">List!$A$1:$V$2</definedName>
    <definedName name="JWLee_23" localSheetId="2">List!$A$1:$V$2</definedName>
    <definedName name="JWLee_24" localSheetId="2">List!$A$1:$V$3</definedName>
    <definedName name="JWLee_25" localSheetId="2">List!$A$1:$V$2</definedName>
    <definedName name="JWLee_26" localSheetId="2">List!$A$1:$V$2</definedName>
    <definedName name="JWLee_27" localSheetId="2">List!$A$1:$V$2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<sst xmlns="http://schemas.openxmlformats.org/spreadsheetml/2006/main" count="179" uniqueCount="85">
  <si>
    <t>dname</t>
  </si>
  <si>
    <t>remark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</si>
  <si>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</si>
  <si>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</si>
  <si>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</si>
  <si>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</si>
  <si>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</si>
  <si>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</si>
  <si>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</si>
  <si>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</si>
  <si>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</si>
  <si>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</si>
  <si>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</si>
  <si>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</si>
  <si>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</si>
  <si>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</si>
  <si>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</si>
  <si>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</si>
  <si>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</si>
  <si>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</si>
  <si>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</si>
  <si>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</si>
  <si>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</si>
  <si>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</si>
  <si>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</si>
  <si>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</si>
  <si>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</si>
  <si>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</si>
  <si>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</si>
  <si>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</si>
  <si>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</si>
  <si>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</si>
  <si>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</si>
  <si>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</si>
  <si>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</si>
  <si>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</si>
  <si>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</si>
  <si>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</si>
  <si>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</si>
  <si>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</si>
  <si>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</si>
  <si>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</si>
  <si>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</si>
  <si>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</si>
  <si>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</si>
  <si>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</si>
  <si>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</si>
  <si>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</si>
  <si>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</si>
  <si>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</si>
  <si>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</si>
  <si>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</si>
  <si>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</si>
  <si>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</si>
  <si>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</si>
  <si>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</si>
  <si>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</si>
  <si>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</si>
  <si>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</si>
  <si>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</si>
  <si>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</si>
  <si>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</si>
  <si>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</si>
  <si>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</si>
  <si>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</si>
  <si>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</si>
  <si>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</si>
  <si>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</si>
  <si>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</si>
  <si>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</si>
  <si>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</si>
  <si>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</si>
  <si>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</si>
  <si>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</si>
  <si>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</si>
  <si>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</si>
  <si>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</si>
  <si>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</si>
  <si>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세종메이저</t>
    <phoneticPr fontId="1" type="noConversion"/>
  </si>
  <si>
    <t>전자제품</t>
  </si>
  <si>
    <t>생활가전</t>
  </si>
  <si>
    <t>상차도</t>
  </si>
  <si>
    <t>kg</t>
  </si>
  <si>
    <t>5896</t>
  </si>
  <si>
    <t>1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</si>
</sst>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2" borderId="0" xfId="0" applyNumberFormat="1" applyFont="1" applyFill="1"/>
    <xf numFmtId="1" fontId="4" fillId="2" borderId="0" xfId="0" applyNumberFormat="1" applyFont="1" applyFill="1"/>
    <xf numFmtId="3" fontId="4" fillId="2" borderId="0" xfId="0" applyNumberFormat="1" applyFont="1" applyFill="1"/>
  </cellXfs>
  <cellStyles count="1">
    <cellStyle name="표준" xfId="0" builtinId="0"/>
  </cellStyles>
  <dxfs count="32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590550</xdr:colOff>
          <xdr:row>1</xdr:row>
          <xdr:rowOff>38100</xdr:rowOff>
        </xdr:from>
        <xdr:to>
          <xdr:col>21</xdr:col>
          <xdr:colOff>581025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295.615197569445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31" maxValue="131"/>
    </cacheField>
    <cacheField name="입력일자" numFmtId="0">
      <sharedItems containsNonDate="0" containsDate="1" containsString="0" containsBlank="1" minDate="2024-01-03T00:00:00" maxDate="2024-01-04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1" count="4">
        <n v="1"/>
        <m/>
        <n v="10" u="1"/>
        <n v="11" u="1"/>
      </sharedItems>
    </cacheField>
    <cacheField name="입력일" numFmtId="0">
      <sharedItems containsString="0" containsBlank="1" containsNumber="1" containsInteger="1" minValue="1" maxValue="31" count="32">
        <n v="3"/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12" u="1"/>
      </sharedItems>
    </cacheField>
    <cacheField name="실입고일" numFmtId="0">
      <sharedItems containsNonDate="0" containsDate="1" containsString="0" containsBlank="1" minDate="2024-01-03T00:00:00" maxDate="2024-01-04T00:00:00"/>
    </cacheField>
    <cacheField name="거래처명" numFmtId="0">
      <sharedItems containsBlank="1" count="9">
        <s v="세종메이저"/>
        <m/>
        <s v="케이팝" u="1"/>
        <s v="미래환경" u="1"/>
        <s v="이수페이퍼" u="1"/>
        <s v="공병자원" u="1"/>
        <s v="신현수지" u="1"/>
        <s v="대성리싸이클링" u="1"/>
        <s v="수정자원" u="1"/>
      </sharedItems>
    </cacheField>
    <cacheField name="지역" numFmtId="0">
      <sharedItems containsNonDate="0" containsBlank="1" count="5">
        <m/>
        <s v="익산" u="1"/>
        <s v="광주" u="1"/>
        <s v="수정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11">
        <s v="생활가전"/>
        <m/>
        <s v="플라스틱" u="1"/>
        <s v="혼합" u="1"/>
        <s v="공병" u="1"/>
        <s v="잡병" u="1"/>
        <s v="책" u="1"/>
        <s v="헌옷" u="1"/>
        <s v="파지" u="1"/>
        <s v="신문지" u="1"/>
        <s v="비닐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5690" maxValue="5690"/>
    </cacheField>
    <cacheField name="단가" numFmtId="0">
      <sharedItems containsString="0" containsBlank="1" containsNumber="1" containsInteger="1" minValue="250" maxValue="250"/>
    </cacheField>
    <cacheField name="공급가" numFmtId="0">
      <sharedItems containsString="0" containsBlank="1" containsNumber="1" containsInteger="1" minValue="1422500" maxValue="1422500"/>
    </cacheField>
    <cacheField name="부가세" numFmtId="0">
      <sharedItems containsString="0" containsBlank="1" containsNumber="1" containsInteger="1" minValue="142250" maxValue="142250"/>
    </cacheField>
    <cacheField name="총액" numFmtId="0">
      <sharedItems containsString="0" containsBlank="1" containsNumber="1" minValue="1564750.0000000002" maxValue="1564750.0000000002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31"/>
    <d v="2024-01-03T00:00:00"/>
    <n v="2024"/>
    <x v="0"/>
    <x v="0"/>
    <d v="2024-01-03T00:00:00"/>
    <x v="0"/>
    <x v="0"/>
    <s v="5896"/>
    <s v="세종메이저"/>
    <s v="cus"/>
    <s v="전자제품"/>
    <s v=""/>
    <x v="0"/>
    <s v="상차도"/>
    <s v="kg"/>
    <n v="5690"/>
    <n v="250"/>
    <n v="1422500"/>
    <n v="142250"/>
    <n v="1564750.0000000002"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  <r>
    <m/>
    <m/>
    <m/>
    <x v="1"/>
    <x v="1"/>
    <m/>
    <x v="1"/>
    <x v="0"/>
    <m/>
    <m/>
    <m/>
    <m/>
    <m/>
    <x v="1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D8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1"/>
        <item x="0"/>
        <item h="1" m="1" x="3"/>
        <item t="default"/>
      </items>
    </pivotField>
    <pivotField axis="axisRow" compact="0" outline="0" showAll="0">
      <items count="33">
        <item m="1" x="16"/>
        <item m="1" x="6"/>
        <item x="0"/>
        <item m="1" x="30"/>
        <item m="1" x="3"/>
        <item m="1" x="7"/>
        <item m="1" x="12"/>
        <item m="1" x="18"/>
        <item m="1" x="21"/>
        <item m="1" x="24"/>
        <item m="1" x="27"/>
        <item m="1" x="31"/>
        <item m="1" x="2"/>
        <item m="1" x="4"/>
        <item m="1" x="5"/>
        <item m="1" x="8"/>
        <item m="1" x="9"/>
        <item m="1" x="10"/>
        <item m="1" x="11"/>
        <item m="1" x="13"/>
        <item x="1"/>
        <item m="1" x="14"/>
        <item m="1" x="15"/>
        <item m="1" x="17"/>
        <item m="1" x="19"/>
        <item m="1" x="20"/>
        <item m="1" x="22"/>
        <item m="1" x="23"/>
        <item m="1" x="25"/>
        <item m="1" x="26"/>
        <item m="1" x="29"/>
        <item m="1" x="28"/>
        <item t="default"/>
      </items>
    </pivotField>
    <pivotField compact="0" outline="0" showAll="0"/>
    <pivotField axis="axisPage" compact="0" outline="0" multipleItemSelectionAllowed="1" showAll="0">
      <items count="10">
        <item m="1" x="8"/>
        <item h="1" x="1"/>
        <item m="1" x="4"/>
        <item m="1" x="7"/>
        <item m="1" x="5"/>
        <item m="1" x="3"/>
        <item m="1" x="6"/>
        <item m="1" x="2"/>
        <item x="0"/>
        <item t="default"/>
      </items>
    </pivotField>
    <pivotField axis="axisPage" compact="0" outline="0" showAll="0">
      <items count="6">
        <item m="1" x="4"/>
        <item m="1" x="1"/>
        <item x="0"/>
        <item m="1" x="2"/>
        <item m="1" x="3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12">
        <item m="1" x="9"/>
        <item m="1" x="8"/>
        <item x="1"/>
        <item m="1" x="6"/>
        <item m="1" x="4"/>
        <item m="1" x="5"/>
        <item m="1" x="3"/>
        <item m="1" x="10"/>
        <item m="1" x="2"/>
        <item m="1" x="7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3">
    <i>
      <x v="2"/>
      <x v="2"/>
    </i>
    <i t="default">
      <x v="2"/>
    </i>
    <i t="grand">
      <x/>
    </i>
  </rowItems>
  <colFields count="1">
    <field x="13"/>
  </colFields>
  <colItems count="2">
    <i>
      <x v="10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3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dataOnly="0" labelOnly="1" outline="0" fieldPosition="0">
        <references count="1">
          <reference field="3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9">
      <pivotArea dataOnly="0" labelOnly="1" outline="0" fieldPosition="0">
        <references count="1">
          <reference field="13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8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1"/>
        <item x="0"/>
        <item h="1" m="1" x="3"/>
        <item t="default"/>
      </items>
    </pivotField>
    <pivotField axis="axisRow" compact="0" outline="0" showAll="0">
      <items count="33">
        <item m="1" x="16"/>
        <item m="1" x="6"/>
        <item x="0"/>
        <item m="1" x="30"/>
        <item m="1" x="3"/>
        <item m="1" x="7"/>
        <item m="1" x="12"/>
        <item m="1" x="18"/>
        <item m="1" x="21"/>
        <item m="1" x="24"/>
        <item m="1" x="27"/>
        <item m="1" x="31"/>
        <item m="1" x="2"/>
        <item m="1" x="4"/>
        <item m="1" x="5"/>
        <item m="1" x="8"/>
        <item m="1" x="9"/>
        <item m="1" x="10"/>
        <item m="1" x="11"/>
        <item m="1" x="13"/>
        <item x="1"/>
        <item m="1" x="14"/>
        <item m="1" x="15"/>
        <item m="1" x="17"/>
        <item m="1" x="19"/>
        <item m="1" x="20"/>
        <item m="1" x="22"/>
        <item m="1" x="23"/>
        <item m="1" x="25"/>
        <item m="1" x="26"/>
        <item m="1" x="29"/>
        <item m="1" x="28"/>
        <item t="default"/>
      </items>
    </pivotField>
    <pivotField compact="0" outline="0" showAll="0"/>
    <pivotField axis="axisPage" compact="0" outline="0" multipleItemSelectionAllowed="1" showAll="0">
      <items count="10">
        <item m="1" x="8"/>
        <item h="1" x="1"/>
        <item m="1" x="4"/>
        <item m="1" x="7"/>
        <item m="1" x="5"/>
        <item m="1" x="3"/>
        <item m="1" x="6"/>
        <item m="1" x="2"/>
        <item x="0"/>
        <item t="default"/>
      </items>
    </pivotField>
    <pivotField axis="axisPage" compact="0" outline="0" showAll="0">
      <items count="6">
        <item m="1" x="4"/>
        <item m="1" x="1"/>
        <item x="0"/>
        <item m="1" x="2"/>
        <item m="1" x="3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12">
        <item m="1" x="9"/>
        <item m="1" x="8"/>
        <item x="1"/>
        <item m="1" x="6"/>
        <item m="1" x="4"/>
        <item m="1" x="5"/>
        <item m="1" x="3"/>
        <item m="1" x="10"/>
        <item m="1" x="2"/>
        <item m="1" x="7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3">
    <i>
      <x v="2"/>
      <x v="2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2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9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1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3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4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16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7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8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1.xml><?xml version="1.0" encoding="utf-8"?>
<queryTable xmlns="http://schemas.openxmlformats.org/spreadsheetml/2006/main" name="JWLee_2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23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6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8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9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0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1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2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3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26" Type="http://schemas.openxmlformats.org/officeDocument/2006/relationships/queryTable" Target="../queryTables/queryTable27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29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32" Type="http://schemas.openxmlformats.org/officeDocument/2006/relationships/queryTable" Target="../queryTables/queryTable33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28" Type="http://schemas.openxmlformats.org/officeDocument/2006/relationships/queryTable" Target="../queryTables/queryTable29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31" Type="http://schemas.openxmlformats.org/officeDocument/2006/relationships/queryTable" Target="../queryTables/queryTable32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Relationship Id="rId30" Type="http://schemas.openxmlformats.org/officeDocument/2006/relationships/queryTable" Target="../queryTables/queryTable3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20" sqref="I20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2</v>
      </c>
      <c r="B1" s="7" t="s">
        <v>31</v>
      </c>
      <c r="C1" s="7" t="s">
        <v>32</v>
      </c>
      <c r="D1" s="7" t="s">
        <v>33</v>
      </c>
      <c r="E1" s="7" t="s">
        <v>34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58</v>
      </c>
      <c r="D2" s="6" t="s">
        <v>59</v>
      </c>
      <c r="E2" s="6" t="s">
        <v>36</v>
      </c>
    </row>
    <row r="3" spans="1:6" x14ac:dyDescent="0.25">
      <c r="A3" s="6">
        <v>1</v>
      </c>
      <c r="B3" s="6">
        <v>80000004</v>
      </c>
      <c r="C3" s="6" t="s">
        <v>35</v>
      </c>
      <c r="D3" s="6" t="s">
        <v>70</v>
      </c>
      <c r="E3" s="6" t="s">
        <v>36</v>
      </c>
      <c r="F3" s="6" t="s">
        <v>23</v>
      </c>
    </row>
    <row r="4" spans="1:6" x14ac:dyDescent="0.25">
      <c r="A4" s="6">
        <v>16</v>
      </c>
      <c r="B4" s="6">
        <v>80000019</v>
      </c>
      <c r="C4" s="6" t="s">
        <v>51</v>
      </c>
      <c r="D4" s="6" t="s">
        <v>70</v>
      </c>
      <c r="E4" s="6" t="s">
        <v>36</v>
      </c>
    </row>
    <row r="5" spans="1:6" x14ac:dyDescent="0.25">
      <c r="A5" s="6">
        <v>7</v>
      </c>
      <c r="B5" s="6">
        <v>80000010</v>
      </c>
      <c r="C5" s="6" t="s">
        <v>42</v>
      </c>
      <c r="D5" s="6" t="s">
        <v>70</v>
      </c>
      <c r="E5" s="6" t="s">
        <v>36</v>
      </c>
      <c r="F5" s="6" t="s">
        <v>23</v>
      </c>
    </row>
    <row r="6" spans="1:6" x14ac:dyDescent="0.25">
      <c r="A6" s="6">
        <v>6</v>
      </c>
      <c r="B6" s="6">
        <v>80000009</v>
      </c>
      <c r="C6" s="6" t="s">
        <v>30</v>
      </c>
      <c r="D6" s="6" t="s">
        <v>70</v>
      </c>
      <c r="E6" s="6" t="s">
        <v>36</v>
      </c>
      <c r="F6" s="6" t="s">
        <v>23</v>
      </c>
    </row>
    <row r="7" spans="1:6" x14ac:dyDescent="0.25">
      <c r="A7" s="6">
        <v>4</v>
      </c>
      <c r="B7" s="6">
        <v>80000007</v>
      </c>
      <c r="C7" s="6" t="s">
        <v>39</v>
      </c>
      <c r="D7" s="6" t="s">
        <v>70</v>
      </c>
      <c r="E7" s="6" t="s">
        <v>36</v>
      </c>
      <c r="F7" s="6" t="s">
        <v>23</v>
      </c>
    </row>
    <row r="8" spans="1:6" x14ac:dyDescent="0.25">
      <c r="A8" s="6">
        <v>25</v>
      </c>
      <c r="B8" s="6">
        <v>80000025</v>
      </c>
      <c r="C8" s="6" t="s">
        <v>60</v>
      </c>
      <c r="D8" s="6" t="s">
        <v>61</v>
      </c>
      <c r="E8" s="6" t="s">
        <v>36</v>
      </c>
      <c r="F8" s="6" t="s">
        <v>62</v>
      </c>
    </row>
    <row r="9" spans="1:6" x14ac:dyDescent="0.25">
      <c r="A9" s="6">
        <v>12</v>
      </c>
      <c r="B9" s="6">
        <v>80000015</v>
      </c>
      <c r="C9" s="6" t="s">
        <v>47</v>
      </c>
      <c r="D9" s="6" t="s">
        <v>70</v>
      </c>
      <c r="E9" s="6" t="s">
        <v>41</v>
      </c>
    </row>
    <row r="10" spans="1:6" x14ac:dyDescent="0.25">
      <c r="A10" s="6">
        <v>10</v>
      </c>
      <c r="B10" s="6">
        <v>80000013</v>
      </c>
      <c r="C10" s="6" t="s">
        <v>45</v>
      </c>
      <c r="D10" s="6" t="s">
        <v>70</v>
      </c>
      <c r="E10" s="6" t="s">
        <v>36</v>
      </c>
      <c r="F10" s="6" t="s">
        <v>23</v>
      </c>
    </row>
    <row r="11" spans="1:6" x14ac:dyDescent="0.25">
      <c r="A11" s="6">
        <v>15</v>
      </c>
      <c r="B11" s="6">
        <v>80000018</v>
      </c>
      <c r="C11" s="6" t="s">
        <v>50</v>
      </c>
      <c r="D11" s="6" t="s">
        <v>70</v>
      </c>
      <c r="E11" s="6" t="s">
        <v>36</v>
      </c>
    </row>
    <row r="12" spans="1:6" x14ac:dyDescent="0.25">
      <c r="A12" s="6">
        <v>19</v>
      </c>
      <c r="B12" s="6">
        <v>80000022</v>
      </c>
      <c r="C12" s="6" t="s">
        <v>54</v>
      </c>
      <c r="D12" s="6" t="s">
        <v>71</v>
      </c>
      <c r="E12" s="6" t="s">
        <v>41</v>
      </c>
    </row>
    <row r="13" spans="1:6" x14ac:dyDescent="0.25">
      <c r="A13" s="6">
        <v>11</v>
      </c>
      <c r="B13" s="6">
        <v>80000014</v>
      </c>
      <c r="C13" s="6" t="s">
        <v>46</v>
      </c>
      <c r="D13" s="6" t="s">
        <v>70</v>
      </c>
      <c r="E13" s="6" t="s">
        <v>36</v>
      </c>
    </row>
    <row r="14" spans="1:6" x14ac:dyDescent="0.25">
      <c r="A14" s="6">
        <v>2</v>
      </c>
      <c r="B14" s="6">
        <v>80000005</v>
      </c>
      <c r="C14" s="6" t="s">
        <v>37</v>
      </c>
      <c r="D14" s="6" t="s">
        <v>70</v>
      </c>
      <c r="E14" s="6" t="s">
        <v>36</v>
      </c>
      <c r="F14" s="6" t="s">
        <v>23</v>
      </c>
    </row>
    <row r="15" spans="1:6" x14ac:dyDescent="0.25">
      <c r="A15" s="6">
        <v>23</v>
      </c>
      <c r="B15" s="6">
        <v>80000002</v>
      </c>
      <c r="C15" s="6" t="s">
        <v>63</v>
      </c>
      <c r="D15" s="6" t="s">
        <v>59</v>
      </c>
      <c r="E15" s="6" t="s">
        <v>36</v>
      </c>
    </row>
    <row r="16" spans="1:6" x14ac:dyDescent="0.25">
      <c r="A16" s="6">
        <v>27</v>
      </c>
      <c r="B16" s="6">
        <v>80000027</v>
      </c>
      <c r="C16" s="6" t="s">
        <v>64</v>
      </c>
      <c r="D16" s="6" t="s">
        <v>59</v>
      </c>
      <c r="E16" s="6" t="s">
        <v>36</v>
      </c>
    </row>
    <row r="17" spans="1:6" x14ac:dyDescent="0.25">
      <c r="A17" s="6">
        <v>26</v>
      </c>
      <c r="B17" s="6">
        <v>80000026</v>
      </c>
      <c r="C17" s="6" t="s">
        <v>65</v>
      </c>
      <c r="D17" s="6" t="s">
        <v>59</v>
      </c>
      <c r="E17" s="6" t="s">
        <v>36</v>
      </c>
    </row>
    <row r="18" spans="1:6" x14ac:dyDescent="0.25">
      <c r="A18" s="6">
        <v>8</v>
      </c>
      <c r="B18" s="6">
        <v>80000011</v>
      </c>
      <c r="C18" s="6" t="s">
        <v>43</v>
      </c>
      <c r="D18" s="6" t="s">
        <v>70</v>
      </c>
      <c r="E18" s="6" t="s">
        <v>36</v>
      </c>
      <c r="F18" s="6" t="s">
        <v>23</v>
      </c>
    </row>
    <row r="19" spans="1:6" x14ac:dyDescent="0.25">
      <c r="A19" s="6">
        <v>22</v>
      </c>
      <c r="B19" s="6">
        <v>80000001</v>
      </c>
      <c r="C19" s="6" t="s">
        <v>66</v>
      </c>
      <c r="D19" s="6" t="s">
        <v>61</v>
      </c>
      <c r="E19" s="6" t="s">
        <v>36</v>
      </c>
      <c r="F19" s="6" t="s">
        <v>67</v>
      </c>
    </row>
    <row r="20" spans="1:6" x14ac:dyDescent="0.25">
      <c r="A20" s="6">
        <v>13</v>
      </c>
      <c r="B20" s="6">
        <v>80000016</v>
      </c>
      <c r="C20" s="6" t="s">
        <v>48</v>
      </c>
      <c r="D20" s="6" t="s">
        <v>70</v>
      </c>
      <c r="E20" s="6" t="s">
        <v>36</v>
      </c>
    </row>
    <row r="21" spans="1:6" x14ac:dyDescent="0.25">
      <c r="A21" s="6">
        <v>18</v>
      </c>
      <c r="B21" s="6">
        <v>80000021</v>
      </c>
      <c r="C21" s="6" t="s">
        <v>53</v>
      </c>
      <c r="D21" s="6" t="s">
        <v>71</v>
      </c>
      <c r="E21" s="6" t="s">
        <v>36</v>
      </c>
      <c r="F21" s="6" t="s">
        <v>72</v>
      </c>
    </row>
    <row r="22" spans="1:6" x14ac:dyDescent="0.25">
      <c r="A22" s="6">
        <v>5</v>
      </c>
      <c r="B22" s="6">
        <v>80000008</v>
      </c>
      <c r="C22" s="6" t="s">
        <v>40</v>
      </c>
      <c r="D22" s="6" t="s">
        <v>70</v>
      </c>
      <c r="E22" s="6" t="s">
        <v>41</v>
      </c>
      <c r="F22" s="6" t="s">
        <v>23</v>
      </c>
    </row>
    <row r="23" spans="1:6" x14ac:dyDescent="0.25">
      <c r="A23" s="6">
        <v>14</v>
      </c>
      <c r="B23" s="6">
        <v>80000017</v>
      </c>
      <c r="C23" s="6" t="s">
        <v>49</v>
      </c>
      <c r="D23" s="6" t="s">
        <v>70</v>
      </c>
      <c r="E23" s="6" t="s">
        <v>36</v>
      </c>
    </row>
    <row r="24" spans="1:6" x14ac:dyDescent="0.25">
      <c r="A24" s="6">
        <v>30</v>
      </c>
      <c r="B24" s="6">
        <v>80000030</v>
      </c>
      <c r="C24" s="6" t="s">
        <v>73</v>
      </c>
      <c r="D24" s="6" t="s">
        <v>71</v>
      </c>
      <c r="E24" s="6" t="s">
        <v>36</v>
      </c>
      <c r="F24" s="6" t="s">
        <v>72</v>
      </c>
    </row>
    <row r="25" spans="1:6" x14ac:dyDescent="0.25">
      <c r="A25" s="6">
        <v>9</v>
      </c>
      <c r="B25" s="6">
        <v>80000012</v>
      </c>
      <c r="C25" s="6" t="s">
        <v>44</v>
      </c>
      <c r="D25" s="6" t="s">
        <v>70</v>
      </c>
      <c r="E25" s="6" t="s">
        <v>36</v>
      </c>
      <c r="F25" s="6" t="s">
        <v>23</v>
      </c>
    </row>
    <row r="26" spans="1:6" x14ac:dyDescent="0.25">
      <c r="A26" s="6">
        <v>3</v>
      </c>
      <c r="B26" s="6">
        <v>80000006</v>
      </c>
      <c r="C26" s="6" t="s">
        <v>38</v>
      </c>
      <c r="D26" s="6" t="s">
        <v>70</v>
      </c>
      <c r="E26" s="6" t="s">
        <v>36</v>
      </c>
      <c r="F26" s="6" t="s">
        <v>23</v>
      </c>
    </row>
    <row r="27" spans="1:6" x14ac:dyDescent="0.25">
      <c r="A27" s="6">
        <v>17</v>
      </c>
      <c r="B27" s="6">
        <v>80000020</v>
      </c>
      <c r="C27" s="6" t="s">
        <v>52</v>
      </c>
      <c r="D27" s="6" t="s">
        <v>70</v>
      </c>
      <c r="E27" s="6" t="s">
        <v>36</v>
      </c>
    </row>
    <row r="28" spans="1:6" x14ac:dyDescent="0.25">
      <c r="A28" s="6">
        <v>24</v>
      </c>
      <c r="B28" s="6">
        <v>80000003</v>
      </c>
      <c r="C28" s="6" t="s">
        <v>68</v>
      </c>
      <c r="D28" s="6" t="s">
        <v>61</v>
      </c>
      <c r="E28" s="6" t="s">
        <v>36</v>
      </c>
      <c r="F28" s="6" t="s">
        <v>69</v>
      </c>
    </row>
    <row r="29" spans="1:6" x14ac:dyDescent="0.25">
      <c r="A29" s="6">
        <v>21</v>
      </c>
      <c r="B29" s="6">
        <v>80000024</v>
      </c>
      <c r="C29" s="6" t="s">
        <v>56</v>
      </c>
      <c r="D29" s="6" t="s">
        <v>71</v>
      </c>
      <c r="E29" s="6" t="s">
        <v>36</v>
      </c>
      <c r="F29" s="6" t="s">
        <v>72</v>
      </c>
    </row>
    <row r="30" spans="1:6" x14ac:dyDescent="0.25">
      <c r="A30" s="6">
        <v>29</v>
      </c>
      <c r="B30" s="6">
        <v>80000029</v>
      </c>
      <c r="C30" s="6" t="s">
        <v>74</v>
      </c>
      <c r="D30" s="6" t="s">
        <v>71</v>
      </c>
      <c r="E30" s="6" t="s">
        <v>36</v>
      </c>
      <c r="F30" s="6" t="s">
        <v>72</v>
      </c>
    </row>
    <row r="31" spans="1:6" x14ac:dyDescent="0.25">
      <c r="A31" s="6">
        <v>32</v>
      </c>
      <c r="B31" s="6">
        <v>80000032</v>
      </c>
      <c r="C31" s="6" t="s">
        <v>75</v>
      </c>
      <c r="D31" s="6" t="s">
        <v>70</v>
      </c>
      <c r="E31" s="6" t="s">
        <v>36</v>
      </c>
      <c r="F31" s="6" t="s">
        <v>76</v>
      </c>
    </row>
    <row r="32" spans="1:6" x14ac:dyDescent="0.25">
      <c r="A32" s="6">
        <v>20</v>
      </c>
      <c r="B32" s="6">
        <v>80000023</v>
      </c>
      <c r="C32" s="6" t="s">
        <v>55</v>
      </c>
      <c r="D32" s="6" t="s">
        <v>71</v>
      </c>
      <c r="E32" s="6" t="s">
        <v>41</v>
      </c>
      <c r="F32" s="6" t="s">
        <v>72</v>
      </c>
    </row>
    <row r="33" spans="1:6" x14ac:dyDescent="0.25">
      <c r="A33" s="6">
        <v>31</v>
      </c>
      <c r="B33" s="6">
        <v>80000031</v>
      </c>
      <c r="C33" s="6" t="s">
        <v>77</v>
      </c>
      <c r="D33" s="6" t="s">
        <v>71</v>
      </c>
      <c r="E33" s="6" t="s">
        <v>36</v>
      </c>
      <c r="F33" s="6" t="s">
        <v>72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D15" sqref="D15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57</v>
      </c>
      <c r="B1" s="9" t="s">
        <v>78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9.625" style="1" bestFit="1" customWidth="1"/>
    <col min="11" max="11" width="5" style="1" bestFit="1" customWidth="1"/>
    <col min="12" max="12" width="8" style="1" bestFit="1" customWidth="1"/>
    <col min="13" max="13" width="7.75" style="1" bestFit="1" customWidth="1"/>
    <col min="14" max="14" width="8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1" width="8.3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2</v>
      </c>
      <c r="B1" s="10" t="s">
        <v>3</v>
      </c>
      <c r="C1" s="11" t="s">
        <v>4</v>
      </c>
      <c r="D1" s="11" t="s">
        <v>5</v>
      </c>
      <c r="E1" s="11" t="s">
        <v>6</v>
      </c>
      <c r="F1" s="10" t="s">
        <v>14</v>
      </c>
      <c r="G1" s="7" t="s">
        <v>15</v>
      </c>
      <c r="H1" s="7" t="s">
        <v>16</v>
      </c>
      <c r="I1" s="7" t="s">
        <v>24</v>
      </c>
      <c r="J1" s="7" t="s">
        <v>25</v>
      </c>
      <c r="K1" s="7" t="s">
        <v>26</v>
      </c>
      <c r="L1" s="7" t="s">
        <v>17</v>
      </c>
      <c r="M1" s="7" t="s">
        <v>18</v>
      </c>
      <c r="N1" s="7" t="s">
        <v>7</v>
      </c>
      <c r="O1" s="7" t="s">
        <v>0</v>
      </c>
      <c r="P1" s="7" t="s">
        <v>8</v>
      </c>
      <c r="Q1" s="12" t="s">
        <v>9</v>
      </c>
      <c r="R1" s="12" t="s">
        <v>10</v>
      </c>
      <c r="S1" s="12" t="s">
        <v>11</v>
      </c>
      <c r="T1" s="12" t="s">
        <v>12</v>
      </c>
      <c r="U1" s="12" t="s">
        <v>13</v>
      </c>
      <c r="V1" s="7" t="s">
        <v>1</v>
      </c>
    </row>
    <row r="2" spans="1:22" x14ac:dyDescent="0.25">
      <c r="A2" s="1">
        <v>131</v>
      </c>
      <c r="B2" s="2">
        <v>45294</v>
      </c>
      <c r="C2" s="4">
        <v>2024</v>
      </c>
      <c r="D2" s="4">
        <v>1</v>
      </c>
      <c r="E2" s="4">
        <v>3</v>
      </c>
      <c r="F2" s="2">
        <v>45294</v>
      </c>
      <c r="G2" s="1" t="s">
        <v>46</v>
      </c>
      <c r="I2" s="1" t="s">
        <v>83</v>
      </c>
      <c r="J2" s="1" t="s">
        <v>46</v>
      </c>
      <c r="K2" s="3" t="s">
        <v>70</v>
      </c>
      <c r="L2" s="3" t="s">
        <v>79</v>
      </c>
      <c r="M2" s="3" t="s">
        <v>23</v>
      </c>
      <c r="N2" s="3" t="s">
        <v>80</v>
      </c>
      <c r="O2" s="3" t="s">
        <v>81</v>
      </c>
      <c r="P2" s="3" t="s">
        <v>82</v>
      </c>
      <c r="Q2" s="3">
        <v>5690</v>
      </c>
      <c r="R2" s="3">
        <v>250</v>
      </c>
      <c r="S2" s="3">
        <v>1422500</v>
      </c>
      <c r="T2" s="3">
        <v>142250</v>
      </c>
      <c r="U2" s="3">
        <v>1564750.0000000002</v>
      </c>
    </row>
    <row r="3" spans="1:22" x14ac:dyDescent="0.25">
      <c r="B3" s="2"/>
      <c r="C3" s="4"/>
      <c r="D3" s="4"/>
      <c r="E3" s="4"/>
      <c r="F3" s="2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2" x14ac:dyDescent="0.25">
      <c r="B4" s="2"/>
      <c r="C4" s="4"/>
      <c r="D4" s="4"/>
      <c r="E4" s="4"/>
      <c r="F4" s="2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20</xdr:col>
                    <xdr:colOff>590550</xdr:colOff>
                    <xdr:row>1</xdr:row>
                    <xdr:rowOff>38100</xdr:rowOff>
                  </from>
                  <to>
                    <xdr:col>21</xdr:col>
                    <xdr:colOff>581025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3" sqref="F13"/>
    </sheetView>
  </sheetViews>
  <sheetFormatPr defaultRowHeight="13.5" x14ac:dyDescent="0.25"/>
  <cols>
    <col min="1" max="1" width="11.375" style="6" bestFit="1" customWidth="1"/>
    <col min="2" max="2" width="11.625" style="6" customWidth="1"/>
    <col min="3" max="3" width="8" style="6" customWidth="1"/>
    <col min="4" max="4" width="6.375" style="6" customWidth="1"/>
    <col min="5" max="5" width="6.875" style="6" customWidth="1"/>
    <col min="6" max="6" width="7.875" style="6" customWidth="1"/>
    <col min="7" max="16384" width="9" style="6"/>
  </cols>
  <sheetData>
    <row r="1" spans="1:6" x14ac:dyDescent="0.25">
      <c r="A1" s="5" t="s">
        <v>15</v>
      </c>
      <c r="B1" s="1" t="s">
        <v>46</v>
      </c>
    </row>
    <row r="2" spans="1:6" x14ac:dyDescent="0.25">
      <c r="A2" s="5" t="s">
        <v>16</v>
      </c>
      <c r="B2" s="1" t="s">
        <v>19</v>
      </c>
    </row>
    <row r="4" spans="1:6" ht="16.5" x14ac:dyDescent="0.3">
      <c r="A4" s="5" t="s">
        <v>21</v>
      </c>
      <c r="B4" s="1"/>
      <c r="C4" s="5" t="s">
        <v>7</v>
      </c>
      <c r="D4" s="1"/>
      <c r="E4"/>
      <c r="F4"/>
    </row>
    <row r="5" spans="1:6" ht="16.5" x14ac:dyDescent="0.3">
      <c r="A5" s="5" t="s">
        <v>5</v>
      </c>
      <c r="B5" s="5" t="s">
        <v>6</v>
      </c>
      <c r="C5" s="1" t="s">
        <v>80</v>
      </c>
      <c r="D5" s="1" t="s">
        <v>20</v>
      </c>
      <c r="E5"/>
      <c r="F5"/>
    </row>
    <row r="6" spans="1:6" ht="16.5" x14ac:dyDescent="0.3">
      <c r="A6" s="1">
        <v>1</v>
      </c>
      <c r="B6" s="1">
        <v>3</v>
      </c>
      <c r="C6" s="3">
        <v>5690</v>
      </c>
      <c r="D6" s="3">
        <v>5690</v>
      </c>
      <c r="E6"/>
      <c r="F6"/>
    </row>
    <row r="7" spans="1:6" ht="16.5" x14ac:dyDescent="0.3">
      <c r="A7" s="1" t="s">
        <v>84</v>
      </c>
      <c r="B7" s="1"/>
      <c r="C7" s="3">
        <v>5690</v>
      </c>
      <c r="D7" s="3">
        <v>5690</v>
      </c>
      <c r="E7"/>
      <c r="F7"/>
    </row>
    <row r="8" spans="1:6" ht="16.5" x14ac:dyDescent="0.3">
      <c r="A8" s="1" t="s">
        <v>20</v>
      </c>
      <c r="B8" s="1"/>
      <c r="C8" s="3">
        <v>5690</v>
      </c>
      <c r="D8" s="3">
        <v>5690</v>
      </c>
      <c r="E8"/>
      <c r="F8"/>
    </row>
    <row r="9" spans="1:6" ht="16.5" x14ac:dyDescent="0.3">
      <c r="A9"/>
      <c r="B9"/>
      <c r="C9"/>
      <c r="D9"/>
      <c r="E9"/>
      <c r="F9"/>
    </row>
    <row r="10" spans="1:6" ht="16.5" x14ac:dyDescent="0.3">
      <c r="A10"/>
      <c r="B10"/>
      <c r="C10"/>
      <c r="D10"/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21" sqref="E21"/>
    </sheetView>
  </sheetViews>
  <sheetFormatPr defaultRowHeight="13.5" x14ac:dyDescent="0.25"/>
  <cols>
    <col min="1" max="1" width="11.375" style="6" bestFit="1" customWidth="1"/>
    <col min="2" max="2" width="11.625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15</v>
      </c>
      <c r="B1" s="1" t="s">
        <v>46</v>
      </c>
    </row>
    <row r="2" spans="1:8" x14ac:dyDescent="0.25">
      <c r="A2" s="5" t="s">
        <v>16</v>
      </c>
      <c r="B2" s="1" t="s">
        <v>19</v>
      </c>
    </row>
    <row r="4" spans="1:8" ht="16.5" x14ac:dyDescent="0.3">
      <c r="A4" s="1"/>
      <c r="B4" s="1"/>
      <c r="C4" s="5" t="s">
        <v>27</v>
      </c>
      <c r="D4" s="1"/>
      <c r="E4" s="1"/>
      <c r="F4"/>
      <c r="G4"/>
      <c r="H4"/>
    </row>
    <row r="5" spans="1:8" ht="16.5" x14ac:dyDescent="0.3">
      <c r="A5" s="5" t="s">
        <v>5</v>
      </c>
      <c r="B5" s="5" t="s">
        <v>6</v>
      </c>
      <c r="C5" s="1" t="s">
        <v>28</v>
      </c>
      <c r="D5" s="1" t="s">
        <v>29</v>
      </c>
      <c r="E5" s="1" t="s">
        <v>22</v>
      </c>
      <c r="F5"/>
      <c r="G5"/>
      <c r="H5"/>
    </row>
    <row r="6" spans="1:8" ht="16.5" x14ac:dyDescent="0.3">
      <c r="A6" s="1">
        <v>1</v>
      </c>
      <c r="B6" s="1">
        <v>3</v>
      </c>
      <c r="C6" s="3">
        <v>1422500</v>
      </c>
      <c r="D6" s="3">
        <v>142250</v>
      </c>
      <c r="E6" s="3">
        <v>1564750.0000000002</v>
      </c>
      <c r="F6"/>
      <c r="G6"/>
      <c r="H6"/>
    </row>
    <row r="7" spans="1:8" ht="16.5" x14ac:dyDescent="0.3">
      <c r="A7" s="1" t="s">
        <v>84</v>
      </c>
      <c r="B7" s="1"/>
      <c r="C7" s="3">
        <v>1422500</v>
      </c>
      <c r="D7" s="3">
        <v>142250</v>
      </c>
      <c r="E7" s="3">
        <v>1564750.0000000002</v>
      </c>
      <c r="F7"/>
      <c r="G7"/>
      <c r="H7"/>
    </row>
    <row r="8" spans="1:8" ht="16.5" x14ac:dyDescent="0.3">
      <c r="A8" s="1" t="s">
        <v>20</v>
      </c>
      <c r="B8" s="1"/>
      <c r="C8" s="3">
        <v>1422500</v>
      </c>
      <c r="D8" s="3">
        <v>142250</v>
      </c>
      <c r="E8" s="3">
        <v>1564750.0000000002</v>
      </c>
      <c r="F8"/>
      <c r="G8"/>
      <c r="H8"/>
    </row>
    <row r="9" spans="1:8" ht="16.5" x14ac:dyDescent="0.3">
      <c r="A9"/>
      <c r="B9"/>
      <c r="C9"/>
      <c r="D9"/>
      <c r="E9"/>
      <c r="F9"/>
      <c r="G9"/>
      <c r="H9"/>
    </row>
    <row r="10" spans="1:8" ht="16.5" x14ac:dyDescent="0.3">
      <c r="A10"/>
      <c r="B10"/>
      <c r="C10"/>
      <c r="D10"/>
      <c r="E10"/>
      <c r="F10"/>
      <c r="G10"/>
      <c r="H10"/>
    </row>
    <row r="11" spans="1:8" ht="16.5" x14ac:dyDescent="0.3">
      <c r="A11"/>
      <c r="B11"/>
      <c r="C11"/>
      <c r="D11"/>
      <c r="E11"/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33</vt:i4>
      </vt:variant>
    </vt:vector>
  </HeadingPairs>
  <TitlesOfParts>
    <vt:vector size="38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List!JWLee_26</vt:lpstr>
      <vt:lpstr>List!JWLee_27</vt:lpstr>
      <vt:lpstr>Customer!JWLee_3</vt:lpstr>
      <vt:lpstr>List!JWLee_3</vt:lpstr>
      <vt:lpstr>Customer!JWLee_4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2024-01-05T00:40:00Z</dcterms:modified>
</cp:coreProperties>
</file>