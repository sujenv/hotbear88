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매입매출_2024\dbs\매출_2024\"/>
    </mc:Choice>
  </mc:AlternateContent>
  <bookViews>
    <workbookView xWindow="0" yWindow="0" windowWidth="22260" windowHeight="12645" activeTab="1"/>
  </bookViews>
  <sheets>
    <sheet name="List" sheetId="1" r:id="rId1"/>
    <sheet name="업체별_매출보고서" sheetId="3" r:id="rId2"/>
    <sheet name="Qty" sheetId="2" r:id="rId3"/>
  </sheets>
  <definedNames>
    <definedName name="_xlnm._FilterDatabase" localSheetId="0" hidden="1">List!$A$1:$V$1</definedName>
    <definedName name="JWLee" localSheetId="0">List!$A$1:$P$624</definedName>
    <definedName name="JWLee_1" localSheetId="0">List!$A$1:$P$624</definedName>
    <definedName name="JWLee_10" localSheetId="0">List!$A$1:$T$891</definedName>
    <definedName name="JWLee_11" localSheetId="0">List!$A$1:$V$891</definedName>
    <definedName name="JWLee_12" localSheetId="0">List!$A$1:$V$891</definedName>
    <definedName name="JWLee_13" localSheetId="0">List!$A$1:$V$302</definedName>
    <definedName name="JWLee_14" localSheetId="0">List!$A$1:$V$634</definedName>
    <definedName name="JWLee_15" localSheetId="0">List!$A$1:$V$634</definedName>
    <definedName name="JWLee_16" localSheetId="0">List!$A$1:$V$891</definedName>
    <definedName name="JWLee_17" localSheetId="0">List!$A$1:$V$302</definedName>
    <definedName name="JWLee_18" localSheetId="0">List!$A$1:$V$2186</definedName>
    <definedName name="JWLee_19" localSheetId="0">List!$A$1:$V$3723</definedName>
    <definedName name="JWLee_2" localSheetId="0">List!$A$1:$P$624</definedName>
    <definedName name="JWLee_20" localSheetId="0">List!$A$1:$V$3723</definedName>
    <definedName name="JWLee_21" localSheetId="0">List!$A$1:$V$3723</definedName>
    <definedName name="JWLee_22" localSheetId="0">List!$A$1:$V$3842</definedName>
    <definedName name="JWLee_23" localSheetId="0">List!$A$1:$V$3910</definedName>
    <definedName name="JWLee_24" localSheetId="0">List!$A$1:$V$3910</definedName>
    <definedName name="JWLee_25" localSheetId="0">List!$A$1:$V$181</definedName>
    <definedName name="JWLee_26" localSheetId="0">List!$A$1:$V$181</definedName>
    <definedName name="JWLee_27" localSheetId="0">List!$A$1:$V$307</definedName>
    <definedName name="JWLee_28" localSheetId="0">List!$A$1:$V$425</definedName>
    <definedName name="JWLee_29" localSheetId="0">List!$A$1:$V$493</definedName>
    <definedName name="JWLee_3" localSheetId="0">List!$A$1:$F$624</definedName>
    <definedName name="JWLee_30" localSheetId="0">List!$A$1:$V$563</definedName>
    <definedName name="JWLee_4" localSheetId="0">List!$A$1:$N$624</definedName>
    <definedName name="JWLee_5" localSheetId="0">List!$A$1:$S$624</definedName>
    <definedName name="JWLee_6" localSheetId="0">List!$A$1:$S$624</definedName>
    <definedName name="JWLee_7" localSheetId="0">List!$A$1:$S$624</definedName>
    <definedName name="JWLee_8" localSheetId="0">List!$A$1:$S$891</definedName>
    <definedName name="JWLee_9" localSheetId="0">List!$A$1:$S$891</definedName>
  </definedNames>
  <calcPr calcId="162913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H19" i="2"/>
  <c r="H20" i="2"/>
  <c r="H17" i="2"/>
  <c r="C15" i="2"/>
  <c r="D15" i="2"/>
  <c r="E15" i="2"/>
  <c r="F15" i="2"/>
  <c r="G15" i="2"/>
  <c r="H15" i="2"/>
  <c r="B15" i="2"/>
  <c r="G20" i="2" l="1"/>
  <c r="G19" i="2"/>
  <c r="G18" i="2"/>
  <c r="G17" i="2"/>
  <c r="C20" i="2"/>
  <c r="C19" i="2"/>
  <c r="C18" i="2"/>
  <c r="C17" i="2"/>
  <c r="A20" i="2"/>
  <c r="A19" i="2"/>
  <c r="A18" i="2"/>
  <c r="A17" i="2"/>
</calcChain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<sst xmlns="http://schemas.openxmlformats.org/spreadsheetml/2006/main" count="5146" uniqueCount="145">
  <si>
    <t>dname</t>
  </si>
  <si>
    <t>remark</t>
  </si>
  <si>
    <t>상차도</t>
  </si>
  <si>
    <t>kg</t>
  </si>
  <si>
    <t>파지</t>
  </si>
  <si>
    <t>도착도</t>
  </si>
  <si>
    <t>종이류</t>
  </si>
  <si>
    <t>id</t>
  </si>
  <si>
    <t>입력일자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</si>
  <si>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</si>
  <si>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</si>
  <si>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</si>
  <si>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</si>
  <si>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</si>
  <si>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</si>
  <si>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</si>
  <si>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</si>
  <si>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</si>
  <si>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</si>
  <si>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</si>
  <si>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</si>
  <si>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총합계</t>
  </si>
  <si>
    <t>합계 : 실중량</t>
  </si>
  <si>
    <t/>
  </si>
  <si>
    <t>차량번호</t>
  </si>
  <si>
    <t>0439</t>
  </si>
  <si>
    <t>차주</t>
  </si>
  <si>
    <t>ty</t>
  </si>
  <si>
    <t>e</t>
  </si>
  <si>
    <t>최흥섭</t>
  </si>
  <si>
    <t>대성리싸이클링</t>
  </si>
  <si>
    <t>수정자원</t>
  </si>
  <si>
    <t>이수페이퍼</t>
  </si>
  <si>
    <t>공병자원</t>
  </si>
  <si>
    <t>무등자원</t>
  </si>
  <si>
    <t>세종메이저</t>
  </si>
  <si>
    <t>미래환경</t>
  </si>
  <si>
    <t>4886</t>
  </si>
  <si>
    <t>박준철</t>
  </si>
  <si>
    <t>5931</t>
  </si>
  <si>
    <t>3089</t>
  </si>
  <si>
    <t>6336</t>
  </si>
  <si>
    <t>책</t>
  </si>
  <si>
    <t>납품년</t>
  </si>
  <si>
    <t>납품월</t>
  </si>
  <si>
    <t>납품일</t>
  </si>
  <si>
    <t>미선별플리스틱</t>
  </si>
  <si>
    <t>혼합</t>
  </si>
  <si>
    <t>4135</t>
  </si>
  <si>
    <t>3581</t>
  </si>
  <si>
    <t>3601</t>
  </si>
  <si>
    <t>3607</t>
  </si>
  <si>
    <t>익산</t>
  </si>
  <si>
    <t>5597</t>
  </si>
  <si>
    <t>이한규</t>
  </si>
  <si>
    <t>8769</t>
  </si>
  <si>
    <t>8763</t>
  </si>
  <si>
    <t>8255</t>
  </si>
  <si>
    <t>정호석</t>
  </si>
  <si>
    <t>9283</t>
  </si>
  <si>
    <t>김동령</t>
  </si>
  <si>
    <t>6567</t>
  </si>
  <si>
    <t>김승찬</t>
  </si>
  <si>
    <t>4750</t>
  </si>
  <si>
    <t>황한천</t>
  </si>
  <si>
    <t>0616</t>
  </si>
  <si>
    <t>권명노</t>
  </si>
  <si>
    <t>2207</t>
  </si>
  <si>
    <t>이희덕</t>
  </si>
  <si>
    <t>8876</t>
  </si>
  <si>
    <t>이갑성</t>
  </si>
  <si>
    <t>0309</t>
  </si>
  <si>
    <t>금속캔</t>
  </si>
  <si>
    <t>비철</t>
  </si>
  <si>
    <t>알루미늄캔</t>
  </si>
  <si>
    <t>유리병</t>
  </si>
  <si>
    <t>공병</t>
  </si>
  <si>
    <t>비닐포장재</t>
  </si>
  <si>
    <t>비닐</t>
  </si>
  <si>
    <t>잡병</t>
  </si>
  <si>
    <t>3592</t>
  </si>
  <si>
    <t>1728</t>
  </si>
  <si>
    <t>8466</t>
  </si>
  <si>
    <t>이영근</t>
  </si>
  <si>
    <t>4618</t>
  </si>
  <si>
    <t>강성완</t>
  </si>
  <si>
    <t>7246</t>
  </si>
  <si>
    <t>이승원</t>
  </si>
  <si>
    <t>0612</t>
  </si>
  <si>
    <t>송환기</t>
  </si>
  <si>
    <t>1806</t>
  </si>
  <si>
    <t>김문식</t>
  </si>
  <si>
    <t>9310</t>
  </si>
  <si>
    <t>정상준</t>
  </si>
  <si>
    <t>2986</t>
  </si>
  <si>
    <t>김대식</t>
  </si>
  <si>
    <t>8947</t>
  </si>
  <si>
    <t>정주혁</t>
  </si>
  <si>
    <t>5245</t>
  </si>
  <si>
    <t>정민호</t>
  </si>
  <si>
    <t>3855</t>
  </si>
  <si>
    <t>허범진</t>
  </si>
  <si>
    <t>9149</t>
  </si>
  <si>
    <t>이강업</t>
  </si>
  <si>
    <t>4096</t>
  </si>
  <si>
    <t>박종휘</t>
  </si>
  <si>
    <t>3605</t>
  </si>
  <si>
    <t>9390</t>
  </si>
  <si>
    <t>정민원</t>
  </si>
  <si>
    <t>6693</t>
  </si>
  <si>
    <t>1310</t>
  </si>
  <si>
    <t>김태홍</t>
  </si>
  <si>
    <t>1979</t>
  </si>
  <si>
    <t>전자제품</t>
  </si>
  <si>
    <t>생활가전</t>
  </si>
  <si>
    <t>3586</t>
  </si>
  <si>
    <t>(다중 항목)</t>
  </si>
  <si>
    <t>5896</t>
  </si>
  <si>
    <t>3609</t>
  </si>
  <si>
    <t>cus</t>
  </si>
  <si>
    <t>3593</t>
  </si>
  <si>
    <t>(모두)</t>
  </si>
  <si>
    <t>연</t>
  </si>
  <si>
    <t>2024년</t>
  </si>
  <si>
    <t>1월</t>
  </si>
  <si>
    <t>월</t>
  </si>
  <si>
    <t>일</t>
  </si>
  <si>
    <t>한국자원</t>
  </si>
  <si>
    <t>0978</t>
  </si>
  <si>
    <t>케이팝</t>
  </si>
  <si>
    <t>6775</t>
  </si>
  <si>
    <t>clo</t>
  </si>
  <si>
    <t>의류</t>
  </si>
  <si>
    <t>헌옷</t>
  </si>
  <si>
    <t>2509</t>
  </si>
  <si>
    <t>0641</t>
  </si>
  <si>
    <t>김우기</t>
  </si>
  <si>
    <t>3719</t>
  </si>
  <si>
    <t>7641</t>
  </si>
  <si>
    <t>김운택</t>
  </si>
  <si>
    <t>2632</t>
  </si>
  <si>
    <t>고철</t>
  </si>
  <si>
    <t>철캔</t>
  </si>
  <si>
    <t>1667</t>
  </si>
  <si>
    <t>신문지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</si>
</sst>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10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>
      <alignment vertical="center"/>
    </xf>
  </cellStyleXfs>
  <cellXfs count="21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176" fontId="5" fillId="0" borderId="0" xfId="1" applyNumberFormat="1" applyFont="1" applyAlignment="1"/>
    <xf numFmtId="176" fontId="4" fillId="0" borderId="0" xfId="1" applyNumberFormat="1" applyFont="1" applyAlignment="1"/>
    <xf numFmtId="0" fontId="0" fillId="0" borderId="0" xfId="0" applyFont="1"/>
    <xf numFmtId="0" fontId="0" fillId="0" borderId="0" xfId="0" pivotButton="1" applyFont="1"/>
    <xf numFmtId="0" fontId="7" fillId="0" borderId="0" xfId="0" applyFont="1"/>
    <xf numFmtId="176" fontId="8" fillId="0" borderId="0" xfId="1" applyNumberFormat="1" applyFont="1" applyAlignment="1"/>
    <xf numFmtId="176" fontId="7" fillId="0" borderId="0" xfId="1" applyNumberFormat="1" applyFont="1" applyAlignment="1"/>
    <xf numFmtId="0" fontId="0" fillId="0" borderId="0" xfId="0" applyFont="1" applyAlignment="1">
      <alignment horizontal="left"/>
    </xf>
    <xf numFmtId="3" fontId="0" fillId="0" borderId="0" xfId="0" applyNumberFormat="1" applyFont="1"/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176" fontId="7" fillId="0" borderId="0" xfId="1" applyNumberFormat="1" applyFont="1" applyAlignment="1">
      <alignment horizontal="center"/>
    </xf>
    <xf numFmtId="0" fontId="9" fillId="0" borderId="0" xfId="0" applyFont="1"/>
  </cellXfs>
  <cellStyles count="2">
    <cellStyle name="백분율" xfId="1" builtinId="5"/>
    <cellStyle name="표준" xfId="0" builtinId="0"/>
  </cellStyles>
  <dxfs count="115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solid">
          <bgColor theme="1"/>
        </patternFill>
      </fill>
    </dxf>
    <dxf>
      <font>
        <b/>
      </font>
    </dxf>
    <dxf>
      <font>
        <b/>
      </font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color rgb="FFFF0000"/>
      </font>
    </dxf>
    <dxf>
      <font>
        <color rgb="FFFF000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476250</xdr:colOff>
          <xdr:row>1</xdr:row>
          <xdr:rowOff>38100</xdr:rowOff>
        </xdr:from>
        <xdr:to>
          <xdr:col>20</xdr:col>
          <xdr:colOff>466725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ngwook Lee" refreshedDate="45301.548434259261" createdVersion="6" refreshedVersion="6" minRefreshableVersion="3" recordCount="3910">
  <cacheSource type="worksheet">
    <worksheetSource ref="A1:V1048576" sheet="List"/>
  </cacheSource>
  <cacheFields count="26">
    <cacheField name="id" numFmtId="0">
      <sharedItems containsString="0" containsBlank="1" containsNumber="1" containsInteger="1" minValue="1" maxValue="563"/>
    </cacheField>
    <cacheField name="입력일자" numFmtId="0">
      <sharedItems containsNonDate="0" containsDate="1" containsString="0" containsBlank="1" minDate="2024-01-01T00:00:00" maxDate="2024-01-10T00:00:00" count="10"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m/>
      </sharedItems>
      <fieldGroup par="25" base="1">
        <rangePr groupBy="months" startDate="2024-01-01T00:00:00" endDate="2024-01-10T00:00:00"/>
        <groupItems count="14">
          <s v="(비어 있음)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1-10"/>
        </groupItems>
      </fieldGroup>
    </cacheField>
    <cacheField name="실입고일" numFmtId="0">
      <sharedItems containsNonDate="0" containsDate="1" containsString="0" containsBlank="1" minDate="2024-01-01T00:00:00" maxDate="2024-01-10T00:00:00" count="10"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m/>
      </sharedItems>
      <fieldGroup par="23" base="2">
        <rangePr groupBy="months" startDate="2024-01-01T00:00:00" endDate="2024-01-10T00:00:00"/>
        <groupItems count="14">
          <s v="(비어 있음)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1-10"/>
        </groupItems>
      </fieldGroup>
    </cacheField>
    <cacheField name="납품년" numFmtId="0">
      <sharedItems containsString="0" containsBlank="1" containsNumber="1" containsInteger="1" minValue="2023" maxValue="2024" count="3">
        <n v="2024"/>
        <m/>
        <n v="2023" u="1"/>
      </sharedItems>
    </cacheField>
    <cacheField name="납품월" numFmtId="0">
      <sharedItems containsString="0" containsBlank="1" containsNumber="1" containsInteger="1" minValue="1" maxValue="11" count="4">
        <n v="1"/>
        <m/>
        <n v="11" u="1"/>
        <n v="10" u="1"/>
      </sharedItems>
    </cacheField>
    <cacheField name="납품일" numFmtId="0">
      <sharedItems containsString="0" containsBlank="1" containsNumber="1" containsInteger="1" minValue="1" maxValue="31" count="32">
        <n v="1"/>
        <n v="2"/>
        <n v="3"/>
        <n v="4"/>
        <n v="5"/>
        <n v="6"/>
        <n v="7"/>
        <n v="8"/>
        <n v="9"/>
        <m/>
        <n v="13" u="1"/>
        <n v="14" u="1"/>
        <n v="15" u="1"/>
        <n v="16" u="1"/>
        <n v="17" u="1"/>
        <n v="18" u="1"/>
        <n v="19" u="1"/>
        <n v="20" u="1"/>
        <n v="21" u="1"/>
        <n v="22" u="1"/>
        <n v="23" u="1"/>
        <n v="24" u="1"/>
        <n v="25" u="1"/>
        <n v="26" u="1"/>
        <n v="27" u="1"/>
        <n v="10" u="1"/>
        <n v="28" u="1"/>
        <n v="29" u="1"/>
        <n v="11" u="1"/>
        <n v="30" u="1"/>
        <n v="31" u="1"/>
        <n v="12" u="1"/>
      </sharedItems>
    </cacheField>
    <cacheField name="거래처명" numFmtId="0">
      <sharedItems containsBlank="1" count="16">
        <s v="대성리싸이클링"/>
        <s v="이수페이퍼"/>
        <s v="미래환경"/>
        <s v="수정자원"/>
        <s v="무등자원"/>
        <s v="공병자원"/>
        <s v="한국자원"/>
        <s v="세종메이저"/>
        <s v="케이팝"/>
        <m/>
        <s v="이강자원" u="1"/>
        <s v="우리물류" u="1"/>
        <s v="동행상사" u="1"/>
        <s v="거보자원" u="1"/>
        <s v="신현수지" u="1"/>
        <s v="신동영상사" u="1"/>
      </sharedItems>
    </cacheField>
    <cacheField name="지역" numFmtId="0">
      <sharedItems containsBlank="1" count="5">
        <m/>
        <s v="익산"/>
        <s v="군산" u="1"/>
        <s v="광주" u="1"/>
        <s v="수정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 count="10">
        <s v="종이류"/>
        <s v="미선별플리스틱"/>
        <s v="비닐포장재"/>
        <s v="금속캔"/>
        <s v="유리병"/>
        <s v="전자제품"/>
        <s v="의류"/>
        <m/>
        <s v="고철류" u="1"/>
        <s v="플라스틱" u="1"/>
      </sharedItems>
    </cacheField>
    <cacheField name="구분1" numFmtId="0">
      <sharedItems containsBlank="1"/>
    </cacheField>
    <cacheField name="구분2" numFmtId="0">
      <sharedItems containsBlank="1" count="20">
        <s v="파지"/>
        <s v="혼합"/>
        <s v="책"/>
        <s v="비닐"/>
        <s v="알루미늄캔"/>
        <s v="공병"/>
        <s v="잡병"/>
        <s v="생활가전"/>
        <s v="헌옷"/>
        <s v="철캔"/>
        <s v="신문지"/>
        <m/>
        <s v="플라스틱" u="1"/>
        <s v="양은" u="1"/>
        <s v="24종" u="1"/>
        <s v="고철" u="1"/>
        <s v="우유팩" u="1"/>
        <s v="샷시" u="1"/>
        <s v="27종" u="1"/>
        <s v="화이트지" u="1"/>
      </sharedItems>
    </cacheField>
    <cacheField name="dname" numFmtId="0">
      <sharedItems containsBlank="1" count="3">
        <s v="도착도"/>
        <s v="상차도"/>
        <m/>
      </sharedItems>
    </cacheField>
    <cacheField name="단위" numFmtId="0">
      <sharedItems containsBlank="1"/>
    </cacheField>
    <cacheField name="실중량" numFmtId="0">
      <sharedItems containsString="0" containsBlank="1" containsNumber="1" containsInteger="1" minValue="40" maxValue="15965"/>
    </cacheField>
    <cacheField name="단가" numFmtId="0">
      <sharedItems containsString="0" containsBlank="1" containsNumber="1" containsInteger="1" minValue="0" maxValue="1450"/>
    </cacheField>
    <cacheField name="공급가" numFmtId="0">
      <sharedItems containsString="0" containsBlank="1" containsNumber="1" containsInteger="1" minValue="0" maxValue="2704250"/>
    </cacheField>
    <cacheField name="부가세" numFmtId="0">
      <sharedItems containsString="0" containsBlank="1" containsNumber="1" minValue="0" maxValue="270425"/>
    </cacheField>
    <cacheField name="총액" numFmtId="0">
      <sharedItems containsString="0" containsBlank="1" containsNumber="1" minValue="0" maxValue="2974675.0000000005"/>
    </cacheField>
    <cacheField name="remark" numFmtId="0">
      <sharedItems containsNonDate="0" containsString="0" containsBlank="1"/>
    </cacheField>
    <cacheField name="분기" numFmtId="0" databaseField="0">
      <fieldGroup base="2">
        <rangePr groupBy="quarters" startDate="2024-01-01T00:00:00" endDate="2024-01-10T00:00:00"/>
        <groupItems count="6">
          <s v="&lt;2024-01-01"/>
          <s v="1사분기"/>
          <s v="2사분기"/>
          <s v="3사분기"/>
          <s v="4사분기"/>
          <s v="&gt;2024-01-10"/>
        </groupItems>
      </fieldGroup>
    </cacheField>
    <cacheField name="연" numFmtId="0" databaseField="0">
      <fieldGroup base="2">
        <rangePr groupBy="years" startDate="2024-01-01T00:00:00" endDate="2024-01-10T00:00:00"/>
        <groupItems count="3">
          <s v="&lt;2024-01-01"/>
          <s v="2024년"/>
          <s v="&gt;2024-01-10"/>
        </groupItems>
      </fieldGroup>
    </cacheField>
    <cacheField name="분기2" numFmtId="0" databaseField="0">
      <fieldGroup base="1">
        <rangePr groupBy="quarters" startDate="2024-01-01T00:00:00" endDate="2024-01-10T00:00:00"/>
        <groupItems count="6">
          <s v="&lt;2024-01-01"/>
          <s v="1사분기"/>
          <s v="2사분기"/>
          <s v="3사분기"/>
          <s v="4사분기"/>
          <s v="&gt;2024-01-10"/>
        </groupItems>
      </fieldGroup>
    </cacheField>
    <cacheField name="연2" numFmtId="0" databaseField="0">
      <fieldGroup base="1">
        <rangePr groupBy="years" startDate="2024-01-01T00:00:00" endDate="2024-01-10T00:00:00"/>
        <groupItems count="3">
          <s v="&lt;2024-01-01"/>
          <s v="2024년"/>
          <s v="&gt;2024-01-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10">
  <r>
    <n v="1"/>
    <x v="0"/>
    <x v="0"/>
    <x v="0"/>
    <x v="0"/>
    <x v="0"/>
    <x v="0"/>
    <x v="0"/>
    <s v="9390"/>
    <s v="정민원"/>
    <s v="e"/>
    <x v="0"/>
    <s v=""/>
    <x v="0"/>
    <x v="0"/>
    <s v="kg"/>
    <n v="110"/>
    <n v="95"/>
    <n v="10450"/>
    <n v="1045"/>
    <n v="11495.000000000002"/>
    <m/>
  </r>
  <r>
    <n v="2"/>
    <x v="0"/>
    <x v="0"/>
    <x v="0"/>
    <x v="0"/>
    <x v="0"/>
    <x v="0"/>
    <x v="0"/>
    <s v="7246"/>
    <s v="이승원"/>
    <s v="e"/>
    <x v="0"/>
    <s v=""/>
    <x v="0"/>
    <x v="0"/>
    <s v="kg"/>
    <n v="230"/>
    <n v="95"/>
    <n v="21850"/>
    <n v="2185"/>
    <n v="24035.000000000004"/>
    <m/>
  </r>
  <r>
    <n v="3"/>
    <x v="0"/>
    <x v="0"/>
    <x v="0"/>
    <x v="0"/>
    <x v="0"/>
    <x v="0"/>
    <x v="0"/>
    <s v="7246"/>
    <s v="이승원"/>
    <s v="e"/>
    <x v="0"/>
    <s v=""/>
    <x v="0"/>
    <x v="0"/>
    <s v="kg"/>
    <n v="210"/>
    <n v="95"/>
    <n v="19950"/>
    <n v="1995"/>
    <n v="21945"/>
    <m/>
  </r>
  <r>
    <n v="4"/>
    <x v="0"/>
    <x v="0"/>
    <x v="0"/>
    <x v="0"/>
    <x v="0"/>
    <x v="0"/>
    <x v="0"/>
    <s v="2986"/>
    <s v="김대식"/>
    <s v="e"/>
    <x v="0"/>
    <s v=""/>
    <x v="0"/>
    <x v="0"/>
    <s v="kg"/>
    <n v="220"/>
    <n v="95"/>
    <n v="20900"/>
    <n v="2090"/>
    <n v="22990.000000000004"/>
    <m/>
  </r>
  <r>
    <n v="5"/>
    <x v="0"/>
    <x v="0"/>
    <x v="0"/>
    <x v="0"/>
    <x v="0"/>
    <x v="0"/>
    <x v="0"/>
    <s v="9310"/>
    <s v="정상준"/>
    <s v="e"/>
    <x v="0"/>
    <s v=""/>
    <x v="0"/>
    <x v="0"/>
    <s v="kg"/>
    <n v="290"/>
    <n v="95"/>
    <n v="27550"/>
    <n v="2755"/>
    <n v="30305.000000000004"/>
    <m/>
  </r>
  <r>
    <n v="6"/>
    <x v="0"/>
    <x v="0"/>
    <x v="0"/>
    <x v="0"/>
    <x v="0"/>
    <x v="0"/>
    <x v="0"/>
    <s v="7246"/>
    <s v="이승원"/>
    <s v="e"/>
    <x v="0"/>
    <s v=""/>
    <x v="0"/>
    <x v="0"/>
    <s v="kg"/>
    <n v="170"/>
    <n v="95"/>
    <n v="16150"/>
    <n v="1615"/>
    <n v="17765"/>
    <m/>
  </r>
  <r>
    <n v="7"/>
    <x v="0"/>
    <x v="0"/>
    <x v="0"/>
    <x v="0"/>
    <x v="0"/>
    <x v="0"/>
    <x v="0"/>
    <s v="1310"/>
    <s v="김태홍"/>
    <s v="e"/>
    <x v="0"/>
    <s v=""/>
    <x v="0"/>
    <x v="0"/>
    <s v="kg"/>
    <n v="210"/>
    <n v="95"/>
    <n v="19950"/>
    <n v="1995"/>
    <n v="21945"/>
    <m/>
  </r>
  <r>
    <n v="8"/>
    <x v="0"/>
    <x v="0"/>
    <x v="0"/>
    <x v="0"/>
    <x v="0"/>
    <x v="0"/>
    <x v="0"/>
    <s v="0612"/>
    <s v="송환기"/>
    <s v="e"/>
    <x v="0"/>
    <s v=""/>
    <x v="0"/>
    <x v="0"/>
    <s v="kg"/>
    <n v="160"/>
    <n v="95"/>
    <n v="15200"/>
    <n v="1520"/>
    <n v="16720"/>
    <m/>
  </r>
  <r>
    <n v="9"/>
    <x v="0"/>
    <x v="0"/>
    <x v="0"/>
    <x v="0"/>
    <x v="0"/>
    <x v="0"/>
    <x v="0"/>
    <s v="2986"/>
    <s v="김대식"/>
    <s v="e"/>
    <x v="0"/>
    <s v=""/>
    <x v="0"/>
    <x v="0"/>
    <s v="kg"/>
    <n v="360"/>
    <n v="95"/>
    <n v="34200"/>
    <n v="3420"/>
    <n v="37620"/>
    <m/>
  </r>
  <r>
    <n v="10"/>
    <x v="0"/>
    <x v="0"/>
    <x v="0"/>
    <x v="0"/>
    <x v="0"/>
    <x v="0"/>
    <x v="0"/>
    <s v="5245"/>
    <s v="정민호"/>
    <s v="e"/>
    <x v="0"/>
    <s v=""/>
    <x v="0"/>
    <x v="0"/>
    <s v="kg"/>
    <n v="120"/>
    <n v="95"/>
    <n v="11400"/>
    <n v="1140"/>
    <n v="12540.000000000002"/>
    <m/>
  </r>
  <r>
    <n v="11"/>
    <x v="0"/>
    <x v="0"/>
    <x v="0"/>
    <x v="0"/>
    <x v="0"/>
    <x v="0"/>
    <x v="0"/>
    <s v="8466"/>
    <s v="이영근"/>
    <s v="e"/>
    <x v="0"/>
    <s v=""/>
    <x v="0"/>
    <x v="0"/>
    <s v="kg"/>
    <n v="190"/>
    <n v="95"/>
    <n v="18050"/>
    <n v="1805"/>
    <n v="19855"/>
    <m/>
  </r>
  <r>
    <n v="12"/>
    <x v="0"/>
    <x v="0"/>
    <x v="0"/>
    <x v="0"/>
    <x v="0"/>
    <x v="0"/>
    <x v="0"/>
    <s v="0612"/>
    <s v="송환기"/>
    <s v="e"/>
    <x v="0"/>
    <s v=""/>
    <x v="0"/>
    <x v="0"/>
    <s v="kg"/>
    <n v="230"/>
    <n v="95"/>
    <n v="21850"/>
    <n v="2185"/>
    <n v="24035.000000000004"/>
    <m/>
  </r>
  <r>
    <n v="13"/>
    <x v="0"/>
    <x v="0"/>
    <x v="0"/>
    <x v="0"/>
    <x v="0"/>
    <x v="0"/>
    <x v="0"/>
    <s v="4618"/>
    <s v="강성완"/>
    <s v="e"/>
    <x v="0"/>
    <s v=""/>
    <x v="0"/>
    <x v="0"/>
    <s v="kg"/>
    <n v="270"/>
    <n v="95"/>
    <n v="25650"/>
    <n v="2565"/>
    <n v="28215.000000000004"/>
    <m/>
  </r>
  <r>
    <n v="14"/>
    <x v="0"/>
    <x v="0"/>
    <x v="0"/>
    <x v="0"/>
    <x v="0"/>
    <x v="0"/>
    <x v="0"/>
    <s v="7246"/>
    <s v="이승원"/>
    <s v="e"/>
    <x v="0"/>
    <s v=""/>
    <x v="0"/>
    <x v="0"/>
    <s v="kg"/>
    <n v="250"/>
    <n v="95"/>
    <n v="23750"/>
    <n v="2375"/>
    <n v="26125.000000000004"/>
    <m/>
  </r>
  <r>
    <n v="15"/>
    <x v="0"/>
    <x v="0"/>
    <x v="0"/>
    <x v="0"/>
    <x v="0"/>
    <x v="0"/>
    <x v="0"/>
    <s v="5245"/>
    <s v="정민호"/>
    <s v="e"/>
    <x v="0"/>
    <s v=""/>
    <x v="0"/>
    <x v="0"/>
    <s v="kg"/>
    <n v="150"/>
    <n v="95"/>
    <n v="14250"/>
    <n v="1425"/>
    <n v="15675.000000000002"/>
    <m/>
  </r>
  <r>
    <n v="16"/>
    <x v="0"/>
    <x v="0"/>
    <x v="0"/>
    <x v="0"/>
    <x v="0"/>
    <x v="0"/>
    <x v="0"/>
    <s v="7246"/>
    <s v="이승원"/>
    <s v="e"/>
    <x v="0"/>
    <s v=""/>
    <x v="0"/>
    <x v="0"/>
    <s v="kg"/>
    <n v="250"/>
    <n v="95"/>
    <n v="23750"/>
    <n v="2375"/>
    <n v="26125.000000000004"/>
    <m/>
  </r>
  <r>
    <n v="17"/>
    <x v="0"/>
    <x v="0"/>
    <x v="0"/>
    <x v="0"/>
    <x v="0"/>
    <x v="0"/>
    <x v="0"/>
    <s v="5245"/>
    <s v="정민호"/>
    <s v="e"/>
    <x v="0"/>
    <s v=""/>
    <x v="0"/>
    <x v="0"/>
    <s v="kg"/>
    <n v="270"/>
    <n v="95"/>
    <n v="25650"/>
    <n v="2565"/>
    <n v="28215.000000000004"/>
    <m/>
  </r>
  <r>
    <n v="18"/>
    <x v="0"/>
    <x v="0"/>
    <x v="0"/>
    <x v="0"/>
    <x v="0"/>
    <x v="1"/>
    <x v="0"/>
    <s v="6336"/>
    <s v="이수페이퍼"/>
    <s v="cus"/>
    <x v="0"/>
    <s v=""/>
    <x v="0"/>
    <x v="1"/>
    <s v="kg"/>
    <n v="5260"/>
    <n v="90"/>
    <n v="473400"/>
    <n v="47340"/>
    <n v="520740.00000000006"/>
    <m/>
  </r>
  <r>
    <n v="19"/>
    <x v="0"/>
    <x v="0"/>
    <x v="0"/>
    <x v="0"/>
    <x v="0"/>
    <x v="1"/>
    <x v="0"/>
    <s v="6336"/>
    <s v="이수페이퍼"/>
    <s v="cus"/>
    <x v="0"/>
    <s v=""/>
    <x v="0"/>
    <x v="1"/>
    <s v="kg"/>
    <n v="5275"/>
    <n v="90"/>
    <n v="474750"/>
    <n v="47475"/>
    <n v="522225.00000000006"/>
    <m/>
  </r>
  <r>
    <n v="20"/>
    <x v="0"/>
    <x v="0"/>
    <x v="0"/>
    <x v="0"/>
    <x v="0"/>
    <x v="1"/>
    <x v="0"/>
    <s v="6336"/>
    <s v="이수페이퍼"/>
    <s v="cus"/>
    <x v="0"/>
    <s v=""/>
    <x v="0"/>
    <x v="1"/>
    <s v="kg"/>
    <n v="5470"/>
    <n v="90"/>
    <n v="492300"/>
    <n v="49230"/>
    <n v="541530"/>
    <m/>
  </r>
  <r>
    <n v="21"/>
    <x v="0"/>
    <x v="0"/>
    <x v="0"/>
    <x v="0"/>
    <x v="0"/>
    <x v="2"/>
    <x v="0"/>
    <s v="3601"/>
    <s v="미래환경"/>
    <s v="cus"/>
    <x v="1"/>
    <s v=""/>
    <x v="1"/>
    <x v="1"/>
    <s v="kg"/>
    <n v="2910"/>
    <n v="0"/>
    <n v="0"/>
    <n v="0"/>
    <n v="0"/>
    <m/>
  </r>
  <r>
    <n v="22"/>
    <x v="0"/>
    <x v="0"/>
    <x v="0"/>
    <x v="0"/>
    <x v="0"/>
    <x v="2"/>
    <x v="0"/>
    <s v="1979"/>
    <s v="미래환경"/>
    <s v="cus"/>
    <x v="1"/>
    <s v=""/>
    <x v="1"/>
    <x v="1"/>
    <s v="kg"/>
    <n v="3060"/>
    <n v="0"/>
    <n v="0"/>
    <n v="0"/>
    <n v="0"/>
    <m/>
  </r>
  <r>
    <n v="23"/>
    <x v="0"/>
    <x v="0"/>
    <x v="0"/>
    <x v="0"/>
    <x v="0"/>
    <x v="1"/>
    <x v="0"/>
    <s v="5931"/>
    <s v="이수페이퍼"/>
    <s v="cus"/>
    <x v="0"/>
    <s v=""/>
    <x v="0"/>
    <x v="1"/>
    <s v="kg"/>
    <n v="4855"/>
    <n v="90"/>
    <n v="436950"/>
    <n v="43695"/>
    <n v="480645.00000000006"/>
    <m/>
  </r>
  <r>
    <n v="24"/>
    <x v="0"/>
    <x v="0"/>
    <x v="0"/>
    <x v="0"/>
    <x v="0"/>
    <x v="3"/>
    <x v="1"/>
    <s v="5597"/>
    <s v="이한규"/>
    <s v="e"/>
    <x v="0"/>
    <s v=""/>
    <x v="0"/>
    <x v="0"/>
    <s v="kg"/>
    <n v="360"/>
    <n v="85"/>
    <n v="30600"/>
    <n v="3060"/>
    <n v="33660"/>
    <m/>
  </r>
  <r>
    <n v="25"/>
    <x v="0"/>
    <x v="0"/>
    <x v="0"/>
    <x v="0"/>
    <x v="0"/>
    <x v="3"/>
    <x v="1"/>
    <s v="5597"/>
    <s v="이한규"/>
    <s v="e"/>
    <x v="0"/>
    <s v=""/>
    <x v="0"/>
    <x v="0"/>
    <s v="kg"/>
    <n v="160"/>
    <n v="85"/>
    <n v="13600"/>
    <n v="1360"/>
    <n v="14960.000000000002"/>
    <m/>
  </r>
  <r>
    <n v="26"/>
    <x v="0"/>
    <x v="0"/>
    <x v="0"/>
    <x v="0"/>
    <x v="0"/>
    <x v="3"/>
    <x v="1"/>
    <s v="5597"/>
    <s v="이한규"/>
    <s v="e"/>
    <x v="0"/>
    <s v=""/>
    <x v="0"/>
    <x v="0"/>
    <s v="kg"/>
    <n v="90"/>
    <n v="85"/>
    <n v="7650"/>
    <n v="765"/>
    <n v="8415"/>
    <m/>
  </r>
  <r>
    <n v="27"/>
    <x v="0"/>
    <x v="0"/>
    <x v="0"/>
    <x v="0"/>
    <x v="0"/>
    <x v="3"/>
    <x v="1"/>
    <s v="5597"/>
    <s v="이한규"/>
    <s v="e"/>
    <x v="0"/>
    <s v=""/>
    <x v="0"/>
    <x v="0"/>
    <s v="kg"/>
    <n v="270"/>
    <n v="85"/>
    <n v="22950"/>
    <n v="2295"/>
    <n v="25245.000000000004"/>
    <m/>
  </r>
  <r>
    <n v="28"/>
    <x v="0"/>
    <x v="0"/>
    <x v="0"/>
    <x v="0"/>
    <x v="0"/>
    <x v="3"/>
    <x v="1"/>
    <s v="5597"/>
    <s v="이한규"/>
    <s v="e"/>
    <x v="0"/>
    <s v=""/>
    <x v="0"/>
    <x v="0"/>
    <s v="kg"/>
    <n v="290"/>
    <n v="85"/>
    <n v="24650"/>
    <n v="2465"/>
    <n v="27115.000000000004"/>
    <m/>
  </r>
  <r>
    <n v="29"/>
    <x v="0"/>
    <x v="0"/>
    <x v="0"/>
    <x v="0"/>
    <x v="0"/>
    <x v="3"/>
    <x v="0"/>
    <s v="0616"/>
    <s v="권명노"/>
    <s v="e"/>
    <x v="0"/>
    <s v=""/>
    <x v="0"/>
    <x v="0"/>
    <s v="kg"/>
    <n v="260"/>
    <n v="85"/>
    <n v="22100"/>
    <n v="2210"/>
    <n v="24310.000000000004"/>
    <m/>
  </r>
  <r>
    <n v="30"/>
    <x v="0"/>
    <x v="0"/>
    <x v="0"/>
    <x v="0"/>
    <x v="0"/>
    <x v="3"/>
    <x v="0"/>
    <s v="9283"/>
    <s v="김동령"/>
    <s v="e"/>
    <x v="0"/>
    <s v=""/>
    <x v="0"/>
    <x v="0"/>
    <s v="kg"/>
    <n v="290"/>
    <n v="85"/>
    <n v="24650"/>
    <n v="2465"/>
    <n v="27115.000000000004"/>
    <m/>
  </r>
  <r>
    <n v="31"/>
    <x v="0"/>
    <x v="0"/>
    <x v="0"/>
    <x v="0"/>
    <x v="0"/>
    <x v="3"/>
    <x v="0"/>
    <s v="0439"/>
    <s v="최흥섭"/>
    <s v="e"/>
    <x v="0"/>
    <s v=""/>
    <x v="0"/>
    <x v="0"/>
    <s v="kg"/>
    <n v="180"/>
    <n v="85"/>
    <n v="15300"/>
    <n v="1530"/>
    <n v="16830"/>
    <m/>
  </r>
  <r>
    <n v="32"/>
    <x v="0"/>
    <x v="0"/>
    <x v="0"/>
    <x v="0"/>
    <x v="0"/>
    <x v="3"/>
    <x v="0"/>
    <s v="8255"/>
    <s v="정호석"/>
    <s v="e"/>
    <x v="0"/>
    <s v=""/>
    <x v="0"/>
    <x v="0"/>
    <s v="kg"/>
    <n v="260"/>
    <n v="85"/>
    <n v="22100"/>
    <n v="2210"/>
    <n v="24310.000000000004"/>
    <m/>
  </r>
  <r>
    <n v="33"/>
    <x v="0"/>
    <x v="0"/>
    <x v="0"/>
    <x v="0"/>
    <x v="0"/>
    <x v="3"/>
    <x v="0"/>
    <s v="4750"/>
    <s v="황한천"/>
    <s v="e"/>
    <x v="0"/>
    <s v=""/>
    <x v="0"/>
    <x v="0"/>
    <s v="kg"/>
    <n v="110"/>
    <n v="85"/>
    <n v="9350"/>
    <n v="935"/>
    <n v="10285"/>
    <m/>
  </r>
  <r>
    <n v="34"/>
    <x v="0"/>
    <x v="0"/>
    <x v="0"/>
    <x v="0"/>
    <x v="0"/>
    <x v="3"/>
    <x v="0"/>
    <s v="6567"/>
    <s v="김승찬"/>
    <s v="e"/>
    <x v="0"/>
    <s v=""/>
    <x v="0"/>
    <x v="0"/>
    <s v="kg"/>
    <n v="250"/>
    <n v="85"/>
    <n v="21250"/>
    <n v="2125"/>
    <n v="23375.000000000004"/>
    <m/>
  </r>
  <r>
    <n v="35"/>
    <x v="0"/>
    <x v="0"/>
    <x v="0"/>
    <x v="0"/>
    <x v="0"/>
    <x v="3"/>
    <x v="0"/>
    <s v="9283"/>
    <s v="김동령"/>
    <s v="e"/>
    <x v="0"/>
    <s v=""/>
    <x v="0"/>
    <x v="0"/>
    <s v="kg"/>
    <n v="180"/>
    <n v="85"/>
    <n v="15300"/>
    <n v="1530"/>
    <n v="16830"/>
    <m/>
  </r>
  <r>
    <n v="36"/>
    <x v="0"/>
    <x v="0"/>
    <x v="0"/>
    <x v="0"/>
    <x v="0"/>
    <x v="3"/>
    <x v="0"/>
    <s v="0616"/>
    <s v="권명노"/>
    <s v="e"/>
    <x v="0"/>
    <s v=""/>
    <x v="0"/>
    <x v="0"/>
    <s v="kg"/>
    <n v="240"/>
    <n v="85"/>
    <n v="20400"/>
    <n v="2040"/>
    <n v="22440"/>
    <m/>
  </r>
  <r>
    <n v="37"/>
    <x v="0"/>
    <x v="0"/>
    <x v="0"/>
    <x v="0"/>
    <x v="0"/>
    <x v="3"/>
    <x v="0"/>
    <s v="8769"/>
    <s v="수정자원"/>
    <s v="cus"/>
    <x v="0"/>
    <s v=""/>
    <x v="0"/>
    <x v="1"/>
    <s v="kg"/>
    <n v="4070"/>
    <n v="85"/>
    <n v="345950"/>
    <n v="34595"/>
    <n v="380545.00000000006"/>
    <m/>
  </r>
  <r>
    <n v="38"/>
    <x v="0"/>
    <x v="0"/>
    <x v="0"/>
    <x v="0"/>
    <x v="0"/>
    <x v="3"/>
    <x v="0"/>
    <s v="0439"/>
    <s v="최흥섭"/>
    <s v="e"/>
    <x v="0"/>
    <s v=""/>
    <x v="0"/>
    <x v="0"/>
    <s v="kg"/>
    <n v="370"/>
    <n v="85"/>
    <n v="31450"/>
    <n v="3145"/>
    <n v="34595"/>
    <m/>
  </r>
  <r>
    <n v="39"/>
    <x v="0"/>
    <x v="0"/>
    <x v="0"/>
    <x v="0"/>
    <x v="0"/>
    <x v="3"/>
    <x v="0"/>
    <s v="3855"/>
    <s v="허범진"/>
    <s v="e"/>
    <x v="0"/>
    <s v=""/>
    <x v="0"/>
    <x v="0"/>
    <s v="kg"/>
    <n v="280"/>
    <n v="85"/>
    <n v="23800"/>
    <n v="2380"/>
    <n v="26180.000000000004"/>
    <m/>
  </r>
  <r>
    <n v="40"/>
    <x v="0"/>
    <x v="0"/>
    <x v="0"/>
    <x v="0"/>
    <x v="0"/>
    <x v="3"/>
    <x v="0"/>
    <s v="4750"/>
    <s v="황한천"/>
    <s v="e"/>
    <x v="0"/>
    <s v=""/>
    <x v="0"/>
    <x v="0"/>
    <s v="kg"/>
    <n v="290"/>
    <n v="85"/>
    <n v="24650"/>
    <n v="2465"/>
    <n v="27115.000000000004"/>
    <m/>
  </r>
  <r>
    <n v="41"/>
    <x v="0"/>
    <x v="0"/>
    <x v="0"/>
    <x v="0"/>
    <x v="0"/>
    <x v="3"/>
    <x v="0"/>
    <s v="6567"/>
    <s v="김승찬"/>
    <s v="e"/>
    <x v="0"/>
    <s v=""/>
    <x v="0"/>
    <x v="0"/>
    <s v="kg"/>
    <n v="120"/>
    <n v="85"/>
    <n v="10200"/>
    <n v="1020"/>
    <n v="11220"/>
    <m/>
  </r>
  <r>
    <n v="42"/>
    <x v="0"/>
    <x v="0"/>
    <x v="0"/>
    <x v="0"/>
    <x v="0"/>
    <x v="3"/>
    <x v="0"/>
    <s v="0439"/>
    <s v="최흥섭"/>
    <s v="e"/>
    <x v="0"/>
    <s v=""/>
    <x v="0"/>
    <x v="0"/>
    <s v="kg"/>
    <n v="160"/>
    <n v="85"/>
    <n v="13600"/>
    <n v="1360"/>
    <n v="14960.000000000002"/>
    <m/>
  </r>
  <r>
    <n v="43"/>
    <x v="0"/>
    <x v="0"/>
    <x v="0"/>
    <x v="0"/>
    <x v="0"/>
    <x v="3"/>
    <x v="0"/>
    <s v="8876"/>
    <s v="이갑성"/>
    <s v="e"/>
    <x v="0"/>
    <s v=""/>
    <x v="0"/>
    <x v="0"/>
    <s v="kg"/>
    <n v="260"/>
    <n v="85"/>
    <n v="22100"/>
    <n v="2210"/>
    <n v="24310.000000000004"/>
    <m/>
  </r>
  <r>
    <n v="44"/>
    <x v="0"/>
    <x v="0"/>
    <x v="0"/>
    <x v="0"/>
    <x v="0"/>
    <x v="3"/>
    <x v="0"/>
    <s v="8255"/>
    <s v="정호석"/>
    <s v="e"/>
    <x v="0"/>
    <s v=""/>
    <x v="0"/>
    <x v="0"/>
    <s v="kg"/>
    <n v="140"/>
    <n v="85"/>
    <n v="11900"/>
    <n v="1190"/>
    <n v="13090.000000000002"/>
    <m/>
  </r>
  <r>
    <n v="45"/>
    <x v="0"/>
    <x v="0"/>
    <x v="0"/>
    <x v="0"/>
    <x v="0"/>
    <x v="3"/>
    <x v="0"/>
    <s v="8763"/>
    <s v="수정자원"/>
    <s v="cus"/>
    <x v="0"/>
    <s v=""/>
    <x v="0"/>
    <x v="1"/>
    <s v="kg"/>
    <n v="3810"/>
    <n v="85"/>
    <n v="323850"/>
    <n v="32385"/>
    <n v="356235"/>
    <m/>
  </r>
  <r>
    <n v="46"/>
    <x v="0"/>
    <x v="0"/>
    <x v="0"/>
    <x v="0"/>
    <x v="0"/>
    <x v="3"/>
    <x v="0"/>
    <s v="3855"/>
    <s v="허범진"/>
    <s v="e"/>
    <x v="0"/>
    <s v=""/>
    <x v="0"/>
    <x v="0"/>
    <s v="kg"/>
    <n v="150"/>
    <n v="85"/>
    <n v="12750"/>
    <n v="1275"/>
    <n v="14025.000000000002"/>
    <m/>
  </r>
  <r>
    <n v="47"/>
    <x v="0"/>
    <x v="0"/>
    <x v="0"/>
    <x v="0"/>
    <x v="0"/>
    <x v="3"/>
    <x v="0"/>
    <s v="2207"/>
    <s v="이희덕"/>
    <s v="e"/>
    <x v="0"/>
    <s v=""/>
    <x v="0"/>
    <x v="0"/>
    <s v="kg"/>
    <n v="150"/>
    <n v="85"/>
    <n v="12750"/>
    <n v="1275"/>
    <n v="14025.000000000002"/>
    <m/>
  </r>
  <r>
    <n v="48"/>
    <x v="0"/>
    <x v="0"/>
    <x v="0"/>
    <x v="0"/>
    <x v="0"/>
    <x v="3"/>
    <x v="0"/>
    <s v="8876"/>
    <s v="이갑성"/>
    <s v="e"/>
    <x v="0"/>
    <s v=""/>
    <x v="0"/>
    <x v="0"/>
    <s v="kg"/>
    <n v="240"/>
    <n v="85"/>
    <n v="20400"/>
    <n v="2040"/>
    <n v="22440"/>
    <m/>
  </r>
  <r>
    <n v="49"/>
    <x v="0"/>
    <x v="0"/>
    <x v="0"/>
    <x v="0"/>
    <x v="0"/>
    <x v="3"/>
    <x v="0"/>
    <s v="2207"/>
    <s v="이희덕"/>
    <s v="e"/>
    <x v="0"/>
    <s v=""/>
    <x v="0"/>
    <x v="0"/>
    <s v="kg"/>
    <n v="160"/>
    <n v="85"/>
    <n v="13600"/>
    <n v="1360"/>
    <n v="14960.000000000002"/>
    <m/>
  </r>
  <r>
    <n v="50"/>
    <x v="0"/>
    <x v="0"/>
    <x v="0"/>
    <x v="0"/>
    <x v="0"/>
    <x v="3"/>
    <x v="0"/>
    <s v="6567"/>
    <s v="김승찬"/>
    <s v="e"/>
    <x v="0"/>
    <s v=""/>
    <x v="0"/>
    <x v="0"/>
    <s v="kg"/>
    <n v="80"/>
    <n v="85"/>
    <n v="6800"/>
    <n v="680"/>
    <n v="7480.0000000000009"/>
    <m/>
  </r>
  <r>
    <n v="51"/>
    <x v="0"/>
    <x v="0"/>
    <x v="0"/>
    <x v="0"/>
    <x v="0"/>
    <x v="3"/>
    <x v="0"/>
    <s v="2207"/>
    <s v="이희덕"/>
    <s v="e"/>
    <x v="0"/>
    <s v=""/>
    <x v="0"/>
    <x v="0"/>
    <s v="kg"/>
    <n v="90"/>
    <n v="85"/>
    <n v="7650"/>
    <n v="765"/>
    <n v="8415"/>
    <m/>
  </r>
  <r>
    <n v="52"/>
    <x v="0"/>
    <x v="0"/>
    <x v="0"/>
    <x v="0"/>
    <x v="0"/>
    <x v="3"/>
    <x v="0"/>
    <s v="6567"/>
    <s v="김승찬"/>
    <s v="e"/>
    <x v="0"/>
    <s v=""/>
    <x v="0"/>
    <x v="0"/>
    <s v="kg"/>
    <n v="200"/>
    <n v="85"/>
    <n v="17000"/>
    <n v="1700"/>
    <n v="18700"/>
    <m/>
  </r>
  <r>
    <n v="53"/>
    <x v="1"/>
    <x v="1"/>
    <x v="0"/>
    <x v="0"/>
    <x v="1"/>
    <x v="1"/>
    <x v="0"/>
    <s v="6336"/>
    <s v="이수페이퍼"/>
    <s v="cus"/>
    <x v="0"/>
    <s v=""/>
    <x v="0"/>
    <x v="1"/>
    <s v="kg"/>
    <n v="5550"/>
    <n v="90"/>
    <n v="499500"/>
    <n v="49950"/>
    <n v="549450"/>
    <m/>
  </r>
  <r>
    <n v="54"/>
    <x v="1"/>
    <x v="1"/>
    <x v="0"/>
    <x v="0"/>
    <x v="1"/>
    <x v="2"/>
    <x v="0"/>
    <s v="4135"/>
    <s v="미래환경"/>
    <s v="cus"/>
    <x v="1"/>
    <s v=""/>
    <x v="1"/>
    <x v="1"/>
    <s v="kg"/>
    <n v="3030"/>
    <n v="0"/>
    <n v="0"/>
    <n v="0"/>
    <n v="0"/>
    <m/>
  </r>
  <r>
    <n v="55"/>
    <x v="1"/>
    <x v="1"/>
    <x v="0"/>
    <x v="0"/>
    <x v="1"/>
    <x v="2"/>
    <x v="0"/>
    <s v="3593"/>
    <s v="미래환경"/>
    <s v="cus"/>
    <x v="1"/>
    <s v=""/>
    <x v="1"/>
    <x v="1"/>
    <s v="kg"/>
    <n v="3530"/>
    <n v="0"/>
    <n v="0"/>
    <n v="0"/>
    <n v="0"/>
    <m/>
  </r>
  <r>
    <n v="56"/>
    <x v="1"/>
    <x v="1"/>
    <x v="0"/>
    <x v="0"/>
    <x v="1"/>
    <x v="1"/>
    <x v="0"/>
    <s v="3089"/>
    <s v="이수페이퍼"/>
    <s v="cus"/>
    <x v="0"/>
    <s v=""/>
    <x v="2"/>
    <x v="1"/>
    <s v="kg"/>
    <n v="15965"/>
    <n v="165"/>
    <n v="2634225"/>
    <n v="263422.5"/>
    <n v="2897647.5000000005"/>
    <m/>
  </r>
  <r>
    <n v="57"/>
    <x v="1"/>
    <x v="1"/>
    <x v="0"/>
    <x v="0"/>
    <x v="1"/>
    <x v="2"/>
    <x v="0"/>
    <s v="3609"/>
    <s v="미래환경"/>
    <s v="cus"/>
    <x v="2"/>
    <s v=""/>
    <x v="3"/>
    <x v="1"/>
    <s v="kg"/>
    <n v="3965"/>
    <n v="0"/>
    <n v="0"/>
    <n v="0"/>
    <n v="0"/>
    <m/>
  </r>
  <r>
    <n v="58"/>
    <x v="1"/>
    <x v="1"/>
    <x v="0"/>
    <x v="0"/>
    <x v="1"/>
    <x v="1"/>
    <x v="0"/>
    <s v="6336"/>
    <s v="이수페이퍼"/>
    <s v="cus"/>
    <x v="0"/>
    <s v=""/>
    <x v="0"/>
    <x v="1"/>
    <s v="kg"/>
    <n v="5860"/>
    <n v="90"/>
    <n v="527400"/>
    <n v="52740"/>
    <n v="580140"/>
    <m/>
  </r>
  <r>
    <n v="59"/>
    <x v="1"/>
    <x v="1"/>
    <x v="0"/>
    <x v="0"/>
    <x v="1"/>
    <x v="2"/>
    <x v="0"/>
    <s v="1728"/>
    <s v="미래환경"/>
    <s v="cus"/>
    <x v="2"/>
    <s v=""/>
    <x v="3"/>
    <x v="1"/>
    <s v="kg"/>
    <n v="4005"/>
    <n v="0"/>
    <n v="0"/>
    <n v="0"/>
    <n v="0"/>
    <m/>
  </r>
  <r>
    <n v="60"/>
    <x v="1"/>
    <x v="1"/>
    <x v="0"/>
    <x v="0"/>
    <x v="1"/>
    <x v="4"/>
    <x v="0"/>
    <s v="0309"/>
    <s v="무등자원"/>
    <s v="cus"/>
    <x v="3"/>
    <s v="비철"/>
    <x v="4"/>
    <x v="1"/>
    <s v="kg"/>
    <n v="1785"/>
    <n v="1450"/>
    <n v="2588250"/>
    <n v="258825"/>
    <n v="2847075"/>
    <m/>
  </r>
  <r>
    <n v="61"/>
    <x v="1"/>
    <x v="1"/>
    <x v="0"/>
    <x v="0"/>
    <x v="1"/>
    <x v="2"/>
    <x v="0"/>
    <s v="3592"/>
    <s v="미래환경"/>
    <s v="cus"/>
    <x v="1"/>
    <s v=""/>
    <x v="1"/>
    <x v="1"/>
    <s v="kg"/>
    <n v="2940"/>
    <n v="0"/>
    <n v="0"/>
    <n v="0"/>
    <n v="0"/>
    <m/>
  </r>
  <r>
    <n v="62"/>
    <x v="1"/>
    <x v="1"/>
    <x v="0"/>
    <x v="0"/>
    <x v="1"/>
    <x v="2"/>
    <x v="0"/>
    <s v="3607"/>
    <s v="미래환경"/>
    <s v="cus"/>
    <x v="1"/>
    <s v=""/>
    <x v="1"/>
    <x v="1"/>
    <s v="kg"/>
    <n v="3155"/>
    <n v="0"/>
    <n v="0"/>
    <n v="0"/>
    <n v="0"/>
    <m/>
  </r>
  <r>
    <n v="63"/>
    <x v="1"/>
    <x v="1"/>
    <x v="0"/>
    <x v="0"/>
    <x v="1"/>
    <x v="5"/>
    <x v="0"/>
    <s v="6693"/>
    <s v="공병자원"/>
    <s v="cus"/>
    <x v="4"/>
    <s v="공병"/>
    <x v="5"/>
    <x v="1"/>
    <s v="kg"/>
    <n v="2775"/>
    <n v="220"/>
    <n v="610500"/>
    <n v="61050"/>
    <n v="671550"/>
    <m/>
  </r>
  <r>
    <n v="64"/>
    <x v="1"/>
    <x v="1"/>
    <x v="0"/>
    <x v="0"/>
    <x v="1"/>
    <x v="3"/>
    <x v="0"/>
    <s v="8255"/>
    <s v="정호석"/>
    <s v="e"/>
    <x v="0"/>
    <s v=""/>
    <x v="0"/>
    <x v="0"/>
    <s v="kg"/>
    <n v="150"/>
    <n v="85"/>
    <n v="12750"/>
    <n v="1275"/>
    <n v="14025.000000000002"/>
    <m/>
  </r>
  <r>
    <n v="65"/>
    <x v="1"/>
    <x v="1"/>
    <x v="0"/>
    <x v="0"/>
    <x v="1"/>
    <x v="3"/>
    <x v="0"/>
    <s v="9283"/>
    <s v="김동령"/>
    <s v="e"/>
    <x v="0"/>
    <s v=""/>
    <x v="0"/>
    <x v="0"/>
    <s v="kg"/>
    <n v="170"/>
    <n v="85"/>
    <n v="14450"/>
    <n v="1445"/>
    <n v="15895.000000000002"/>
    <m/>
  </r>
  <r>
    <n v="66"/>
    <x v="1"/>
    <x v="1"/>
    <x v="0"/>
    <x v="0"/>
    <x v="1"/>
    <x v="3"/>
    <x v="0"/>
    <s v="8255"/>
    <s v="정호석"/>
    <s v="e"/>
    <x v="0"/>
    <s v=""/>
    <x v="0"/>
    <x v="0"/>
    <s v="kg"/>
    <n v="210"/>
    <n v="85"/>
    <n v="17850"/>
    <n v="1785"/>
    <n v="19635"/>
    <m/>
  </r>
  <r>
    <n v="67"/>
    <x v="1"/>
    <x v="1"/>
    <x v="0"/>
    <x v="0"/>
    <x v="1"/>
    <x v="3"/>
    <x v="0"/>
    <s v="9283"/>
    <s v="김동령"/>
    <s v="e"/>
    <x v="0"/>
    <s v=""/>
    <x v="0"/>
    <x v="0"/>
    <s v="kg"/>
    <n v="260"/>
    <n v="85"/>
    <n v="22100"/>
    <n v="2210"/>
    <n v="24310.000000000004"/>
    <m/>
  </r>
  <r>
    <n v="68"/>
    <x v="1"/>
    <x v="1"/>
    <x v="0"/>
    <x v="0"/>
    <x v="1"/>
    <x v="3"/>
    <x v="0"/>
    <s v="6567"/>
    <s v="김승찬"/>
    <s v="e"/>
    <x v="0"/>
    <s v=""/>
    <x v="0"/>
    <x v="0"/>
    <s v="kg"/>
    <n v="140"/>
    <n v="85"/>
    <n v="11900"/>
    <n v="1190"/>
    <n v="13090.000000000002"/>
    <m/>
  </r>
  <r>
    <n v="69"/>
    <x v="1"/>
    <x v="1"/>
    <x v="0"/>
    <x v="0"/>
    <x v="1"/>
    <x v="3"/>
    <x v="0"/>
    <s v="4750"/>
    <s v="황한천"/>
    <s v="e"/>
    <x v="0"/>
    <s v=""/>
    <x v="0"/>
    <x v="0"/>
    <s v="kg"/>
    <n v="260"/>
    <n v="85"/>
    <n v="22100"/>
    <n v="2210"/>
    <n v="24310.000000000004"/>
    <m/>
  </r>
  <r>
    <n v="70"/>
    <x v="1"/>
    <x v="1"/>
    <x v="0"/>
    <x v="0"/>
    <x v="1"/>
    <x v="3"/>
    <x v="0"/>
    <s v="4886"/>
    <s v="박준철"/>
    <s v="e"/>
    <x v="0"/>
    <s v=""/>
    <x v="0"/>
    <x v="0"/>
    <s v="kg"/>
    <n v="160"/>
    <n v="85"/>
    <n v="13600"/>
    <n v="1360"/>
    <n v="14960.000000000002"/>
    <m/>
  </r>
  <r>
    <n v="71"/>
    <x v="1"/>
    <x v="1"/>
    <x v="0"/>
    <x v="0"/>
    <x v="1"/>
    <x v="3"/>
    <x v="0"/>
    <s v="8769"/>
    <s v="수정자원"/>
    <s v="cus"/>
    <x v="0"/>
    <s v=""/>
    <x v="0"/>
    <x v="1"/>
    <s v="kg"/>
    <n v="4030"/>
    <n v="85"/>
    <n v="342550"/>
    <n v="34255"/>
    <n v="376805.00000000006"/>
    <m/>
  </r>
  <r>
    <n v="72"/>
    <x v="1"/>
    <x v="1"/>
    <x v="0"/>
    <x v="0"/>
    <x v="1"/>
    <x v="3"/>
    <x v="0"/>
    <s v="9283"/>
    <s v="김동령"/>
    <s v="e"/>
    <x v="0"/>
    <s v=""/>
    <x v="0"/>
    <x v="0"/>
    <s v="kg"/>
    <n v="200"/>
    <n v="85"/>
    <n v="17000"/>
    <n v="1700"/>
    <n v="18700"/>
    <m/>
  </r>
  <r>
    <n v="73"/>
    <x v="1"/>
    <x v="1"/>
    <x v="0"/>
    <x v="0"/>
    <x v="1"/>
    <x v="3"/>
    <x v="0"/>
    <s v="0616"/>
    <s v="권명노"/>
    <s v="e"/>
    <x v="0"/>
    <s v=""/>
    <x v="0"/>
    <x v="0"/>
    <s v="kg"/>
    <n v="550"/>
    <n v="85"/>
    <n v="46750"/>
    <n v="4675"/>
    <n v="51425.000000000007"/>
    <m/>
  </r>
  <r>
    <n v="74"/>
    <x v="1"/>
    <x v="1"/>
    <x v="0"/>
    <x v="0"/>
    <x v="1"/>
    <x v="3"/>
    <x v="0"/>
    <s v="4750"/>
    <s v="황한천"/>
    <s v="e"/>
    <x v="0"/>
    <s v=""/>
    <x v="0"/>
    <x v="0"/>
    <s v="kg"/>
    <n v="220"/>
    <n v="85"/>
    <n v="18700"/>
    <n v="1870"/>
    <n v="20570"/>
    <m/>
  </r>
  <r>
    <n v="75"/>
    <x v="1"/>
    <x v="1"/>
    <x v="0"/>
    <x v="0"/>
    <x v="1"/>
    <x v="3"/>
    <x v="0"/>
    <s v="6567"/>
    <s v="김승찬"/>
    <s v="e"/>
    <x v="0"/>
    <s v=""/>
    <x v="0"/>
    <x v="0"/>
    <s v="kg"/>
    <n v="150"/>
    <n v="85"/>
    <n v="12750"/>
    <n v="1275"/>
    <n v="14025.000000000002"/>
    <m/>
  </r>
  <r>
    <n v="76"/>
    <x v="1"/>
    <x v="1"/>
    <x v="0"/>
    <x v="0"/>
    <x v="1"/>
    <x v="3"/>
    <x v="0"/>
    <s v="0439"/>
    <s v="최흥섭"/>
    <s v="e"/>
    <x v="0"/>
    <s v=""/>
    <x v="0"/>
    <x v="0"/>
    <s v="kg"/>
    <n v="540"/>
    <n v="85"/>
    <n v="45900"/>
    <n v="4590"/>
    <n v="50490.000000000007"/>
    <m/>
  </r>
  <r>
    <n v="77"/>
    <x v="1"/>
    <x v="1"/>
    <x v="0"/>
    <x v="0"/>
    <x v="1"/>
    <x v="3"/>
    <x v="0"/>
    <s v="3855"/>
    <s v="허범진"/>
    <s v="e"/>
    <x v="0"/>
    <s v=""/>
    <x v="0"/>
    <x v="0"/>
    <s v="kg"/>
    <n v="310"/>
    <n v="85"/>
    <n v="26350"/>
    <n v="2635"/>
    <n v="28985.000000000004"/>
    <m/>
  </r>
  <r>
    <n v="78"/>
    <x v="1"/>
    <x v="1"/>
    <x v="0"/>
    <x v="0"/>
    <x v="1"/>
    <x v="3"/>
    <x v="0"/>
    <s v="8876"/>
    <s v="이갑성"/>
    <s v="e"/>
    <x v="0"/>
    <s v=""/>
    <x v="0"/>
    <x v="0"/>
    <s v="kg"/>
    <n v="290"/>
    <n v="85"/>
    <n v="24650"/>
    <n v="2465"/>
    <n v="27115.000000000004"/>
    <m/>
  </r>
  <r>
    <n v="79"/>
    <x v="1"/>
    <x v="1"/>
    <x v="0"/>
    <x v="0"/>
    <x v="1"/>
    <x v="3"/>
    <x v="0"/>
    <s v="2207"/>
    <s v="이희덕"/>
    <s v="e"/>
    <x v="0"/>
    <s v=""/>
    <x v="0"/>
    <x v="0"/>
    <s v="kg"/>
    <n v="150"/>
    <n v="85"/>
    <n v="12750"/>
    <n v="1275"/>
    <n v="14025.000000000002"/>
    <m/>
  </r>
  <r>
    <n v="80"/>
    <x v="1"/>
    <x v="1"/>
    <x v="0"/>
    <x v="0"/>
    <x v="1"/>
    <x v="3"/>
    <x v="0"/>
    <s v="8763"/>
    <s v="수정자원"/>
    <s v="cus"/>
    <x v="0"/>
    <s v=""/>
    <x v="0"/>
    <x v="1"/>
    <s v="kg"/>
    <n v="3800"/>
    <n v="85"/>
    <n v="323000"/>
    <n v="32300"/>
    <n v="355300"/>
    <m/>
  </r>
  <r>
    <n v="81"/>
    <x v="1"/>
    <x v="1"/>
    <x v="0"/>
    <x v="0"/>
    <x v="1"/>
    <x v="3"/>
    <x v="0"/>
    <s v="8876"/>
    <s v="이갑성"/>
    <s v="e"/>
    <x v="0"/>
    <s v=""/>
    <x v="0"/>
    <x v="0"/>
    <s v="kg"/>
    <n v="110"/>
    <n v="85"/>
    <n v="9350"/>
    <n v="935"/>
    <n v="10285"/>
    <m/>
  </r>
  <r>
    <n v="82"/>
    <x v="1"/>
    <x v="1"/>
    <x v="0"/>
    <x v="0"/>
    <x v="1"/>
    <x v="3"/>
    <x v="0"/>
    <s v="6567"/>
    <s v="김승찬"/>
    <s v="e"/>
    <x v="0"/>
    <s v=""/>
    <x v="0"/>
    <x v="0"/>
    <s v="kg"/>
    <n v="130"/>
    <n v="85"/>
    <n v="11050"/>
    <n v="1105"/>
    <n v="12155.000000000002"/>
    <m/>
  </r>
  <r>
    <n v="83"/>
    <x v="1"/>
    <x v="1"/>
    <x v="0"/>
    <x v="0"/>
    <x v="1"/>
    <x v="3"/>
    <x v="0"/>
    <s v="8255"/>
    <s v="정호석"/>
    <s v="e"/>
    <x v="0"/>
    <s v=""/>
    <x v="0"/>
    <x v="0"/>
    <s v="kg"/>
    <n v="200"/>
    <n v="85"/>
    <n v="17000"/>
    <n v="1700"/>
    <n v="18700"/>
    <m/>
  </r>
  <r>
    <n v="84"/>
    <x v="1"/>
    <x v="1"/>
    <x v="0"/>
    <x v="0"/>
    <x v="1"/>
    <x v="3"/>
    <x v="0"/>
    <s v="0439"/>
    <s v="최흥섭"/>
    <s v="e"/>
    <x v="0"/>
    <s v=""/>
    <x v="0"/>
    <x v="0"/>
    <s v="kg"/>
    <n v="140"/>
    <n v="85"/>
    <n v="11900"/>
    <n v="1190"/>
    <n v="13090.000000000002"/>
    <m/>
  </r>
  <r>
    <n v="85"/>
    <x v="1"/>
    <x v="1"/>
    <x v="0"/>
    <x v="0"/>
    <x v="1"/>
    <x v="3"/>
    <x v="0"/>
    <s v="3855"/>
    <s v="허범진"/>
    <s v="e"/>
    <x v="0"/>
    <s v=""/>
    <x v="0"/>
    <x v="0"/>
    <s v="kg"/>
    <n v="180"/>
    <n v="85"/>
    <n v="15300"/>
    <n v="1530"/>
    <n v="16830"/>
    <m/>
  </r>
  <r>
    <n v="86"/>
    <x v="1"/>
    <x v="1"/>
    <x v="0"/>
    <x v="0"/>
    <x v="1"/>
    <x v="3"/>
    <x v="0"/>
    <s v="8769"/>
    <s v="수정자원"/>
    <s v="cus"/>
    <x v="0"/>
    <s v=""/>
    <x v="0"/>
    <x v="1"/>
    <s v="kg"/>
    <n v="4130"/>
    <n v="85"/>
    <n v="351050"/>
    <n v="35105"/>
    <n v="386155.00000000006"/>
    <m/>
  </r>
  <r>
    <n v="87"/>
    <x v="1"/>
    <x v="1"/>
    <x v="0"/>
    <x v="0"/>
    <x v="1"/>
    <x v="3"/>
    <x v="0"/>
    <s v="8876"/>
    <s v="이갑성"/>
    <s v="e"/>
    <x v="0"/>
    <s v=""/>
    <x v="0"/>
    <x v="0"/>
    <s v="kg"/>
    <n v="180"/>
    <n v="85"/>
    <n v="15300"/>
    <n v="1530"/>
    <n v="16830"/>
    <m/>
  </r>
  <r>
    <n v="88"/>
    <x v="1"/>
    <x v="1"/>
    <x v="0"/>
    <x v="0"/>
    <x v="1"/>
    <x v="3"/>
    <x v="0"/>
    <s v="6567"/>
    <s v="김승찬"/>
    <s v="e"/>
    <x v="0"/>
    <s v=""/>
    <x v="0"/>
    <x v="0"/>
    <s v="kg"/>
    <n v="220"/>
    <n v="85"/>
    <n v="18700"/>
    <n v="1870"/>
    <n v="20570"/>
    <m/>
  </r>
  <r>
    <n v="89"/>
    <x v="1"/>
    <x v="1"/>
    <x v="0"/>
    <x v="0"/>
    <x v="1"/>
    <x v="3"/>
    <x v="0"/>
    <s v="2207"/>
    <s v="이희덕"/>
    <s v="e"/>
    <x v="0"/>
    <s v=""/>
    <x v="0"/>
    <x v="0"/>
    <s v="kg"/>
    <n v="380"/>
    <n v="85"/>
    <n v="32300"/>
    <n v="3230"/>
    <n v="35530"/>
    <m/>
  </r>
  <r>
    <n v="90"/>
    <x v="1"/>
    <x v="1"/>
    <x v="0"/>
    <x v="0"/>
    <x v="1"/>
    <x v="3"/>
    <x v="0"/>
    <s v="2207"/>
    <s v="이희덕"/>
    <s v="e"/>
    <x v="0"/>
    <s v=""/>
    <x v="0"/>
    <x v="0"/>
    <s v="kg"/>
    <n v="60"/>
    <n v="85"/>
    <n v="5100"/>
    <n v="510"/>
    <n v="5610"/>
    <m/>
  </r>
  <r>
    <n v="91"/>
    <x v="1"/>
    <x v="1"/>
    <x v="0"/>
    <x v="0"/>
    <x v="1"/>
    <x v="3"/>
    <x v="1"/>
    <s v="5597"/>
    <s v="이한규"/>
    <s v="e"/>
    <x v="0"/>
    <s v=""/>
    <x v="0"/>
    <x v="0"/>
    <s v="kg"/>
    <n v="530"/>
    <n v="85"/>
    <n v="45050"/>
    <n v="4505"/>
    <n v="49555.000000000007"/>
    <m/>
  </r>
  <r>
    <n v="92"/>
    <x v="1"/>
    <x v="1"/>
    <x v="0"/>
    <x v="0"/>
    <x v="1"/>
    <x v="3"/>
    <x v="1"/>
    <s v="5597"/>
    <s v="이한규"/>
    <s v="e"/>
    <x v="0"/>
    <s v=""/>
    <x v="0"/>
    <x v="0"/>
    <s v="kg"/>
    <n v="250"/>
    <n v="85"/>
    <n v="21250"/>
    <n v="2125"/>
    <n v="23375.000000000004"/>
    <m/>
  </r>
  <r>
    <n v="93"/>
    <x v="1"/>
    <x v="1"/>
    <x v="0"/>
    <x v="0"/>
    <x v="1"/>
    <x v="3"/>
    <x v="1"/>
    <s v="5597"/>
    <s v="이한규"/>
    <s v="e"/>
    <x v="0"/>
    <s v=""/>
    <x v="0"/>
    <x v="0"/>
    <s v="kg"/>
    <n v="100"/>
    <n v="85"/>
    <n v="8500"/>
    <n v="850"/>
    <n v="9350"/>
    <m/>
  </r>
  <r>
    <n v="94"/>
    <x v="1"/>
    <x v="1"/>
    <x v="0"/>
    <x v="0"/>
    <x v="1"/>
    <x v="3"/>
    <x v="1"/>
    <s v="5597"/>
    <s v="이한규"/>
    <s v="e"/>
    <x v="0"/>
    <s v=""/>
    <x v="0"/>
    <x v="0"/>
    <s v="kg"/>
    <n v="270"/>
    <n v="85"/>
    <n v="22950"/>
    <n v="2295"/>
    <n v="25245.000000000004"/>
    <m/>
  </r>
  <r>
    <n v="95"/>
    <x v="1"/>
    <x v="1"/>
    <x v="0"/>
    <x v="0"/>
    <x v="1"/>
    <x v="0"/>
    <x v="0"/>
    <s v="7246"/>
    <s v="이승원"/>
    <s v="e"/>
    <x v="0"/>
    <s v=""/>
    <x v="0"/>
    <x v="0"/>
    <s v="kg"/>
    <n v="220"/>
    <n v="95"/>
    <n v="20900"/>
    <n v="2090"/>
    <n v="22990.000000000004"/>
    <m/>
  </r>
  <r>
    <n v="96"/>
    <x v="1"/>
    <x v="1"/>
    <x v="0"/>
    <x v="0"/>
    <x v="1"/>
    <x v="0"/>
    <x v="0"/>
    <s v="9390"/>
    <s v="정민원"/>
    <s v="e"/>
    <x v="0"/>
    <s v=""/>
    <x v="0"/>
    <x v="0"/>
    <s v="kg"/>
    <n v="150"/>
    <n v="95"/>
    <n v="14250"/>
    <n v="1425"/>
    <n v="15675.000000000002"/>
    <m/>
  </r>
  <r>
    <n v="97"/>
    <x v="1"/>
    <x v="1"/>
    <x v="0"/>
    <x v="0"/>
    <x v="1"/>
    <x v="0"/>
    <x v="0"/>
    <s v="7246"/>
    <s v="이승원"/>
    <s v="e"/>
    <x v="0"/>
    <s v=""/>
    <x v="0"/>
    <x v="0"/>
    <s v="kg"/>
    <n v="220"/>
    <n v="95"/>
    <n v="20900"/>
    <n v="2090"/>
    <n v="22990.000000000004"/>
    <m/>
  </r>
  <r>
    <n v="98"/>
    <x v="1"/>
    <x v="1"/>
    <x v="0"/>
    <x v="0"/>
    <x v="1"/>
    <x v="0"/>
    <x v="0"/>
    <s v="9310"/>
    <s v="정상준"/>
    <s v="e"/>
    <x v="0"/>
    <s v=""/>
    <x v="0"/>
    <x v="0"/>
    <s v="kg"/>
    <n v="210"/>
    <n v="95"/>
    <n v="19950"/>
    <n v="1995"/>
    <n v="21945"/>
    <m/>
  </r>
  <r>
    <n v="99"/>
    <x v="1"/>
    <x v="1"/>
    <x v="0"/>
    <x v="0"/>
    <x v="1"/>
    <x v="0"/>
    <x v="0"/>
    <s v="5245"/>
    <s v="정민호"/>
    <s v="e"/>
    <x v="0"/>
    <s v=""/>
    <x v="0"/>
    <x v="0"/>
    <s v="kg"/>
    <n v="160"/>
    <n v="95"/>
    <n v="15200"/>
    <n v="1520"/>
    <n v="16720"/>
    <m/>
  </r>
  <r>
    <n v="100"/>
    <x v="1"/>
    <x v="1"/>
    <x v="0"/>
    <x v="0"/>
    <x v="1"/>
    <x v="0"/>
    <x v="0"/>
    <s v="0612"/>
    <s v="송환기"/>
    <s v="e"/>
    <x v="0"/>
    <s v=""/>
    <x v="0"/>
    <x v="0"/>
    <s v="kg"/>
    <n v="190"/>
    <n v="95"/>
    <n v="18050"/>
    <n v="1805"/>
    <n v="19855"/>
    <m/>
  </r>
  <r>
    <n v="101"/>
    <x v="1"/>
    <x v="1"/>
    <x v="0"/>
    <x v="0"/>
    <x v="1"/>
    <x v="0"/>
    <x v="0"/>
    <s v="5245"/>
    <s v="정민호"/>
    <s v="e"/>
    <x v="0"/>
    <s v=""/>
    <x v="0"/>
    <x v="0"/>
    <s v="kg"/>
    <n v="110"/>
    <n v="95"/>
    <n v="10450"/>
    <n v="1045"/>
    <n v="11495.000000000002"/>
    <m/>
  </r>
  <r>
    <n v="102"/>
    <x v="1"/>
    <x v="1"/>
    <x v="0"/>
    <x v="0"/>
    <x v="1"/>
    <x v="0"/>
    <x v="0"/>
    <s v="2986"/>
    <s v="김대식"/>
    <s v="e"/>
    <x v="0"/>
    <s v=""/>
    <x v="0"/>
    <x v="0"/>
    <s v="kg"/>
    <n v="220"/>
    <n v="95"/>
    <n v="20900"/>
    <n v="2090"/>
    <n v="22990.000000000004"/>
    <m/>
  </r>
  <r>
    <n v="103"/>
    <x v="1"/>
    <x v="1"/>
    <x v="0"/>
    <x v="0"/>
    <x v="1"/>
    <x v="0"/>
    <x v="0"/>
    <s v="7246"/>
    <s v="이승원"/>
    <s v="e"/>
    <x v="0"/>
    <s v=""/>
    <x v="0"/>
    <x v="0"/>
    <s v="kg"/>
    <n v="240"/>
    <n v="95"/>
    <n v="22800"/>
    <n v="2280"/>
    <n v="25080.000000000004"/>
    <m/>
  </r>
  <r>
    <n v="104"/>
    <x v="1"/>
    <x v="1"/>
    <x v="0"/>
    <x v="0"/>
    <x v="1"/>
    <x v="0"/>
    <x v="0"/>
    <s v="9310"/>
    <s v="정상준"/>
    <s v="e"/>
    <x v="0"/>
    <s v=""/>
    <x v="0"/>
    <x v="0"/>
    <s v="kg"/>
    <n v="220"/>
    <n v="95"/>
    <n v="20900"/>
    <n v="2090"/>
    <n v="22990.000000000004"/>
    <m/>
  </r>
  <r>
    <n v="105"/>
    <x v="1"/>
    <x v="1"/>
    <x v="0"/>
    <x v="0"/>
    <x v="1"/>
    <x v="0"/>
    <x v="0"/>
    <s v="0612"/>
    <s v="송환기"/>
    <s v="e"/>
    <x v="0"/>
    <s v=""/>
    <x v="0"/>
    <x v="0"/>
    <s v="kg"/>
    <n v="260"/>
    <n v="95"/>
    <n v="24700"/>
    <n v="2470"/>
    <n v="27170.000000000004"/>
    <m/>
  </r>
  <r>
    <n v="106"/>
    <x v="1"/>
    <x v="1"/>
    <x v="0"/>
    <x v="0"/>
    <x v="1"/>
    <x v="0"/>
    <x v="0"/>
    <s v="4618"/>
    <s v="강성완"/>
    <s v="e"/>
    <x v="0"/>
    <s v=""/>
    <x v="0"/>
    <x v="0"/>
    <s v="kg"/>
    <n v="360"/>
    <n v="95"/>
    <n v="34200"/>
    <n v="3420"/>
    <n v="37620"/>
    <m/>
  </r>
  <r>
    <n v="107"/>
    <x v="1"/>
    <x v="1"/>
    <x v="0"/>
    <x v="0"/>
    <x v="1"/>
    <x v="0"/>
    <x v="0"/>
    <s v="1310"/>
    <s v="김태홍"/>
    <s v="e"/>
    <x v="0"/>
    <s v=""/>
    <x v="0"/>
    <x v="0"/>
    <s v="kg"/>
    <n v="260"/>
    <n v="95"/>
    <n v="24700"/>
    <n v="2470"/>
    <n v="27170.000000000004"/>
    <m/>
  </r>
  <r>
    <n v="108"/>
    <x v="1"/>
    <x v="1"/>
    <x v="0"/>
    <x v="0"/>
    <x v="1"/>
    <x v="0"/>
    <x v="0"/>
    <s v="7246"/>
    <s v="이승원"/>
    <s v="e"/>
    <x v="0"/>
    <s v=""/>
    <x v="0"/>
    <x v="0"/>
    <s v="kg"/>
    <n v="240"/>
    <n v="95"/>
    <n v="22800"/>
    <n v="2280"/>
    <n v="25080.000000000004"/>
    <m/>
  </r>
  <r>
    <n v="109"/>
    <x v="1"/>
    <x v="1"/>
    <x v="0"/>
    <x v="0"/>
    <x v="1"/>
    <x v="0"/>
    <x v="0"/>
    <s v="9149"/>
    <s v="이강업"/>
    <s v="e"/>
    <x v="0"/>
    <s v=""/>
    <x v="0"/>
    <x v="0"/>
    <s v="kg"/>
    <n v="420"/>
    <n v="95"/>
    <n v="39900"/>
    <n v="3990"/>
    <n v="43890"/>
    <m/>
  </r>
  <r>
    <n v="110"/>
    <x v="1"/>
    <x v="1"/>
    <x v="0"/>
    <x v="0"/>
    <x v="1"/>
    <x v="0"/>
    <x v="0"/>
    <s v="2986"/>
    <s v="김대식"/>
    <s v="e"/>
    <x v="0"/>
    <s v=""/>
    <x v="0"/>
    <x v="0"/>
    <s v="kg"/>
    <n v="260"/>
    <n v="95"/>
    <n v="24700"/>
    <n v="2470"/>
    <n v="27170.000000000004"/>
    <m/>
  </r>
  <r>
    <n v="111"/>
    <x v="1"/>
    <x v="1"/>
    <x v="0"/>
    <x v="0"/>
    <x v="1"/>
    <x v="0"/>
    <x v="0"/>
    <s v="8947"/>
    <s v="정주혁"/>
    <s v="e"/>
    <x v="0"/>
    <s v=""/>
    <x v="0"/>
    <x v="0"/>
    <s v="kg"/>
    <n v="180"/>
    <n v="95"/>
    <n v="17100"/>
    <n v="1710"/>
    <n v="18810"/>
    <m/>
  </r>
  <r>
    <n v="112"/>
    <x v="1"/>
    <x v="1"/>
    <x v="0"/>
    <x v="0"/>
    <x v="1"/>
    <x v="0"/>
    <x v="0"/>
    <s v="0439"/>
    <s v="최흥섭"/>
    <s v="e"/>
    <x v="0"/>
    <s v=""/>
    <x v="0"/>
    <x v="0"/>
    <s v="kg"/>
    <n v="170"/>
    <n v="95"/>
    <n v="16150"/>
    <n v="1615"/>
    <n v="17765"/>
    <m/>
  </r>
  <r>
    <n v="113"/>
    <x v="1"/>
    <x v="1"/>
    <x v="0"/>
    <x v="0"/>
    <x v="1"/>
    <x v="0"/>
    <x v="0"/>
    <s v="2986"/>
    <s v="김대식"/>
    <s v="e"/>
    <x v="0"/>
    <s v=""/>
    <x v="0"/>
    <x v="0"/>
    <s v="kg"/>
    <n v="220"/>
    <n v="95"/>
    <n v="20900"/>
    <n v="2090"/>
    <n v="22990.000000000004"/>
    <m/>
  </r>
  <r>
    <n v="114"/>
    <x v="1"/>
    <x v="1"/>
    <x v="0"/>
    <x v="0"/>
    <x v="1"/>
    <x v="0"/>
    <x v="0"/>
    <s v="8466"/>
    <s v="이영근"/>
    <s v="e"/>
    <x v="0"/>
    <s v=""/>
    <x v="0"/>
    <x v="0"/>
    <s v="kg"/>
    <n v="260"/>
    <n v="95"/>
    <n v="24700"/>
    <n v="2470"/>
    <n v="27170.000000000004"/>
    <m/>
  </r>
  <r>
    <n v="115"/>
    <x v="1"/>
    <x v="1"/>
    <x v="0"/>
    <x v="0"/>
    <x v="1"/>
    <x v="0"/>
    <x v="0"/>
    <s v="4618"/>
    <s v="강성완"/>
    <s v="e"/>
    <x v="0"/>
    <s v=""/>
    <x v="0"/>
    <x v="0"/>
    <s v="kg"/>
    <n v="560"/>
    <n v="95"/>
    <n v="53200"/>
    <n v="5320"/>
    <n v="58520.000000000007"/>
    <m/>
  </r>
  <r>
    <n v="116"/>
    <x v="1"/>
    <x v="1"/>
    <x v="0"/>
    <x v="0"/>
    <x v="1"/>
    <x v="0"/>
    <x v="0"/>
    <s v="4618"/>
    <s v="강성완"/>
    <s v="e"/>
    <x v="0"/>
    <s v=""/>
    <x v="0"/>
    <x v="0"/>
    <s v="kg"/>
    <n v="250"/>
    <n v="95"/>
    <n v="23750"/>
    <n v="2375"/>
    <n v="26125.000000000004"/>
    <m/>
  </r>
  <r>
    <n v="117"/>
    <x v="1"/>
    <x v="1"/>
    <x v="0"/>
    <x v="0"/>
    <x v="1"/>
    <x v="0"/>
    <x v="0"/>
    <s v="5245"/>
    <s v="정민호"/>
    <s v="e"/>
    <x v="0"/>
    <s v=""/>
    <x v="0"/>
    <x v="0"/>
    <s v="kg"/>
    <n v="290"/>
    <n v="95"/>
    <n v="27550"/>
    <n v="2755"/>
    <n v="30305.000000000004"/>
    <m/>
  </r>
  <r>
    <n v="118"/>
    <x v="1"/>
    <x v="1"/>
    <x v="0"/>
    <x v="0"/>
    <x v="1"/>
    <x v="0"/>
    <x v="0"/>
    <s v="8466"/>
    <s v="이영근"/>
    <s v="e"/>
    <x v="0"/>
    <s v=""/>
    <x v="0"/>
    <x v="0"/>
    <s v="kg"/>
    <n v="350"/>
    <n v="95"/>
    <n v="33250"/>
    <n v="3325"/>
    <n v="36575"/>
    <m/>
  </r>
  <r>
    <n v="119"/>
    <x v="1"/>
    <x v="1"/>
    <x v="0"/>
    <x v="0"/>
    <x v="1"/>
    <x v="0"/>
    <x v="0"/>
    <s v="7246"/>
    <s v="이승원"/>
    <s v="e"/>
    <x v="0"/>
    <s v=""/>
    <x v="0"/>
    <x v="0"/>
    <s v="kg"/>
    <n v="130"/>
    <n v="95"/>
    <n v="12350"/>
    <n v="1235"/>
    <n v="13585.000000000002"/>
    <m/>
  </r>
  <r>
    <n v="120"/>
    <x v="1"/>
    <x v="1"/>
    <x v="0"/>
    <x v="0"/>
    <x v="1"/>
    <x v="0"/>
    <x v="0"/>
    <s v="0612"/>
    <s v="송환기"/>
    <s v="e"/>
    <x v="0"/>
    <s v=""/>
    <x v="0"/>
    <x v="0"/>
    <s v="kg"/>
    <n v="350"/>
    <n v="95"/>
    <n v="33250"/>
    <n v="3325"/>
    <n v="36575"/>
    <m/>
  </r>
  <r>
    <n v="121"/>
    <x v="2"/>
    <x v="2"/>
    <x v="0"/>
    <x v="0"/>
    <x v="2"/>
    <x v="1"/>
    <x v="0"/>
    <s v="6336"/>
    <s v="이수페이퍼"/>
    <s v="cus"/>
    <x v="0"/>
    <s v=""/>
    <x v="0"/>
    <x v="1"/>
    <s v="kg"/>
    <n v="5235"/>
    <n v="90"/>
    <n v="471150"/>
    <n v="47115"/>
    <n v="518265.00000000006"/>
    <m/>
  </r>
  <r>
    <n v="122"/>
    <x v="2"/>
    <x v="2"/>
    <x v="0"/>
    <x v="0"/>
    <x v="2"/>
    <x v="2"/>
    <x v="0"/>
    <s v="4135"/>
    <s v="미래환경"/>
    <s v="cus"/>
    <x v="1"/>
    <s v=""/>
    <x v="1"/>
    <x v="1"/>
    <s v="kg"/>
    <n v="2915"/>
    <n v="0"/>
    <n v="0"/>
    <n v="0"/>
    <n v="0"/>
    <m/>
  </r>
  <r>
    <n v="123"/>
    <x v="2"/>
    <x v="2"/>
    <x v="0"/>
    <x v="0"/>
    <x v="2"/>
    <x v="2"/>
    <x v="0"/>
    <s v="3586"/>
    <s v="미래환경"/>
    <s v="cus"/>
    <x v="2"/>
    <s v=""/>
    <x v="3"/>
    <x v="1"/>
    <s v="kg"/>
    <n v="3925"/>
    <n v="0"/>
    <n v="0"/>
    <n v="0"/>
    <n v="0"/>
    <m/>
  </r>
  <r>
    <n v="124"/>
    <x v="2"/>
    <x v="2"/>
    <x v="0"/>
    <x v="0"/>
    <x v="2"/>
    <x v="2"/>
    <x v="0"/>
    <s v="3593"/>
    <s v="미래환경"/>
    <s v="cus"/>
    <x v="1"/>
    <s v=""/>
    <x v="1"/>
    <x v="1"/>
    <s v="kg"/>
    <n v="3105"/>
    <n v="0"/>
    <n v="0"/>
    <n v="0"/>
    <n v="0"/>
    <m/>
  </r>
  <r>
    <n v="125"/>
    <x v="2"/>
    <x v="2"/>
    <x v="0"/>
    <x v="0"/>
    <x v="2"/>
    <x v="6"/>
    <x v="0"/>
    <s v="0978"/>
    <s v="한국자원"/>
    <s v="cus"/>
    <x v="4"/>
    <s v="잡병"/>
    <x v="6"/>
    <x v="1"/>
    <s v="kg"/>
    <n v="12575"/>
    <n v="0"/>
    <n v="0"/>
    <n v="0"/>
    <n v="0"/>
    <m/>
  </r>
  <r>
    <n v="126"/>
    <x v="2"/>
    <x v="2"/>
    <x v="0"/>
    <x v="0"/>
    <x v="2"/>
    <x v="2"/>
    <x v="0"/>
    <s v="1979"/>
    <s v="미래환경"/>
    <s v="cus"/>
    <x v="1"/>
    <s v=""/>
    <x v="1"/>
    <x v="1"/>
    <s v="kg"/>
    <n v="3190"/>
    <n v="0"/>
    <n v="0"/>
    <n v="0"/>
    <n v="0"/>
    <m/>
  </r>
  <r>
    <n v="127"/>
    <x v="2"/>
    <x v="2"/>
    <x v="0"/>
    <x v="0"/>
    <x v="2"/>
    <x v="2"/>
    <x v="0"/>
    <s v="3581"/>
    <s v="미래환경"/>
    <s v="cus"/>
    <x v="1"/>
    <s v=""/>
    <x v="1"/>
    <x v="1"/>
    <s v="kg"/>
    <n v="3275"/>
    <n v="0"/>
    <n v="0"/>
    <n v="0"/>
    <n v="0"/>
    <m/>
  </r>
  <r>
    <n v="128"/>
    <x v="2"/>
    <x v="2"/>
    <x v="0"/>
    <x v="0"/>
    <x v="2"/>
    <x v="1"/>
    <x v="0"/>
    <s v="6336"/>
    <s v="이수페이퍼"/>
    <s v="cus"/>
    <x v="0"/>
    <s v=""/>
    <x v="0"/>
    <x v="1"/>
    <s v="kg"/>
    <n v="5475"/>
    <n v="90"/>
    <n v="492750"/>
    <n v="49275"/>
    <n v="542025"/>
    <m/>
  </r>
  <r>
    <n v="129"/>
    <x v="2"/>
    <x v="2"/>
    <x v="0"/>
    <x v="0"/>
    <x v="2"/>
    <x v="2"/>
    <x v="0"/>
    <s v="3605"/>
    <s v="미래환경"/>
    <s v="cus"/>
    <x v="1"/>
    <s v=""/>
    <x v="1"/>
    <x v="1"/>
    <s v="kg"/>
    <n v="3085"/>
    <n v="0"/>
    <n v="0"/>
    <n v="0"/>
    <n v="0"/>
    <m/>
  </r>
  <r>
    <n v="130"/>
    <x v="2"/>
    <x v="2"/>
    <x v="0"/>
    <x v="0"/>
    <x v="2"/>
    <x v="2"/>
    <x v="0"/>
    <s v="3607"/>
    <s v="미래환경"/>
    <s v="cus"/>
    <x v="1"/>
    <s v=""/>
    <x v="1"/>
    <x v="1"/>
    <s v="kg"/>
    <n v="3145"/>
    <n v="0"/>
    <n v="0"/>
    <n v="0"/>
    <n v="0"/>
    <m/>
  </r>
  <r>
    <n v="131"/>
    <x v="2"/>
    <x v="2"/>
    <x v="0"/>
    <x v="0"/>
    <x v="2"/>
    <x v="7"/>
    <x v="0"/>
    <s v="5896"/>
    <s v="세종메이저"/>
    <s v="cus"/>
    <x v="5"/>
    <s v=""/>
    <x v="7"/>
    <x v="1"/>
    <s v="kg"/>
    <n v="5690"/>
    <n v="250"/>
    <n v="1422500"/>
    <n v="142250"/>
    <n v="1564750.0000000002"/>
    <m/>
  </r>
  <r>
    <n v="132"/>
    <x v="2"/>
    <x v="2"/>
    <x v="0"/>
    <x v="0"/>
    <x v="2"/>
    <x v="3"/>
    <x v="1"/>
    <s v="5597"/>
    <s v="이한규"/>
    <s v="e"/>
    <x v="0"/>
    <s v=""/>
    <x v="0"/>
    <x v="0"/>
    <s v="kg"/>
    <n v="220"/>
    <n v="85"/>
    <n v="18700"/>
    <n v="1870"/>
    <n v="20570"/>
    <m/>
  </r>
  <r>
    <n v="133"/>
    <x v="2"/>
    <x v="2"/>
    <x v="0"/>
    <x v="0"/>
    <x v="2"/>
    <x v="3"/>
    <x v="1"/>
    <s v="5597"/>
    <s v="이한규"/>
    <s v="e"/>
    <x v="0"/>
    <s v=""/>
    <x v="0"/>
    <x v="0"/>
    <s v="kg"/>
    <n v="130"/>
    <n v="85"/>
    <n v="11050"/>
    <n v="1105"/>
    <n v="12155.000000000002"/>
    <m/>
  </r>
  <r>
    <n v="134"/>
    <x v="2"/>
    <x v="2"/>
    <x v="0"/>
    <x v="0"/>
    <x v="2"/>
    <x v="3"/>
    <x v="1"/>
    <s v="5597"/>
    <s v="이한규"/>
    <s v="e"/>
    <x v="0"/>
    <s v=""/>
    <x v="0"/>
    <x v="0"/>
    <s v="kg"/>
    <n v="230"/>
    <n v="85"/>
    <n v="19550"/>
    <n v="1955"/>
    <n v="21505"/>
    <m/>
  </r>
  <r>
    <n v="135"/>
    <x v="2"/>
    <x v="2"/>
    <x v="0"/>
    <x v="0"/>
    <x v="2"/>
    <x v="3"/>
    <x v="0"/>
    <s v="9283"/>
    <s v="김동령"/>
    <s v="e"/>
    <x v="0"/>
    <s v=""/>
    <x v="0"/>
    <x v="0"/>
    <s v="kg"/>
    <n v="230"/>
    <n v="85"/>
    <n v="19550"/>
    <n v="1955"/>
    <n v="21505"/>
    <m/>
  </r>
  <r>
    <n v="136"/>
    <x v="2"/>
    <x v="2"/>
    <x v="0"/>
    <x v="0"/>
    <x v="2"/>
    <x v="3"/>
    <x v="0"/>
    <s v="8255"/>
    <s v="정호석"/>
    <s v="e"/>
    <x v="0"/>
    <s v=""/>
    <x v="0"/>
    <x v="0"/>
    <s v="kg"/>
    <n v="260"/>
    <n v="85"/>
    <n v="22100"/>
    <n v="2210"/>
    <n v="24310.000000000004"/>
    <m/>
  </r>
  <r>
    <n v="137"/>
    <x v="2"/>
    <x v="2"/>
    <x v="0"/>
    <x v="0"/>
    <x v="2"/>
    <x v="3"/>
    <x v="0"/>
    <s v="6567"/>
    <s v="김승찬"/>
    <s v="e"/>
    <x v="0"/>
    <s v=""/>
    <x v="0"/>
    <x v="0"/>
    <s v="kg"/>
    <n v="260"/>
    <n v="85"/>
    <n v="22100"/>
    <n v="2210"/>
    <n v="24310.000000000004"/>
    <m/>
  </r>
  <r>
    <n v="138"/>
    <x v="2"/>
    <x v="2"/>
    <x v="0"/>
    <x v="0"/>
    <x v="2"/>
    <x v="3"/>
    <x v="0"/>
    <s v="0616"/>
    <s v="권명노"/>
    <s v="e"/>
    <x v="0"/>
    <s v=""/>
    <x v="0"/>
    <x v="0"/>
    <s v="kg"/>
    <n v="360"/>
    <n v="85"/>
    <n v="30600"/>
    <n v="3060"/>
    <n v="33660"/>
    <m/>
  </r>
  <r>
    <n v="139"/>
    <x v="2"/>
    <x v="2"/>
    <x v="0"/>
    <x v="0"/>
    <x v="2"/>
    <x v="3"/>
    <x v="0"/>
    <s v="4750"/>
    <s v="황한천"/>
    <s v="e"/>
    <x v="0"/>
    <s v=""/>
    <x v="0"/>
    <x v="0"/>
    <s v="kg"/>
    <n v="230"/>
    <n v="85"/>
    <n v="19550"/>
    <n v="1955"/>
    <n v="21505"/>
    <m/>
  </r>
  <r>
    <n v="140"/>
    <x v="2"/>
    <x v="2"/>
    <x v="0"/>
    <x v="0"/>
    <x v="2"/>
    <x v="3"/>
    <x v="0"/>
    <s v="6567"/>
    <s v="김승찬"/>
    <s v="e"/>
    <x v="0"/>
    <s v=""/>
    <x v="0"/>
    <x v="0"/>
    <s v="kg"/>
    <n v="160"/>
    <n v="85"/>
    <n v="13600"/>
    <n v="1360"/>
    <n v="14960.000000000002"/>
    <m/>
  </r>
  <r>
    <n v="141"/>
    <x v="2"/>
    <x v="2"/>
    <x v="0"/>
    <x v="0"/>
    <x v="2"/>
    <x v="3"/>
    <x v="0"/>
    <s v="9283"/>
    <s v="김동령"/>
    <s v="e"/>
    <x v="0"/>
    <s v=""/>
    <x v="0"/>
    <x v="0"/>
    <s v="kg"/>
    <n v="240"/>
    <n v="85"/>
    <n v="20400"/>
    <n v="2040"/>
    <n v="22440"/>
    <m/>
  </r>
  <r>
    <n v="142"/>
    <x v="2"/>
    <x v="2"/>
    <x v="0"/>
    <x v="0"/>
    <x v="2"/>
    <x v="3"/>
    <x v="0"/>
    <s v="0439"/>
    <s v="최흥섭"/>
    <s v="e"/>
    <x v="0"/>
    <s v=""/>
    <x v="0"/>
    <x v="0"/>
    <s v="kg"/>
    <n v="360"/>
    <n v="85"/>
    <n v="30600"/>
    <n v="3060"/>
    <n v="33660"/>
    <m/>
  </r>
  <r>
    <n v="143"/>
    <x v="2"/>
    <x v="2"/>
    <x v="0"/>
    <x v="0"/>
    <x v="2"/>
    <x v="3"/>
    <x v="0"/>
    <s v="4886"/>
    <s v="박준철"/>
    <s v="e"/>
    <x v="0"/>
    <s v=""/>
    <x v="0"/>
    <x v="0"/>
    <s v="kg"/>
    <n v="260"/>
    <n v="85"/>
    <n v="22100"/>
    <n v="2210"/>
    <n v="24310.000000000004"/>
    <m/>
  </r>
  <r>
    <n v="144"/>
    <x v="2"/>
    <x v="2"/>
    <x v="0"/>
    <x v="0"/>
    <x v="2"/>
    <x v="3"/>
    <x v="0"/>
    <s v="8769"/>
    <s v="수정자원"/>
    <s v="cus"/>
    <x v="0"/>
    <s v=""/>
    <x v="0"/>
    <x v="1"/>
    <s v="kg"/>
    <n v="3640"/>
    <n v="85"/>
    <n v="309400"/>
    <n v="30940"/>
    <n v="340340"/>
    <m/>
  </r>
  <r>
    <n v="145"/>
    <x v="2"/>
    <x v="2"/>
    <x v="0"/>
    <x v="0"/>
    <x v="2"/>
    <x v="3"/>
    <x v="0"/>
    <s v="6567"/>
    <s v="김승찬"/>
    <s v="e"/>
    <x v="0"/>
    <s v=""/>
    <x v="0"/>
    <x v="0"/>
    <s v="kg"/>
    <n v="110"/>
    <n v="85"/>
    <n v="9350"/>
    <n v="935"/>
    <n v="10285"/>
    <m/>
  </r>
  <r>
    <n v="146"/>
    <x v="2"/>
    <x v="2"/>
    <x v="0"/>
    <x v="0"/>
    <x v="2"/>
    <x v="3"/>
    <x v="0"/>
    <s v="3855"/>
    <s v="허범진"/>
    <s v="e"/>
    <x v="0"/>
    <s v=""/>
    <x v="0"/>
    <x v="0"/>
    <s v="kg"/>
    <n v="460"/>
    <n v="85"/>
    <n v="39100"/>
    <n v="3910"/>
    <n v="43010"/>
    <m/>
  </r>
  <r>
    <n v="147"/>
    <x v="2"/>
    <x v="2"/>
    <x v="0"/>
    <x v="0"/>
    <x v="2"/>
    <x v="3"/>
    <x v="0"/>
    <s v="8255"/>
    <s v="정호석"/>
    <s v="e"/>
    <x v="0"/>
    <s v=""/>
    <x v="0"/>
    <x v="0"/>
    <s v="kg"/>
    <n v="150"/>
    <n v="85"/>
    <n v="12750"/>
    <n v="1275"/>
    <n v="14025.000000000002"/>
    <m/>
  </r>
  <r>
    <n v="148"/>
    <x v="2"/>
    <x v="2"/>
    <x v="0"/>
    <x v="0"/>
    <x v="2"/>
    <x v="3"/>
    <x v="0"/>
    <s v="8876"/>
    <s v="이갑성"/>
    <s v="e"/>
    <x v="0"/>
    <s v=""/>
    <x v="0"/>
    <x v="0"/>
    <s v="kg"/>
    <n v="160"/>
    <n v="85"/>
    <n v="13600"/>
    <n v="1360"/>
    <n v="14960.000000000002"/>
    <m/>
  </r>
  <r>
    <n v="149"/>
    <x v="2"/>
    <x v="2"/>
    <x v="0"/>
    <x v="0"/>
    <x v="2"/>
    <x v="3"/>
    <x v="0"/>
    <s v="3855"/>
    <s v="허범진"/>
    <s v="e"/>
    <x v="0"/>
    <s v=""/>
    <x v="0"/>
    <x v="0"/>
    <s v="kg"/>
    <n v="140"/>
    <n v="85"/>
    <n v="11900"/>
    <n v="1190"/>
    <n v="13090.000000000002"/>
    <m/>
  </r>
  <r>
    <n v="150"/>
    <x v="2"/>
    <x v="2"/>
    <x v="0"/>
    <x v="0"/>
    <x v="2"/>
    <x v="3"/>
    <x v="0"/>
    <s v="8763"/>
    <s v="수정자원"/>
    <s v="cus"/>
    <x v="0"/>
    <s v=""/>
    <x v="0"/>
    <x v="1"/>
    <s v="kg"/>
    <n v="3730"/>
    <n v="85"/>
    <n v="317050"/>
    <n v="31705"/>
    <n v="348755"/>
    <m/>
  </r>
  <r>
    <n v="151"/>
    <x v="2"/>
    <x v="2"/>
    <x v="0"/>
    <x v="0"/>
    <x v="2"/>
    <x v="3"/>
    <x v="0"/>
    <s v="0616"/>
    <s v="권명노"/>
    <s v="e"/>
    <x v="0"/>
    <s v=""/>
    <x v="0"/>
    <x v="0"/>
    <s v="kg"/>
    <n v="80"/>
    <n v="85"/>
    <n v="6800"/>
    <n v="680"/>
    <n v="7480.0000000000009"/>
    <m/>
  </r>
  <r>
    <n v="152"/>
    <x v="2"/>
    <x v="2"/>
    <x v="0"/>
    <x v="0"/>
    <x v="2"/>
    <x v="3"/>
    <x v="0"/>
    <s v="8769"/>
    <s v="수정자원"/>
    <s v="cus"/>
    <x v="0"/>
    <s v=""/>
    <x v="0"/>
    <x v="1"/>
    <s v="kg"/>
    <n v="3980"/>
    <n v="85"/>
    <n v="338300"/>
    <n v="33830"/>
    <n v="372130.00000000006"/>
    <m/>
  </r>
  <r>
    <n v="153"/>
    <x v="2"/>
    <x v="2"/>
    <x v="0"/>
    <x v="0"/>
    <x v="2"/>
    <x v="3"/>
    <x v="0"/>
    <s v="8876"/>
    <s v="이갑성"/>
    <s v="e"/>
    <x v="0"/>
    <s v=""/>
    <x v="0"/>
    <x v="0"/>
    <s v="kg"/>
    <n v="160"/>
    <n v="85"/>
    <n v="13600"/>
    <n v="1360"/>
    <n v="14960.000000000002"/>
    <m/>
  </r>
  <r>
    <n v="154"/>
    <x v="2"/>
    <x v="2"/>
    <x v="0"/>
    <x v="0"/>
    <x v="2"/>
    <x v="3"/>
    <x v="0"/>
    <s v="2207"/>
    <s v="이희덕"/>
    <s v="e"/>
    <x v="0"/>
    <s v=""/>
    <x v="0"/>
    <x v="0"/>
    <s v="kg"/>
    <n v="450"/>
    <n v="85"/>
    <n v="38250"/>
    <n v="3825"/>
    <n v="42075"/>
    <m/>
  </r>
  <r>
    <n v="155"/>
    <x v="2"/>
    <x v="2"/>
    <x v="0"/>
    <x v="0"/>
    <x v="2"/>
    <x v="3"/>
    <x v="0"/>
    <s v="2207"/>
    <s v="이희덕"/>
    <s v="e"/>
    <x v="0"/>
    <s v=""/>
    <x v="0"/>
    <x v="0"/>
    <s v="kg"/>
    <n v="130"/>
    <n v="85"/>
    <n v="11050"/>
    <n v="1105"/>
    <n v="12155.000000000002"/>
    <m/>
  </r>
  <r>
    <n v="156"/>
    <x v="2"/>
    <x v="2"/>
    <x v="0"/>
    <x v="0"/>
    <x v="2"/>
    <x v="0"/>
    <x v="0"/>
    <s v="9390"/>
    <s v="정민원"/>
    <s v="e"/>
    <x v="0"/>
    <s v=""/>
    <x v="0"/>
    <x v="0"/>
    <s v="kg"/>
    <n v="120"/>
    <n v="95"/>
    <n v="11400"/>
    <n v="1140"/>
    <n v="12540.000000000002"/>
    <m/>
  </r>
  <r>
    <n v="157"/>
    <x v="2"/>
    <x v="2"/>
    <x v="0"/>
    <x v="0"/>
    <x v="2"/>
    <x v="0"/>
    <x v="0"/>
    <s v="7246"/>
    <s v="이승원"/>
    <s v="e"/>
    <x v="0"/>
    <s v=""/>
    <x v="0"/>
    <x v="0"/>
    <s v="kg"/>
    <n v="150"/>
    <n v="95"/>
    <n v="14250"/>
    <n v="1425"/>
    <n v="15675.000000000002"/>
    <m/>
  </r>
  <r>
    <n v="158"/>
    <x v="2"/>
    <x v="2"/>
    <x v="0"/>
    <x v="0"/>
    <x v="2"/>
    <x v="0"/>
    <x v="0"/>
    <s v="7246"/>
    <s v="이승원"/>
    <s v="e"/>
    <x v="0"/>
    <s v=""/>
    <x v="0"/>
    <x v="0"/>
    <s v="kg"/>
    <n v="190"/>
    <n v="95"/>
    <n v="18050"/>
    <n v="1805"/>
    <n v="19855"/>
    <m/>
  </r>
  <r>
    <n v="159"/>
    <x v="2"/>
    <x v="2"/>
    <x v="0"/>
    <x v="0"/>
    <x v="2"/>
    <x v="0"/>
    <x v="0"/>
    <s v="2986"/>
    <s v="김대식"/>
    <s v="e"/>
    <x v="0"/>
    <s v=""/>
    <x v="0"/>
    <x v="0"/>
    <s v="kg"/>
    <n v="140"/>
    <n v="95"/>
    <n v="13300"/>
    <n v="1330"/>
    <n v="14630.000000000002"/>
    <m/>
  </r>
  <r>
    <n v="160"/>
    <x v="2"/>
    <x v="2"/>
    <x v="0"/>
    <x v="0"/>
    <x v="2"/>
    <x v="0"/>
    <x v="0"/>
    <s v="9310"/>
    <s v="정상준"/>
    <s v="e"/>
    <x v="0"/>
    <s v=""/>
    <x v="0"/>
    <x v="0"/>
    <s v="kg"/>
    <n v="300"/>
    <n v="95"/>
    <n v="28500"/>
    <n v="2850"/>
    <n v="31350.000000000004"/>
    <m/>
  </r>
  <r>
    <n v="161"/>
    <x v="2"/>
    <x v="2"/>
    <x v="0"/>
    <x v="0"/>
    <x v="2"/>
    <x v="0"/>
    <x v="0"/>
    <s v="7246"/>
    <s v="이승원"/>
    <s v="e"/>
    <x v="0"/>
    <s v=""/>
    <x v="0"/>
    <x v="0"/>
    <s v="kg"/>
    <n v="170"/>
    <n v="95"/>
    <n v="16150"/>
    <n v="1615"/>
    <n v="17765"/>
    <m/>
  </r>
  <r>
    <n v="162"/>
    <x v="2"/>
    <x v="2"/>
    <x v="0"/>
    <x v="0"/>
    <x v="2"/>
    <x v="0"/>
    <x v="0"/>
    <s v="1806"/>
    <s v="김문식"/>
    <s v="e"/>
    <x v="0"/>
    <s v=""/>
    <x v="0"/>
    <x v="0"/>
    <s v="kg"/>
    <n v="240"/>
    <n v="95"/>
    <n v="22800"/>
    <n v="2280"/>
    <n v="25080.000000000004"/>
    <m/>
  </r>
  <r>
    <n v="163"/>
    <x v="2"/>
    <x v="2"/>
    <x v="0"/>
    <x v="0"/>
    <x v="2"/>
    <x v="0"/>
    <x v="0"/>
    <s v="0612"/>
    <s v="송환기"/>
    <s v="e"/>
    <x v="0"/>
    <s v=""/>
    <x v="0"/>
    <x v="0"/>
    <s v="kg"/>
    <n v="220"/>
    <n v="95"/>
    <n v="20900"/>
    <n v="2090"/>
    <n v="22990.000000000004"/>
    <m/>
  </r>
  <r>
    <n v="164"/>
    <x v="2"/>
    <x v="2"/>
    <x v="0"/>
    <x v="0"/>
    <x v="2"/>
    <x v="0"/>
    <x v="0"/>
    <s v="5245"/>
    <s v="정민호"/>
    <s v="e"/>
    <x v="0"/>
    <s v=""/>
    <x v="0"/>
    <x v="0"/>
    <s v="kg"/>
    <n v="180"/>
    <n v="95"/>
    <n v="17100"/>
    <n v="1710"/>
    <n v="18810"/>
    <m/>
  </r>
  <r>
    <n v="165"/>
    <x v="2"/>
    <x v="2"/>
    <x v="0"/>
    <x v="0"/>
    <x v="2"/>
    <x v="0"/>
    <x v="0"/>
    <s v="2986"/>
    <s v="김대식"/>
    <s v="e"/>
    <x v="0"/>
    <s v=""/>
    <x v="0"/>
    <x v="0"/>
    <s v="kg"/>
    <n v="150"/>
    <n v="95"/>
    <n v="14250"/>
    <n v="1425"/>
    <n v="15675.000000000002"/>
    <m/>
  </r>
  <r>
    <n v="166"/>
    <x v="2"/>
    <x v="2"/>
    <x v="0"/>
    <x v="0"/>
    <x v="2"/>
    <x v="0"/>
    <x v="0"/>
    <s v="4618"/>
    <s v="강성완"/>
    <s v="e"/>
    <x v="0"/>
    <s v=""/>
    <x v="0"/>
    <x v="0"/>
    <s v="kg"/>
    <n v="150"/>
    <n v="95"/>
    <n v="14250"/>
    <n v="1425"/>
    <n v="15675.000000000002"/>
    <m/>
  </r>
  <r>
    <n v="167"/>
    <x v="2"/>
    <x v="2"/>
    <x v="0"/>
    <x v="0"/>
    <x v="2"/>
    <x v="0"/>
    <x v="0"/>
    <s v="1310"/>
    <s v="김태홍"/>
    <s v="e"/>
    <x v="0"/>
    <s v=""/>
    <x v="0"/>
    <x v="0"/>
    <s v="kg"/>
    <n v="270"/>
    <n v="95"/>
    <n v="25650"/>
    <n v="2565"/>
    <n v="28215.000000000004"/>
    <m/>
  </r>
  <r>
    <n v="168"/>
    <x v="2"/>
    <x v="2"/>
    <x v="0"/>
    <x v="0"/>
    <x v="2"/>
    <x v="0"/>
    <x v="0"/>
    <s v="7246"/>
    <s v="이승원"/>
    <s v="e"/>
    <x v="0"/>
    <s v=""/>
    <x v="0"/>
    <x v="0"/>
    <s v="kg"/>
    <n v="260"/>
    <n v="95"/>
    <n v="24700"/>
    <n v="2470"/>
    <n v="27170.000000000004"/>
    <m/>
  </r>
  <r>
    <n v="169"/>
    <x v="2"/>
    <x v="2"/>
    <x v="0"/>
    <x v="0"/>
    <x v="2"/>
    <x v="0"/>
    <x v="0"/>
    <s v="0439"/>
    <s v="최흥섭"/>
    <s v="e"/>
    <x v="0"/>
    <s v=""/>
    <x v="0"/>
    <x v="0"/>
    <s v="kg"/>
    <n v="250"/>
    <n v="95"/>
    <n v="23750"/>
    <n v="2375"/>
    <n v="26125.000000000004"/>
    <m/>
  </r>
  <r>
    <n v="170"/>
    <x v="2"/>
    <x v="2"/>
    <x v="0"/>
    <x v="0"/>
    <x v="2"/>
    <x v="0"/>
    <x v="0"/>
    <s v="1806"/>
    <s v="김문식"/>
    <s v="e"/>
    <x v="0"/>
    <s v=""/>
    <x v="0"/>
    <x v="0"/>
    <s v="kg"/>
    <n v="120"/>
    <n v="95"/>
    <n v="11400"/>
    <n v="1140"/>
    <n v="12540.000000000002"/>
    <m/>
  </r>
  <r>
    <n v="171"/>
    <x v="2"/>
    <x v="2"/>
    <x v="0"/>
    <x v="0"/>
    <x v="2"/>
    <x v="0"/>
    <x v="0"/>
    <s v="8466"/>
    <s v="이영근"/>
    <s v="e"/>
    <x v="0"/>
    <s v=""/>
    <x v="0"/>
    <x v="0"/>
    <s v="kg"/>
    <n v="120"/>
    <n v="95"/>
    <n v="11400"/>
    <n v="1140"/>
    <n v="12540.000000000002"/>
    <m/>
  </r>
  <r>
    <n v="172"/>
    <x v="2"/>
    <x v="2"/>
    <x v="0"/>
    <x v="0"/>
    <x v="2"/>
    <x v="0"/>
    <x v="0"/>
    <s v="2986"/>
    <s v="김대식"/>
    <s v="e"/>
    <x v="0"/>
    <s v=""/>
    <x v="0"/>
    <x v="0"/>
    <s v="kg"/>
    <n v="120"/>
    <n v="95"/>
    <n v="11400"/>
    <n v="1140"/>
    <n v="12540.000000000002"/>
    <m/>
  </r>
  <r>
    <n v="173"/>
    <x v="2"/>
    <x v="2"/>
    <x v="0"/>
    <x v="0"/>
    <x v="2"/>
    <x v="0"/>
    <x v="0"/>
    <s v="8466"/>
    <s v="이영근"/>
    <s v="e"/>
    <x v="0"/>
    <s v=""/>
    <x v="0"/>
    <x v="0"/>
    <s v="kg"/>
    <n v="110"/>
    <n v="95"/>
    <n v="10450"/>
    <n v="1045"/>
    <n v="11495.000000000002"/>
    <m/>
  </r>
  <r>
    <n v="174"/>
    <x v="2"/>
    <x v="2"/>
    <x v="0"/>
    <x v="0"/>
    <x v="2"/>
    <x v="0"/>
    <x v="0"/>
    <s v="4096"/>
    <s v="박종휘"/>
    <s v="e"/>
    <x v="0"/>
    <s v=""/>
    <x v="2"/>
    <x v="0"/>
    <s v="kg"/>
    <n v="90"/>
    <n v="190"/>
    <n v="17100"/>
    <n v="1710"/>
    <n v="18810"/>
    <m/>
  </r>
  <r>
    <n v="175"/>
    <x v="2"/>
    <x v="2"/>
    <x v="0"/>
    <x v="0"/>
    <x v="2"/>
    <x v="0"/>
    <x v="0"/>
    <s v="4096"/>
    <s v="박종휘"/>
    <s v="e"/>
    <x v="0"/>
    <s v=""/>
    <x v="0"/>
    <x v="0"/>
    <s v="kg"/>
    <n v="130"/>
    <n v="95"/>
    <n v="12350"/>
    <n v="1235"/>
    <n v="13585.000000000002"/>
    <m/>
  </r>
  <r>
    <n v="176"/>
    <x v="2"/>
    <x v="2"/>
    <x v="0"/>
    <x v="0"/>
    <x v="2"/>
    <x v="0"/>
    <x v="0"/>
    <s v="5245"/>
    <s v="정민호"/>
    <s v="e"/>
    <x v="0"/>
    <s v=""/>
    <x v="0"/>
    <x v="0"/>
    <s v="kg"/>
    <n v="180"/>
    <n v="95"/>
    <n v="17100"/>
    <n v="1710"/>
    <n v="18810"/>
    <m/>
  </r>
  <r>
    <n v="177"/>
    <x v="2"/>
    <x v="2"/>
    <x v="0"/>
    <x v="0"/>
    <x v="2"/>
    <x v="0"/>
    <x v="0"/>
    <s v="8947"/>
    <s v="정주혁"/>
    <s v="e"/>
    <x v="0"/>
    <s v=""/>
    <x v="0"/>
    <x v="0"/>
    <s v="kg"/>
    <n v="110"/>
    <n v="95"/>
    <n v="10450"/>
    <n v="1045"/>
    <n v="11495.000000000002"/>
    <m/>
  </r>
  <r>
    <n v="178"/>
    <x v="2"/>
    <x v="2"/>
    <x v="0"/>
    <x v="0"/>
    <x v="2"/>
    <x v="0"/>
    <x v="0"/>
    <s v="4618"/>
    <s v="강성완"/>
    <s v="e"/>
    <x v="0"/>
    <s v=""/>
    <x v="0"/>
    <x v="0"/>
    <s v="kg"/>
    <n v="170"/>
    <n v="95"/>
    <n v="16150"/>
    <n v="1615"/>
    <n v="17765"/>
    <m/>
  </r>
  <r>
    <n v="179"/>
    <x v="2"/>
    <x v="2"/>
    <x v="0"/>
    <x v="0"/>
    <x v="2"/>
    <x v="0"/>
    <x v="0"/>
    <s v="5245"/>
    <s v="정민호"/>
    <s v="e"/>
    <x v="0"/>
    <s v=""/>
    <x v="0"/>
    <x v="0"/>
    <s v="kg"/>
    <n v="130"/>
    <n v="95"/>
    <n v="12350"/>
    <n v="1235"/>
    <n v="13585.000000000002"/>
    <m/>
  </r>
  <r>
    <n v="180"/>
    <x v="2"/>
    <x v="2"/>
    <x v="0"/>
    <x v="0"/>
    <x v="2"/>
    <x v="0"/>
    <x v="0"/>
    <s v="0612"/>
    <s v="송환기"/>
    <s v="e"/>
    <x v="0"/>
    <s v=""/>
    <x v="0"/>
    <x v="0"/>
    <s v="kg"/>
    <n v="450"/>
    <n v="95"/>
    <n v="42750"/>
    <n v="4275"/>
    <n v="47025.000000000007"/>
    <m/>
  </r>
  <r>
    <n v="181"/>
    <x v="3"/>
    <x v="3"/>
    <x v="0"/>
    <x v="0"/>
    <x v="3"/>
    <x v="1"/>
    <x v="0"/>
    <s v="6336"/>
    <s v="이수페이퍼"/>
    <s v="cus"/>
    <x v="0"/>
    <s v=""/>
    <x v="0"/>
    <x v="1"/>
    <s v="kg"/>
    <n v="4875"/>
    <n v="90"/>
    <n v="438750"/>
    <n v="43875"/>
    <n v="482625.00000000006"/>
    <m/>
  </r>
  <r>
    <n v="182"/>
    <x v="3"/>
    <x v="3"/>
    <x v="0"/>
    <x v="0"/>
    <x v="3"/>
    <x v="2"/>
    <x v="0"/>
    <s v="3581"/>
    <s v="미래환경"/>
    <s v="cus"/>
    <x v="1"/>
    <s v=""/>
    <x v="1"/>
    <x v="1"/>
    <s v="kg"/>
    <n v="3015"/>
    <n v="0"/>
    <n v="0"/>
    <n v="0"/>
    <n v="0"/>
    <m/>
  </r>
  <r>
    <n v="183"/>
    <x v="3"/>
    <x v="3"/>
    <x v="0"/>
    <x v="0"/>
    <x v="3"/>
    <x v="2"/>
    <x v="0"/>
    <s v="4135"/>
    <s v="미래환경"/>
    <s v="cus"/>
    <x v="1"/>
    <s v=""/>
    <x v="1"/>
    <x v="1"/>
    <s v="kg"/>
    <n v="3255"/>
    <n v="0"/>
    <n v="0"/>
    <n v="0"/>
    <n v="0"/>
    <m/>
  </r>
  <r>
    <n v="184"/>
    <x v="3"/>
    <x v="3"/>
    <x v="0"/>
    <x v="0"/>
    <x v="3"/>
    <x v="2"/>
    <x v="0"/>
    <s v="3609"/>
    <s v="미래환경"/>
    <s v="cus"/>
    <x v="2"/>
    <s v=""/>
    <x v="3"/>
    <x v="1"/>
    <s v="kg"/>
    <n v="4115"/>
    <n v="0"/>
    <n v="0"/>
    <n v="0"/>
    <n v="0"/>
    <m/>
  </r>
  <r>
    <n v="185"/>
    <x v="3"/>
    <x v="3"/>
    <x v="0"/>
    <x v="0"/>
    <x v="3"/>
    <x v="1"/>
    <x v="0"/>
    <s v="6336"/>
    <s v="이수페이퍼"/>
    <s v="cus"/>
    <x v="0"/>
    <s v=""/>
    <x v="0"/>
    <x v="1"/>
    <s v="kg"/>
    <n v="5475"/>
    <n v="90"/>
    <n v="492750"/>
    <n v="49275"/>
    <n v="542025"/>
    <m/>
  </r>
  <r>
    <n v="186"/>
    <x v="3"/>
    <x v="3"/>
    <x v="0"/>
    <x v="0"/>
    <x v="3"/>
    <x v="8"/>
    <x v="0"/>
    <s v="6775"/>
    <s v="케이팝"/>
    <s v="clo"/>
    <x v="6"/>
    <s v=""/>
    <x v="8"/>
    <x v="1"/>
    <s v="kg"/>
    <n v="1405"/>
    <n v="450"/>
    <n v="632250"/>
    <n v="63225"/>
    <n v="695475"/>
    <m/>
  </r>
  <r>
    <n v="187"/>
    <x v="3"/>
    <x v="3"/>
    <x v="0"/>
    <x v="0"/>
    <x v="3"/>
    <x v="2"/>
    <x v="0"/>
    <s v="1728"/>
    <s v="미래환경"/>
    <s v="cus"/>
    <x v="1"/>
    <s v=""/>
    <x v="1"/>
    <x v="1"/>
    <s v="kg"/>
    <n v="3035"/>
    <n v="0"/>
    <n v="0"/>
    <n v="0"/>
    <n v="0"/>
    <m/>
  </r>
  <r>
    <n v="188"/>
    <x v="3"/>
    <x v="3"/>
    <x v="0"/>
    <x v="0"/>
    <x v="3"/>
    <x v="1"/>
    <x v="0"/>
    <s v="3089"/>
    <s v="이수페이퍼"/>
    <s v="cus"/>
    <x v="0"/>
    <s v=""/>
    <x v="0"/>
    <x v="1"/>
    <s v="kg"/>
    <n v="4750"/>
    <n v="90"/>
    <n v="427500"/>
    <n v="42750"/>
    <n v="470250.00000000006"/>
    <m/>
  </r>
  <r>
    <n v="189"/>
    <x v="3"/>
    <x v="3"/>
    <x v="0"/>
    <x v="0"/>
    <x v="3"/>
    <x v="2"/>
    <x v="0"/>
    <s v="2509"/>
    <s v="미래환경"/>
    <s v="cus"/>
    <x v="1"/>
    <s v=""/>
    <x v="1"/>
    <x v="1"/>
    <s v="kg"/>
    <n v="2355"/>
    <n v="0"/>
    <n v="0"/>
    <n v="0"/>
    <n v="0"/>
    <m/>
  </r>
  <r>
    <n v="190"/>
    <x v="3"/>
    <x v="3"/>
    <x v="0"/>
    <x v="0"/>
    <x v="3"/>
    <x v="2"/>
    <x v="0"/>
    <s v="3592"/>
    <s v="미래환경"/>
    <s v="cus"/>
    <x v="1"/>
    <s v=""/>
    <x v="1"/>
    <x v="1"/>
    <s v="kg"/>
    <n v="3125"/>
    <n v="0"/>
    <n v="0"/>
    <n v="0"/>
    <n v="0"/>
    <m/>
  </r>
  <r>
    <n v="191"/>
    <x v="3"/>
    <x v="3"/>
    <x v="0"/>
    <x v="0"/>
    <x v="3"/>
    <x v="0"/>
    <x v="0"/>
    <s v="9390"/>
    <s v="정민원"/>
    <s v="e"/>
    <x v="0"/>
    <s v=""/>
    <x v="0"/>
    <x v="0"/>
    <s v="kg"/>
    <n v="150"/>
    <n v="95"/>
    <n v="14250"/>
    <n v="1425"/>
    <n v="15675.000000000002"/>
    <m/>
  </r>
  <r>
    <n v="192"/>
    <x v="3"/>
    <x v="3"/>
    <x v="0"/>
    <x v="0"/>
    <x v="3"/>
    <x v="0"/>
    <x v="0"/>
    <s v="7246"/>
    <s v="이승원"/>
    <s v="e"/>
    <x v="0"/>
    <s v=""/>
    <x v="0"/>
    <x v="0"/>
    <s v="kg"/>
    <n v="210"/>
    <n v="95"/>
    <n v="19950"/>
    <n v="1995"/>
    <n v="21945"/>
    <m/>
  </r>
  <r>
    <n v="193"/>
    <x v="3"/>
    <x v="3"/>
    <x v="0"/>
    <x v="0"/>
    <x v="3"/>
    <x v="0"/>
    <x v="0"/>
    <s v="7246"/>
    <s v="이승원"/>
    <s v="e"/>
    <x v="0"/>
    <s v=""/>
    <x v="0"/>
    <x v="0"/>
    <s v="kg"/>
    <n v="200"/>
    <n v="95"/>
    <n v="19000"/>
    <n v="1900"/>
    <n v="20900"/>
    <m/>
  </r>
  <r>
    <n v="194"/>
    <x v="3"/>
    <x v="3"/>
    <x v="0"/>
    <x v="0"/>
    <x v="3"/>
    <x v="0"/>
    <x v="0"/>
    <s v="0612"/>
    <s v="송환기"/>
    <s v="e"/>
    <x v="0"/>
    <s v=""/>
    <x v="0"/>
    <x v="0"/>
    <s v="kg"/>
    <n v="190"/>
    <n v="95"/>
    <n v="18050"/>
    <n v="1805"/>
    <n v="19855"/>
    <m/>
  </r>
  <r>
    <n v="195"/>
    <x v="3"/>
    <x v="3"/>
    <x v="0"/>
    <x v="0"/>
    <x v="3"/>
    <x v="0"/>
    <x v="0"/>
    <s v="2986"/>
    <s v="김대식"/>
    <s v="e"/>
    <x v="0"/>
    <s v=""/>
    <x v="0"/>
    <x v="0"/>
    <s v="kg"/>
    <n v="210"/>
    <n v="95"/>
    <n v="19950"/>
    <n v="1995"/>
    <n v="21945"/>
    <m/>
  </r>
  <r>
    <n v="196"/>
    <x v="3"/>
    <x v="3"/>
    <x v="0"/>
    <x v="0"/>
    <x v="3"/>
    <x v="0"/>
    <x v="0"/>
    <s v="5245"/>
    <s v="정민호"/>
    <s v="e"/>
    <x v="0"/>
    <s v=""/>
    <x v="0"/>
    <x v="0"/>
    <s v="kg"/>
    <n v="150"/>
    <n v="95"/>
    <n v="14250"/>
    <n v="1425"/>
    <n v="15675.000000000002"/>
    <m/>
  </r>
  <r>
    <n v="197"/>
    <x v="3"/>
    <x v="3"/>
    <x v="0"/>
    <x v="0"/>
    <x v="3"/>
    <x v="0"/>
    <x v="0"/>
    <s v="8466"/>
    <s v="이영근"/>
    <s v="e"/>
    <x v="0"/>
    <s v=""/>
    <x v="0"/>
    <x v="0"/>
    <s v="kg"/>
    <n v="150"/>
    <n v="95"/>
    <n v="14250"/>
    <n v="1425"/>
    <n v="15675.000000000002"/>
    <m/>
  </r>
  <r>
    <n v="198"/>
    <x v="3"/>
    <x v="3"/>
    <x v="0"/>
    <x v="0"/>
    <x v="3"/>
    <x v="0"/>
    <x v="0"/>
    <s v="1806"/>
    <s v="김문식"/>
    <s v="e"/>
    <x v="0"/>
    <s v=""/>
    <x v="0"/>
    <x v="0"/>
    <s v="kg"/>
    <n v="250"/>
    <n v="95"/>
    <n v="23750"/>
    <n v="2375"/>
    <n v="26125.000000000004"/>
    <m/>
  </r>
  <r>
    <n v="199"/>
    <x v="3"/>
    <x v="3"/>
    <x v="0"/>
    <x v="0"/>
    <x v="3"/>
    <x v="0"/>
    <x v="0"/>
    <s v="7246"/>
    <s v="이승원"/>
    <s v="e"/>
    <x v="0"/>
    <s v=""/>
    <x v="0"/>
    <x v="0"/>
    <s v="kg"/>
    <n v="170"/>
    <n v="95"/>
    <n v="16150"/>
    <n v="1615"/>
    <n v="17765"/>
    <m/>
  </r>
  <r>
    <n v="200"/>
    <x v="3"/>
    <x v="3"/>
    <x v="0"/>
    <x v="0"/>
    <x v="3"/>
    <x v="0"/>
    <x v="0"/>
    <s v="0612"/>
    <s v="송환기"/>
    <s v="e"/>
    <x v="0"/>
    <s v=""/>
    <x v="0"/>
    <x v="0"/>
    <s v="kg"/>
    <n v="140"/>
    <n v="95"/>
    <n v="13300"/>
    <n v="1330"/>
    <n v="14630.000000000002"/>
    <m/>
  </r>
  <r>
    <n v="201"/>
    <x v="3"/>
    <x v="3"/>
    <x v="0"/>
    <x v="0"/>
    <x v="3"/>
    <x v="0"/>
    <x v="0"/>
    <s v="9310"/>
    <s v="정상준"/>
    <s v="e"/>
    <x v="0"/>
    <s v=""/>
    <x v="0"/>
    <x v="0"/>
    <s v="kg"/>
    <n v="230"/>
    <n v="95"/>
    <n v="21850"/>
    <n v="2185"/>
    <n v="24035.000000000004"/>
    <m/>
  </r>
  <r>
    <n v="202"/>
    <x v="3"/>
    <x v="3"/>
    <x v="0"/>
    <x v="0"/>
    <x v="3"/>
    <x v="0"/>
    <x v="0"/>
    <s v="4096"/>
    <s v="박종휘"/>
    <s v="e"/>
    <x v="0"/>
    <s v=""/>
    <x v="0"/>
    <x v="0"/>
    <s v="kg"/>
    <n v="120"/>
    <n v="95"/>
    <n v="11400"/>
    <n v="1140"/>
    <n v="12540.000000000002"/>
    <m/>
  </r>
  <r>
    <n v="203"/>
    <x v="3"/>
    <x v="3"/>
    <x v="0"/>
    <x v="0"/>
    <x v="3"/>
    <x v="0"/>
    <x v="0"/>
    <s v="1310"/>
    <s v="김태홍"/>
    <s v="e"/>
    <x v="0"/>
    <s v=""/>
    <x v="0"/>
    <x v="0"/>
    <s v="kg"/>
    <n v="250"/>
    <n v="95"/>
    <n v="23750"/>
    <n v="2375"/>
    <n v="26125.000000000004"/>
    <m/>
  </r>
  <r>
    <n v="204"/>
    <x v="3"/>
    <x v="3"/>
    <x v="0"/>
    <x v="0"/>
    <x v="3"/>
    <x v="0"/>
    <x v="0"/>
    <s v="7246"/>
    <s v="이승원"/>
    <s v="e"/>
    <x v="0"/>
    <s v=""/>
    <x v="0"/>
    <x v="0"/>
    <s v="kg"/>
    <n v="270"/>
    <n v="95"/>
    <n v="25650"/>
    <n v="2565"/>
    <n v="28215.000000000004"/>
    <m/>
  </r>
  <r>
    <n v="205"/>
    <x v="3"/>
    <x v="3"/>
    <x v="0"/>
    <x v="0"/>
    <x v="3"/>
    <x v="0"/>
    <x v="0"/>
    <s v="1806"/>
    <s v="김문식"/>
    <s v="e"/>
    <x v="0"/>
    <s v=""/>
    <x v="0"/>
    <x v="0"/>
    <s v="kg"/>
    <n v="170"/>
    <n v="95"/>
    <n v="16150"/>
    <n v="1615"/>
    <n v="17765"/>
    <m/>
  </r>
  <r>
    <n v="206"/>
    <x v="3"/>
    <x v="3"/>
    <x v="0"/>
    <x v="0"/>
    <x v="3"/>
    <x v="0"/>
    <x v="0"/>
    <s v="4618"/>
    <s v="강성완"/>
    <s v="e"/>
    <x v="0"/>
    <s v=""/>
    <x v="0"/>
    <x v="0"/>
    <s v="kg"/>
    <n v="240"/>
    <n v="95"/>
    <n v="22800"/>
    <n v="2280"/>
    <n v="25080.000000000004"/>
    <m/>
  </r>
  <r>
    <n v="207"/>
    <x v="3"/>
    <x v="3"/>
    <x v="0"/>
    <x v="0"/>
    <x v="3"/>
    <x v="0"/>
    <x v="0"/>
    <s v="9149"/>
    <s v="이강업"/>
    <s v="e"/>
    <x v="0"/>
    <s v=""/>
    <x v="0"/>
    <x v="0"/>
    <s v="kg"/>
    <n v="320"/>
    <n v="95"/>
    <n v="30400"/>
    <n v="3040"/>
    <n v="33440"/>
    <m/>
  </r>
  <r>
    <n v="208"/>
    <x v="3"/>
    <x v="3"/>
    <x v="0"/>
    <x v="0"/>
    <x v="3"/>
    <x v="0"/>
    <x v="0"/>
    <s v="2986"/>
    <s v="김대식"/>
    <s v="e"/>
    <x v="0"/>
    <s v=""/>
    <x v="0"/>
    <x v="0"/>
    <s v="kg"/>
    <n v="210"/>
    <n v="95"/>
    <n v="19950"/>
    <n v="1995"/>
    <n v="21945"/>
    <m/>
  </r>
  <r>
    <n v="209"/>
    <x v="3"/>
    <x v="3"/>
    <x v="0"/>
    <x v="0"/>
    <x v="3"/>
    <x v="0"/>
    <x v="0"/>
    <s v="5245"/>
    <s v="정민호"/>
    <s v="e"/>
    <x v="0"/>
    <s v=""/>
    <x v="0"/>
    <x v="0"/>
    <s v="kg"/>
    <n v="210"/>
    <n v="95"/>
    <n v="19950"/>
    <n v="1995"/>
    <n v="21945"/>
    <m/>
  </r>
  <r>
    <n v="210"/>
    <x v="3"/>
    <x v="3"/>
    <x v="0"/>
    <x v="0"/>
    <x v="3"/>
    <x v="0"/>
    <x v="0"/>
    <s v="8947"/>
    <s v="정주혁"/>
    <s v="e"/>
    <x v="0"/>
    <s v=""/>
    <x v="0"/>
    <x v="0"/>
    <s v="kg"/>
    <n v="140"/>
    <n v="95"/>
    <n v="13300"/>
    <n v="1330"/>
    <n v="14630.000000000002"/>
    <m/>
  </r>
  <r>
    <n v="211"/>
    <x v="3"/>
    <x v="3"/>
    <x v="0"/>
    <x v="0"/>
    <x v="3"/>
    <x v="0"/>
    <x v="0"/>
    <s v="2986"/>
    <s v="김대식"/>
    <s v="e"/>
    <x v="0"/>
    <s v=""/>
    <x v="0"/>
    <x v="0"/>
    <s v="kg"/>
    <n v="140"/>
    <n v="95"/>
    <n v="13300"/>
    <n v="1330"/>
    <n v="14630.000000000002"/>
    <m/>
  </r>
  <r>
    <n v="212"/>
    <x v="3"/>
    <x v="3"/>
    <x v="0"/>
    <x v="0"/>
    <x v="3"/>
    <x v="0"/>
    <x v="0"/>
    <s v="4618"/>
    <s v="강성완"/>
    <s v="e"/>
    <x v="0"/>
    <s v=""/>
    <x v="0"/>
    <x v="0"/>
    <s v="kg"/>
    <n v="350"/>
    <n v="95"/>
    <n v="33250"/>
    <n v="3325"/>
    <n v="36575"/>
    <m/>
  </r>
  <r>
    <n v="213"/>
    <x v="3"/>
    <x v="3"/>
    <x v="0"/>
    <x v="0"/>
    <x v="3"/>
    <x v="0"/>
    <x v="0"/>
    <s v="4618"/>
    <s v="강성완"/>
    <s v="e"/>
    <x v="0"/>
    <s v=""/>
    <x v="0"/>
    <x v="0"/>
    <s v="kg"/>
    <n v="160"/>
    <n v="95"/>
    <n v="15200"/>
    <n v="1520"/>
    <n v="16720"/>
    <m/>
  </r>
  <r>
    <n v="214"/>
    <x v="3"/>
    <x v="3"/>
    <x v="0"/>
    <x v="0"/>
    <x v="3"/>
    <x v="0"/>
    <x v="0"/>
    <s v="0439"/>
    <s v="최흥섭"/>
    <s v="e"/>
    <x v="0"/>
    <s v=""/>
    <x v="0"/>
    <x v="0"/>
    <s v="kg"/>
    <n v="230"/>
    <n v="95"/>
    <n v="21850"/>
    <n v="2185"/>
    <n v="24035.000000000004"/>
    <m/>
  </r>
  <r>
    <n v="215"/>
    <x v="3"/>
    <x v="3"/>
    <x v="0"/>
    <x v="0"/>
    <x v="3"/>
    <x v="0"/>
    <x v="0"/>
    <s v="7246"/>
    <s v="이승원"/>
    <s v="e"/>
    <x v="0"/>
    <s v=""/>
    <x v="0"/>
    <x v="0"/>
    <s v="kg"/>
    <n v="140"/>
    <n v="95"/>
    <n v="13300"/>
    <n v="1330"/>
    <n v="14630.000000000002"/>
    <m/>
  </r>
  <r>
    <n v="216"/>
    <x v="3"/>
    <x v="3"/>
    <x v="0"/>
    <x v="0"/>
    <x v="3"/>
    <x v="0"/>
    <x v="0"/>
    <s v="0439"/>
    <s v="최흥섭"/>
    <s v="e"/>
    <x v="0"/>
    <s v=""/>
    <x v="0"/>
    <x v="0"/>
    <s v="kg"/>
    <n v="60"/>
    <n v="95"/>
    <n v="5700"/>
    <n v="570"/>
    <n v="6270.0000000000009"/>
    <m/>
  </r>
  <r>
    <n v="217"/>
    <x v="3"/>
    <x v="3"/>
    <x v="0"/>
    <x v="0"/>
    <x v="3"/>
    <x v="0"/>
    <x v="0"/>
    <s v="1806"/>
    <s v="김문식"/>
    <s v="e"/>
    <x v="0"/>
    <s v=""/>
    <x v="0"/>
    <x v="0"/>
    <s v="kg"/>
    <n v="300"/>
    <n v="95"/>
    <n v="28500"/>
    <n v="2850"/>
    <n v="31350.000000000004"/>
    <m/>
  </r>
  <r>
    <n v="218"/>
    <x v="3"/>
    <x v="3"/>
    <x v="0"/>
    <x v="0"/>
    <x v="3"/>
    <x v="3"/>
    <x v="0"/>
    <s v="0616"/>
    <s v="권명노"/>
    <s v="e"/>
    <x v="0"/>
    <s v=""/>
    <x v="0"/>
    <x v="0"/>
    <s v="kg"/>
    <n v="330"/>
    <n v="85"/>
    <n v="28050"/>
    <n v="2805"/>
    <n v="30855.000000000004"/>
    <m/>
  </r>
  <r>
    <n v="219"/>
    <x v="3"/>
    <x v="3"/>
    <x v="0"/>
    <x v="0"/>
    <x v="3"/>
    <x v="3"/>
    <x v="0"/>
    <s v="9283"/>
    <s v="김동령"/>
    <s v="e"/>
    <x v="0"/>
    <s v=""/>
    <x v="0"/>
    <x v="0"/>
    <s v="kg"/>
    <n v="190"/>
    <n v="85"/>
    <n v="16150"/>
    <n v="1615"/>
    <n v="17765"/>
    <m/>
  </r>
  <r>
    <n v="220"/>
    <x v="3"/>
    <x v="3"/>
    <x v="0"/>
    <x v="0"/>
    <x v="3"/>
    <x v="3"/>
    <x v="0"/>
    <s v="9283"/>
    <s v="김동령"/>
    <s v="e"/>
    <x v="0"/>
    <s v=""/>
    <x v="0"/>
    <x v="0"/>
    <s v="kg"/>
    <n v="150"/>
    <n v="85"/>
    <n v="12750"/>
    <n v="1275"/>
    <n v="14025.000000000002"/>
    <m/>
  </r>
  <r>
    <n v="221"/>
    <x v="3"/>
    <x v="3"/>
    <x v="0"/>
    <x v="0"/>
    <x v="3"/>
    <x v="3"/>
    <x v="0"/>
    <s v="0616"/>
    <s v="권명노"/>
    <s v="e"/>
    <x v="0"/>
    <s v=""/>
    <x v="0"/>
    <x v="0"/>
    <s v="kg"/>
    <n v="110"/>
    <n v="85"/>
    <n v="9350"/>
    <n v="935"/>
    <n v="10285"/>
    <m/>
  </r>
  <r>
    <n v="222"/>
    <x v="3"/>
    <x v="3"/>
    <x v="0"/>
    <x v="0"/>
    <x v="3"/>
    <x v="3"/>
    <x v="0"/>
    <s v="4750"/>
    <s v="황한천"/>
    <s v="e"/>
    <x v="0"/>
    <s v=""/>
    <x v="0"/>
    <x v="0"/>
    <s v="kg"/>
    <n v="210"/>
    <n v="85"/>
    <n v="17850"/>
    <n v="1785"/>
    <n v="19635"/>
    <m/>
  </r>
  <r>
    <n v="223"/>
    <x v="3"/>
    <x v="3"/>
    <x v="0"/>
    <x v="0"/>
    <x v="3"/>
    <x v="3"/>
    <x v="0"/>
    <s v="8255"/>
    <s v="정호석"/>
    <s v="e"/>
    <x v="0"/>
    <s v=""/>
    <x v="0"/>
    <x v="0"/>
    <s v="kg"/>
    <n v="320"/>
    <n v="85"/>
    <n v="27200"/>
    <n v="2720"/>
    <n v="29920.000000000004"/>
    <m/>
  </r>
  <r>
    <n v="224"/>
    <x v="3"/>
    <x v="3"/>
    <x v="0"/>
    <x v="0"/>
    <x v="3"/>
    <x v="3"/>
    <x v="0"/>
    <s v="8769"/>
    <s v="수정자원"/>
    <s v="cus"/>
    <x v="0"/>
    <s v=""/>
    <x v="0"/>
    <x v="1"/>
    <s v="kg"/>
    <n v="3500"/>
    <n v="85"/>
    <n v="297500"/>
    <n v="29750"/>
    <n v="327250"/>
    <m/>
  </r>
  <r>
    <n v="225"/>
    <x v="3"/>
    <x v="3"/>
    <x v="0"/>
    <x v="0"/>
    <x v="3"/>
    <x v="3"/>
    <x v="0"/>
    <s v="9283"/>
    <s v="김동령"/>
    <s v="e"/>
    <x v="0"/>
    <s v=""/>
    <x v="0"/>
    <x v="0"/>
    <s v="kg"/>
    <n v="220"/>
    <n v="85"/>
    <n v="18700"/>
    <n v="1870"/>
    <n v="20570"/>
    <m/>
  </r>
  <r>
    <n v="226"/>
    <x v="3"/>
    <x v="3"/>
    <x v="0"/>
    <x v="0"/>
    <x v="3"/>
    <x v="3"/>
    <x v="0"/>
    <s v="0439"/>
    <s v="최흥섭"/>
    <s v="e"/>
    <x v="0"/>
    <s v=""/>
    <x v="0"/>
    <x v="0"/>
    <s v="kg"/>
    <n v="320"/>
    <n v="85"/>
    <n v="27200"/>
    <n v="2720"/>
    <n v="29920.000000000004"/>
    <m/>
  </r>
  <r>
    <n v="227"/>
    <x v="3"/>
    <x v="3"/>
    <x v="0"/>
    <x v="0"/>
    <x v="3"/>
    <x v="3"/>
    <x v="0"/>
    <s v="4886"/>
    <s v="박준철"/>
    <s v="e"/>
    <x v="0"/>
    <s v=""/>
    <x v="0"/>
    <x v="0"/>
    <s v="kg"/>
    <n v="280"/>
    <n v="85"/>
    <n v="23800"/>
    <n v="2380"/>
    <n v="26180.000000000004"/>
    <m/>
  </r>
  <r>
    <n v="228"/>
    <x v="3"/>
    <x v="3"/>
    <x v="0"/>
    <x v="0"/>
    <x v="3"/>
    <x v="3"/>
    <x v="0"/>
    <s v="6567"/>
    <s v="김승찬"/>
    <s v="e"/>
    <x v="0"/>
    <s v=""/>
    <x v="0"/>
    <x v="0"/>
    <s v="kg"/>
    <n v="210"/>
    <n v="85"/>
    <n v="17850"/>
    <n v="1785"/>
    <n v="19635"/>
    <m/>
  </r>
  <r>
    <n v="229"/>
    <x v="3"/>
    <x v="3"/>
    <x v="0"/>
    <x v="0"/>
    <x v="3"/>
    <x v="3"/>
    <x v="0"/>
    <s v="0641"/>
    <s v="김우기"/>
    <s v="e"/>
    <x v="0"/>
    <s v=""/>
    <x v="0"/>
    <x v="0"/>
    <s v="kg"/>
    <n v="70"/>
    <n v="85"/>
    <n v="5950"/>
    <n v="595"/>
    <n v="6545.0000000000009"/>
    <m/>
  </r>
  <r>
    <n v="230"/>
    <x v="3"/>
    <x v="3"/>
    <x v="0"/>
    <x v="0"/>
    <x v="3"/>
    <x v="3"/>
    <x v="0"/>
    <s v="0439"/>
    <s v="최흥섭"/>
    <s v="e"/>
    <x v="0"/>
    <s v=""/>
    <x v="0"/>
    <x v="0"/>
    <s v="kg"/>
    <n v="110"/>
    <n v="85"/>
    <n v="9350"/>
    <n v="935"/>
    <n v="10285"/>
    <m/>
  </r>
  <r>
    <n v="231"/>
    <x v="3"/>
    <x v="3"/>
    <x v="0"/>
    <x v="0"/>
    <x v="3"/>
    <x v="3"/>
    <x v="0"/>
    <s v="8876"/>
    <s v="이갑성"/>
    <s v="e"/>
    <x v="0"/>
    <s v=""/>
    <x v="0"/>
    <x v="0"/>
    <s v="kg"/>
    <n v="210"/>
    <n v="85"/>
    <n v="17850"/>
    <n v="1785"/>
    <n v="19635"/>
    <m/>
  </r>
  <r>
    <n v="232"/>
    <x v="3"/>
    <x v="3"/>
    <x v="0"/>
    <x v="0"/>
    <x v="3"/>
    <x v="3"/>
    <x v="0"/>
    <s v="3855"/>
    <s v="허범진"/>
    <s v="e"/>
    <x v="0"/>
    <s v=""/>
    <x v="0"/>
    <x v="0"/>
    <s v="kg"/>
    <n v="280"/>
    <n v="85"/>
    <n v="23800"/>
    <n v="2380"/>
    <n v="26180.000000000004"/>
    <m/>
  </r>
  <r>
    <n v="233"/>
    <x v="3"/>
    <x v="3"/>
    <x v="0"/>
    <x v="0"/>
    <x v="3"/>
    <x v="3"/>
    <x v="0"/>
    <s v="8255"/>
    <s v="정호석"/>
    <s v="e"/>
    <x v="0"/>
    <s v=""/>
    <x v="0"/>
    <x v="0"/>
    <s v="kg"/>
    <n v="190"/>
    <n v="85"/>
    <n v="16150"/>
    <n v="1615"/>
    <n v="17765"/>
    <m/>
  </r>
  <r>
    <n v="234"/>
    <x v="3"/>
    <x v="3"/>
    <x v="0"/>
    <x v="0"/>
    <x v="3"/>
    <x v="3"/>
    <x v="0"/>
    <s v="8763"/>
    <s v="수정자원"/>
    <s v="cus"/>
    <x v="0"/>
    <s v=""/>
    <x v="0"/>
    <x v="1"/>
    <s v="kg"/>
    <n v="3340"/>
    <n v="85"/>
    <n v="283900"/>
    <n v="28390"/>
    <n v="312290"/>
    <m/>
  </r>
  <r>
    <n v="235"/>
    <x v="3"/>
    <x v="3"/>
    <x v="0"/>
    <x v="0"/>
    <x v="3"/>
    <x v="3"/>
    <x v="0"/>
    <s v="0641"/>
    <s v="김우기"/>
    <s v="e"/>
    <x v="0"/>
    <s v=""/>
    <x v="0"/>
    <x v="0"/>
    <s v="kg"/>
    <n v="180"/>
    <n v="85"/>
    <n v="15300"/>
    <n v="1530"/>
    <n v="16830"/>
    <m/>
  </r>
  <r>
    <n v="236"/>
    <x v="3"/>
    <x v="3"/>
    <x v="0"/>
    <x v="0"/>
    <x v="3"/>
    <x v="3"/>
    <x v="0"/>
    <s v="8876"/>
    <s v="이갑성"/>
    <s v="e"/>
    <x v="0"/>
    <s v=""/>
    <x v="0"/>
    <x v="0"/>
    <s v="kg"/>
    <n v="180"/>
    <n v="85"/>
    <n v="15300"/>
    <n v="1530"/>
    <n v="16830"/>
    <m/>
  </r>
  <r>
    <n v="237"/>
    <x v="3"/>
    <x v="3"/>
    <x v="0"/>
    <x v="0"/>
    <x v="3"/>
    <x v="3"/>
    <x v="0"/>
    <s v="2207"/>
    <s v="이희덕"/>
    <s v="e"/>
    <x v="0"/>
    <s v=""/>
    <x v="0"/>
    <x v="0"/>
    <s v="kg"/>
    <n v="600"/>
    <n v="85"/>
    <n v="51000"/>
    <n v="5100"/>
    <n v="56100.000000000007"/>
    <m/>
  </r>
  <r>
    <n v="238"/>
    <x v="3"/>
    <x v="3"/>
    <x v="0"/>
    <x v="0"/>
    <x v="3"/>
    <x v="3"/>
    <x v="0"/>
    <s v="0439"/>
    <s v="최흥섭"/>
    <s v="e"/>
    <x v="0"/>
    <s v=""/>
    <x v="0"/>
    <x v="0"/>
    <s v="kg"/>
    <n v="80"/>
    <n v="85"/>
    <n v="6800"/>
    <n v="680"/>
    <n v="7480.0000000000009"/>
    <m/>
  </r>
  <r>
    <n v="239"/>
    <x v="3"/>
    <x v="3"/>
    <x v="0"/>
    <x v="0"/>
    <x v="3"/>
    <x v="3"/>
    <x v="0"/>
    <s v="2207"/>
    <s v="이희덕"/>
    <s v="e"/>
    <x v="0"/>
    <s v=""/>
    <x v="0"/>
    <x v="0"/>
    <s v="kg"/>
    <n v="100"/>
    <n v="85"/>
    <n v="8500"/>
    <n v="850"/>
    <n v="9350"/>
    <m/>
  </r>
  <r>
    <n v="240"/>
    <x v="3"/>
    <x v="3"/>
    <x v="0"/>
    <x v="0"/>
    <x v="3"/>
    <x v="3"/>
    <x v="1"/>
    <s v="5597"/>
    <s v="이한규"/>
    <s v="e"/>
    <x v="0"/>
    <s v=""/>
    <x v="0"/>
    <x v="0"/>
    <s v="kg"/>
    <n v="270"/>
    <n v="85"/>
    <n v="22950"/>
    <n v="2295"/>
    <n v="25245.000000000004"/>
    <m/>
  </r>
  <r>
    <n v="241"/>
    <x v="3"/>
    <x v="3"/>
    <x v="0"/>
    <x v="0"/>
    <x v="3"/>
    <x v="3"/>
    <x v="1"/>
    <s v="5597"/>
    <s v="이한규"/>
    <s v="e"/>
    <x v="0"/>
    <s v=""/>
    <x v="0"/>
    <x v="0"/>
    <s v="kg"/>
    <n v="270"/>
    <n v="85"/>
    <n v="22950"/>
    <n v="2295"/>
    <n v="25245.000000000004"/>
    <m/>
  </r>
  <r>
    <n v="242"/>
    <x v="3"/>
    <x v="3"/>
    <x v="0"/>
    <x v="0"/>
    <x v="3"/>
    <x v="3"/>
    <x v="1"/>
    <s v="5597"/>
    <s v="이한규"/>
    <s v="e"/>
    <x v="0"/>
    <s v=""/>
    <x v="0"/>
    <x v="0"/>
    <s v="kg"/>
    <n v="290"/>
    <n v="85"/>
    <n v="24650"/>
    <n v="2465"/>
    <n v="27115.000000000004"/>
    <m/>
  </r>
  <r>
    <n v="243"/>
    <x v="4"/>
    <x v="4"/>
    <x v="0"/>
    <x v="0"/>
    <x v="4"/>
    <x v="1"/>
    <x v="0"/>
    <s v="3089"/>
    <s v="이수페이퍼"/>
    <s v="cus"/>
    <x v="0"/>
    <s v=""/>
    <x v="0"/>
    <x v="1"/>
    <s v="kg"/>
    <n v="4725"/>
    <n v="90"/>
    <n v="425250"/>
    <n v="42525"/>
    <n v="467775.00000000006"/>
    <m/>
  </r>
  <r>
    <n v="244"/>
    <x v="4"/>
    <x v="4"/>
    <x v="0"/>
    <x v="0"/>
    <x v="4"/>
    <x v="2"/>
    <x v="0"/>
    <s v="3605"/>
    <s v="미래환경"/>
    <s v="cus"/>
    <x v="1"/>
    <s v=""/>
    <x v="1"/>
    <x v="1"/>
    <s v="kg"/>
    <n v="3295"/>
    <n v="0"/>
    <n v="0"/>
    <n v="0"/>
    <n v="0"/>
    <m/>
  </r>
  <r>
    <n v="245"/>
    <x v="4"/>
    <x v="4"/>
    <x v="0"/>
    <x v="0"/>
    <x v="4"/>
    <x v="1"/>
    <x v="0"/>
    <s v="6336"/>
    <s v="이수페이퍼"/>
    <s v="cus"/>
    <x v="0"/>
    <s v=""/>
    <x v="0"/>
    <x v="1"/>
    <s v="kg"/>
    <n v="5125"/>
    <n v="90"/>
    <n v="461250"/>
    <n v="46125"/>
    <n v="507375.00000000006"/>
    <m/>
  </r>
  <r>
    <n v="246"/>
    <x v="4"/>
    <x v="4"/>
    <x v="0"/>
    <x v="0"/>
    <x v="4"/>
    <x v="2"/>
    <x v="0"/>
    <s v="3581"/>
    <s v="미래환경"/>
    <s v="cus"/>
    <x v="1"/>
    <s v=""/>
    <x v="1"/>
    <x v="1"/>
    <s v="kg"/>
    <n v="2950"/>
    <n v="0"/>
    <n v="0"/>
    <n v="0"/>
    <n v="0"/>
    <m/>
  </r>
  <r>
    <n v="247"/>
    <x v="4"/>
    <x v="4"/>
    <x v="0"/>
    <x v="0"/>
    <x v="4"/>
    <x v="6"/>
    <x v="0"/>
    <s v="0978"/>
    <s v="한국자원"/>
    <s v="cus"/>
    <x v="4"/>
    <s v="잡병"/>
    <x v="6"/>
    <x v="1"/>
    <s v="kg"/>
    <n v="12360"/>
    <n v="0"/>
    <n v="0"/>
    <n v="0"/>
    <n v="0"/>
    <m/>
  </r>
  <r>
    <n v="248"/>
    <x v="4"/>
    <x v="4"/>
    <x v="0"/>
    <x v="0"/>
    <x v="4"/>
    <x v="2"/>
    <x v="0"/>
    <s v="1728"/>
    <s v="미래환경"/>
    <s v="cus"/>
    <x v="2"/>
    <s v=""/>
    <x v="3"/>
    <x v="1"/>
    <s v="kg"/>
    <n v="3710"/>
    <n v="0"/>
    <n v="0"/>
    <n v="0"/>
    <n v="0"/>
    <m/>
  </r>
  <r>
    <n v="249"/>
    <x v="4"/>
    <x v="4"/>
    <x v="0"/>
    <x v="0"/>
    <x v="4"/>
    <x v="1"/>
    <x v="0"/>
    <s v="6336"/>
    <s v="이수페이퍼"/>
    <s v="cus"/>
    <x v="0"/>
    <s v=""/>
    <x v="0"/>
    <x v="1"/>
    <s v="kg"/>
    <n v="5375"/>
    <n v="90"/>
    <n v="483750"/>
    <n v="48375"/>
    <n v="532125"/>
    <m/>
  </r>
  <r>
    <n v="250"/>
    <x v="4"/>
    <x v="4"/>
    <x v="0"/>
    <x v="0"/>
    <x v="4"/>
    <x v="2"/>
    <x v="0"/>
    <s v="4135"/>
    <s v="미래환경"/>
    <s v="cus"/>
    <x v="1"/>
    <s v=""/>
    <x v="1"/>
    <x v="1"/>
    <s v="kg"/>
    <n v="3085"/>
    <n v="0"/>
    <n v="0"/>
    <n v="0"/>
    <n v="0"/>
    <m/>
  </r>
  <r>
    <n v="251"/>
    <x v="4"/>
    <x v="4"/>
    <x v="0"/>
    <x v="0"/>
    <x v="4"/>
    <x v="2"/>
    <x v="0"/>
    <s v="3609"/>
    <s v="미래환경"/>
    <s v="cus"/>
    <x v="2"/>
    <s v=""/>
    <x v="3"/>
    <x v="1"/>
    <s v="kg"/>
    <n v="4045"/>
    <n v="0"/>
    <n v="0"/>
    <n v="0"/>
    <n v="0"/>
    <m/>
  </r>
  <r>
    <n v="252"/>
    <x v="4"/>
    <x v="4"/>
    <x v="0"/>
    <x v="0"/>
    <x v="4"/>
    <x v="2"/>
    <x v="0"/>
    <s v="3607"/>
    <s v="미래환경"/>
    <s v="cus"/>
    <x v="1"/>
    <s v=""/>
    <x v="1"/>
    <x v="1"/>
    <s v="kg"/>
    <n v="3330"/>
    <n v="0"/>
    <n v="0"/>
    <n v="0"/>
    <n v="0"/>
    <m/>
  </r>
  <r>
    <n v="253"/>
    <x v="4"/>
    <x v="4"/>
    <x v="0"/>
    <x v="0"/>
    <x v="4"/>
    <x v="2"/>
    <x v="0"/>
    <s v="3592"/>
    <s v="미래환경"/>
    <s v="cus"/>
    <x v="2"/>
    <s v=""/>
    <x v="3"/>
    <x v="1"/>
    <s v="kg"/>
    <n v="3990"/>
    <n v="0"/>
    <n v="0"/>
    <n v="0"/>
    <n v="0"/>
    <m/>
  </r>
  <r>
    <n v="254"/>
    <x v="4"/>
    <x v="4"/>
    <x v="0"/>
    <x v="0"/>
    <x v="4"/>
    <x v="4"/>
    <x v="0"/>
    <s v="0309"/>
    <s v="무등자원"/>
    <s v="cus"/>
    <x v="3"/>
    <s v="비철"/>
    <x v="4"/>
    <x v="1"/>
    <s v="kg"/>
    <n v="1825"/>
    <n v="1450"/>
    <n v="2646250"/>
    <n v="264625"/>
    <n v="2910875.0000000005"/>
    <m/>
  </r>
  <r>
    <n v="255"/>
    <x v="4"/>
    <x v="4"/>
    <x v="0"/>
    <x v="0"/>
    <x v="4"/>
    <x v="3"/>
    <x v="0"/>
    <s v="8255"/>
    <s v="정호석"/>
    <s v="e"/>
    <x v="0"/>
    <s v=""/>
    <x v="0"/>
    <x v="0"/>
    <s v="kg"/>
    <n v="130"/>
    <n v="85"/>
    <n v="11050"/>
    <n v="1105"/>
    <n v="12155.000000000002"/>
    <m/>
  </r>
  <r>
    <n v="256"/>
    <x v="4"/>
    <x v="4"/>
    <x v="0"/>
    <x v="0"/>
    <x v="4"/>
    <x v="3"/>
    <x v="0"/>
    <s v="9283"/>
    <s v="김동령"/>
    <s v="e"/>
    <x v="0"/>
    <s v=""/>
    <x v="0"/>
    <x v="0"/>
    <s v="kg"/>
    <n v="200"/>
    <n v="85"/>
    <n v="17000"/>
    <n v="1700"/>
    <n v="18700"/>
    <m/>
  </r>
  <r>
    <n v="257"/>
    <x v="4"/>
    <x v="4"/>
    <x v="0"/>
    <x v="0"/>
    <x v="4"/>
    <x v="3"/>
    <x v="0"/>
    <s v="9283"/>
    <s v="김동령"/>
    <s v="e"/>
    <x v="0"/>
    <s v=""/>
    <x v="0"/>
    <x v="0"/>
    <s v="kg"/>
    <n v="110"/>
    <n v="85"/>
    <n v="9350"/>
    <n v="935"/>
    <n v="10285"/>
    <m/>
  </r>
  <r>
    <n v="258"/>
    <x v="4"/>
    <x v="4"/>
    <x v="0"/>
    <x v="0"/>
    <x v="4"/>
    <x v="3"/>
    <x v="0"/>
    <s v="8255"/>
    <s v="정호석"/>
    <s v="e"/>
    <x v="0"/>
    <s v=""/>
    <x v="0"/>
    <x v="0"/>
    <s v="kg"/>
    <n v="140"/>
    <n v="85"/>
    <n v="11900"/>
    <n v="1190"/>
    <n v="13090.000000000002"/>
    <m/>
  </r>
  <r>
    <n v="259"/>
    <x v="4"/>
    <x v="4"/>
    <x v="0"/>
    <x v="0"/>
    <x v="4"/>
    <x v="3"/>
    <x v="0"/>
    <s v="4750"/>
    <s v="황한천"/>
    <s v="e"/>
    <x v="0"/>
    <s v=""/>
    <x v="0"/>
    <x v="0"/>
    <s v="kg"/>
    <n v="370"/>
    <n v="85"/>
    <n v="31450"/>
    <n v="3145"/>
    <n v="34595"/>
    <m/>
  </r>
  <r>
    <n v="260"/>
    <x v="4"/>
    <x v="4"/>
    <x v="0"/>
    <x v="0"/>
    <x v="4"/>
    <x v="3"/>
    <x v="0"/>
    <s v="8769"/>
    <s v="수정자원"/>
    <s v="cus"/>
    <x v="0"/>
    <s v=""/>
    <x v="0"/>
    <x v="1"/>
    <s v="kg"/>
    <n v="4090"/>
    <n v="85"/>
    <n v="347650"/>
    <n v="34765"/>
    <n v="382415.00000000006"/>
    <m/>
  </r>
  <r>
    <n v="261"/>
    <x v="4"/>
    <x v="4"/>
    <x v="0"/>
    <x v="0"/>
    <x v="4"/>
    <x v="3"/>
    <x v="0"/>
    <s v="0439"/>
    <s v="최흥섭"/>
    <s v="e"/>
    <x v="0"/>
    <s v=""/>
    <x v="0"/>
    <x v="0"/>
    <s v="kg"/>
    <n v="230"/>
    <n v="85"/>
    <n v="19550"/>
    <n v="1955"/>
    <n v="21505"/>
    <m/>
  </r>
  <r>
    <n v="262"/>
    <x v="4"/>
    <x v="4"/>
    <x v="0"/>
    <x v="0"/>
    <x v="4"/>
    <x v="3"/>
    <x v="0"/>
    <s v="0616"/>
    <s v="권명노"/>
    <s v="e"/>
    <x v="0"/>
    <s v=""/>
    <x v="0"/>
    <x v="0"/>
    <s v="kg"/>
    <n v="390"/>
    <n v="85"/>
    <n v="33150"/>
    <n v="3315"/>
    <n v="36465"/>
    <m/>
  </r>
  <r>
    <n v="263"/>
    <x v="4"/>
    <x v="4"/>
    <x v="0"/>
    <x v="0"/>
    <x v="4"/>
    <x v="3"/>
    <x v="0"/>
    <s v="4886"/>
    <s v="박준철"/>
    <s v="e"/>
    <x v="0"/>
    <s v=""/>
    <x v="0"/>
    <x v="0"/>
    <s v="kg"/>
    <n v="200"/>
    <n v="85"/>
    <n v="17000"/>
    <n v="1700"/>
    <n v="18700"/>
    <m/>
  </r>
  <r>
    <n v="264"/>
    <x v="4"/>
    <x v="4"/>
    <x v="0"/>
    <x v="0"/>
    <x v="4"/>
    <x v="3"/>
    <x v="0"/>
    <s v="9283"/>
    <s v="김동령"/>
    <s v="e"/>
    <x v="0"/>
    <s v=""/>
    <x v="0"/>
    <x v="0"/>
    <s v="kg"/>
    <n v="110"/>
    <n v="85"/>
    <n v="9350"/>
    <n v="935"/>
    <n v="10285"/>
    <m/>
  </r>
  <r>
    <n v="265"/>
    <x v="4"/>
    <x v="4"/>
    <x v="0"/>
    <x v="0"/>
    <x v="4"/>
    <x v="3"/>
    <x v="0"/>
    <s v="2207"/>
    <s v="이희덕"/>
    <s v="e"/>
    <x v="0"/>
    <s v=""/>
    <x v="0"/>
    <x v="0"/>
    <s v="kg"/>
    <n v="290"/>
    <n v="85"/>
    <n v="24650"/>
    <n v="2465"/>
    <n v="27115.000000000004"/>
    <m/>
  </r>
  <r>
    <n v="266"/>
    <x v="4"/>
    <x v="4"/>
    <x v="0"/>
    <x v="0"/>
    <x v="4"/>
    <x v="3"/>
    <x v="0"/>
    <s v="3855"/>
    <s v="허범진"/>
    <s v="e"/>
    <x v="0"/>
    <s v=""/>
    <x v="0"/>
    <x v="0"/>
    <s v="kg"/>
    <n v="250"/>
    <n v="85"/>
    <n v="21250"/>
    <n v="2125"/>
    <n v="23375.000000000004"/>
    <m/>
  </r>
  <r>
    <n v="267"/>
    <x v="4"/>
    <x v="4"/>
    <x v="0"/>
    <x v="0"/>
    <x v="4"/>
    <x v="3"/>
    <x v="0"/>
    <s v="8876"/>
    <s v="이갑성"/>
    <s v="e"/>
    <x v="0"/>
    <s v=""/>
    <x v="0"/>
    <x v="0"/>
    <s v="kg"/>
    <n v="260"/>
    <n v="85"/>
    <n v="22100"/>
    <n v="2210"/>
    <n v="24310.000000000004"/>
    <m/>
  </r>
  <r>
    <n v="268"/>
    <x v="4"/>
    <x v="4"/>
    <x v="0"/>
    <x v="0"/>
    <x v="4"/>
    <x v="3"/>
    <x v="0"/>
    <s v="0439"/>
    <s v="최흥섭"/>
    <s v="e"/>
    <x v="0"/>
    <s v=""/>
    <x v="0"/>
    <x v="0"/>
    <s v="kg"/>
    <n v="70"/>
    <n v="85"/>
    <n v="5950"/>
    <n v="595"/>
    <n v="6545.0000000000009"/>
    <m/>
  </r>
  <r>
    <n v="269"/>
    <x v="4"/>
    <x v="4"/>
    <x v="0"/>
    <x v="0"/>
    <x v="4"/>
    <x v="3"/>
    <x v="0"/>
    <s v="8769"/>
    <s v="수정자원"/>
    <s v="cus"/>
    <x v="0"/>
    <s v=""/>
    <x v="0"/>
    <x v="1"/>
    <s v="kg"/>
    <n v="3830"/>
    <n v="85"/>
    <n v="325550"/>
    <n v="32555"/>
    <n v="358105"/>
    <m/>
  </r>
  <r>
    <n v="270"/>
    <x v="4"/>
    <x v="4"/>
    <x v="0"/>
    <x v="0"/>
    <x v="4"/>
    <x v="3"/>
    <x v="0"/>
    <s v="2207"/>
    <s v="이희덕"/>
    <s v="e"/>
    <x v="0"/>
    <s v=""/>
    <x v="0"/>
    <x v="0"/>
    <s v="kg"/>
    <n v="120"/>
    <n v="85"/>
    <n v="10200"/>
    <n v="1020"/>
    <n v="11220"/>
    <m/>
  </r>
  <r>
    <n v="271"/>
    <x v="4"/>
    <x v="4"/>
    <x v="0"/>
    <x v="0"/>
    <x v="4"/>
    <x v="3"/>
    <x v="0"/>
    <s v="8255"/>
    <s v="정호석"/>
    <s v="e"/>
    <x v="0"/>
    <s v=""/>
    <x v="0"/>
    <x v="0"/>
    <s v="kg"/>
    <n v="320"/>
    <n v="85"/>
    <n v="27200"/>
    <n v="2720"/>
    <n v="29920.000000000004"/>
    <m/>
  </r>
  <r>
    <n v="272"/>
    <x v="4"/>
    <x v="4"/>
    <x v="0"/>
    <x v="0"/>
    <x v="4"/>
    <x v="3"/>
    <x v="0"/>
    <s v="0641"/>
    <s v="김우기"/>
    <s v="e"/>
    <x v="0"/>
    <s v=""/>
    <x v="0"/>
    <x v="0"/>
    <s v="kg"/>
    <n v="210"/>
    <n v="85"/>
    <n v="17850"/>
    <n v="1785"/>
    <n v="19635"/>
    <m/>
  </r>
  <r>
    <n v="273"/>
    <x v="4"/>
    <x v="4"/>
    <x v="0"/>
    <x v="0"/>
    <x v="4"/>
    <x v="3"/>
    <x v="0"/>
    <s v="8876"/>
    <s v="이갑성"/>
    <s v="e"/>
    <x v="0"/>
    <s v=""/>
    <x v="0"/>
    <x v="0"/>
    <s v="kg"/>
    <n v="190"/>
    <n v="85"/>
    <n v="16150"/>
    <n v="1615"/>
    <n v="17765"/>
    <m/>
  </r>
  <r>
    <n v="274"/>
    <x v="4"/>
    <x v="4"/>
    <x v="0"/>
    <x v="0"/>
    <x v="4"/>
    <x v="3"/>
    <x v="0"/>
    <s v="8769"/>
    <s v="수정자원"/>
    <s v="cus"/>
    <x v="0"/>
    <s v=""/>
    <x v="0"/>
    <x v="1"/>
    <s v="kg"/>
    <n v="3620"/>
    <n v="85"/>
    <n v="307700"/>
    <n v="30770"/>
    <n v="338470"/>
    <m/>
  </r>
  <r>
    <n v="275"/>
    <x v="4"/>
    <x v="4"/>
    <x v="0"/>
    <x v="0"/>
    <x v="4"/>
    <x v="3"/>
    <x v="0"/>
    <s v="0616"/>
    <s v="권명노"/>
    <s v="e"/>
    <x v="0"/>
    <s v=""/>
    <x v="0"/>
    <x v="0"/>
    <s v="kg"/>
    <n v="240"/>
    <n v="85"/>
    <n v="20400"/>
    <n v="2040"/>
    <n v="22440"/>
    <m/>
  </r>
  <r>
    <n v="276"/>
    <x v="4"/>
    <x v="4"/>
    <x v="0"/>
    <x v="0"/>
    <x v="4"/>
    <x v="3"/>
    <x v="0"/>
    <s v="0641"/>
    <s v="김우기"/>
    <s v="e"/>
    <x v="0"/>
    <s v=""/>
    <x v="0"/>
    <x v="0"/>
    <s v="kg"/>
    <n v="270"/>
    <n v="85"/>
    <n v="22950"/>
    <n v="2295"/>
    <n v="25245.000000000004"/>
    <m/>
  </r>
  <r>
    <n v="277"/>
    <x v="4"/>
    <x v="4"/>
    <x v="0"/>
    <x v="0"/>
    <x v="4"/>
    <x v="3"/>
    <x v="0"/>
    <s v="2207"/>
    <s v="이희덕"/>
    <s v="e"/>
    <x v="0"/>
    <s v=""/>
    <x v="0"/>
    <x v="0"/>
    <s v="kg"/>
    <n v="340"/>
    <n v="85"/>
    <n v="28900"/>
    <n v="2890"/>
    <n v="31790.000000000004"/>
    <m/>
  </r>
  <r>
    <n v="278"/>
    <x v="4"/>
    <x v="4"/>
    <x v="0"/>
    <x v="0"/>
    <x v="4"/>
    <x v="3"/>
    <x v="0"/>
    <s v="2207"/>
    <s v="이희덕"/>
    <s v="e"/>
    <x v="0"/>
    <s v=""/>
    <x v="0"/>
    <x v="0"/>
    <s v="kg"/>
    <n v="80"/>
    <n v="85"/>
    <n v="6800"/>
    <n v="680"/>
    <n v="7480.0000000000009"/>
    <m/>
  </r>
  <r>
    <n v="279"/>
    <x v="4"/>
    <x v="4"/>
    <x v="0"/>
    <x v="0"/>
    <x v="4"/>
    <x v="0"/>
    <x v="0"/>
    <s v="7246"/>
    <s v="이승원"/>
    <s v="e"/>
    <x v="0"/>
    <s v=""/>
    <x v="0"/>
    <x v="0"/>
    <s v="kg"/>
    <n v="310"/>
    <n v="95"/>
    <n v="29450"/>
    <n v="2945"/>
    <n v="32395.000000000004"/>
    <m/>
  </r>
  <r>
    <n v="280"/>
    <x v="4"/>
    <x v="4"/>
    <x v="0"/>
    <x v="0"/>
    <x v="4"/>
    <x v="0"/>
    <x v="0"/>
    <s v="9390"/>
    <s v="정민원"/>
    <s v="e"/>
    <x v="0"/>
    <s v=""/>
    <x v="0"/>
    <x v="0"/>
    <s v="kg"/>
    <n v="200"/>
    <n v="95"/>
    <n v="19000"/>
    <n v="1900"/>
    <n v="20900"/>
    <m/>
  </r>
  <r>
    <n v="281"/>
    <x v="4"/>
    <x v="4"/>
    <x v="0"/>
    <x v="0"/>
    <x v="4"/>
    <x v="0"/>
    <x v="0"/>
    <s v="7246"/>
    <s v="이승원"/>
    <s v="e"/>
    <x v="0"/>
    <s v=""/>
    <x v="0"/>
    <x v="0"/>
    <s v="kg"/>
    <n v="210"/>
    <n v="95"/>
    <n v="19950"/>
    <n v="1995"/>
    <n v="21945"/>
    <m/>
  </r>
  <r>
    <n v="282"/>
    <x v="4"/>
    <x v="4"/>
    <x v="0"/>
    <x v="0"/>
    <x v="4"/>
    <x v="0"/>
    <x v="0"/>
    <s v="9310"/>
    <s v="정상준"/>
    <s v="e"/>
    <x v="0"/>
    <s v=""/>
    <x v="0"/>
    <x v="0"/>
    <s v="kg"/>
    <n v="170"/>
    <n v="95"/>
    <n v="16150"/>
    <n v="1615"/>
    <n v="17765"/>
    <m/>
  </r>
  <r>
    <n v="283"/>
    <x v="4"/>
    <x v="4"/>
    <x v="0"/>
    <x v="0"/>
    <x v="4"/>
    <x v="0"/>
    <x v="0"/>
    <s v="2986"/>
    <s v="김대식"/>
    <s v="e"/>
    <x v="0"/>
    <s v=""/>
    <x v="0"/>
    <x v="0"/>
    <s v="kg"/>
    <n v="160"/>
    <n v="95"/>
    <n v="15200"/>
    <n v="1520"/>
    <n v="16720"/>
    <m/>
  </r>
  <r>
    <n v="284"/>
    <x v="4"/>
    <x v="4"/>
    <x v="0"/>
    <x v="0"/>
    <x v="4"/>
    <x v="0"/>
    <x v="0"/>
    <s v="5245"/>
    <s v="정민호"/>
    <s v="e"/>
    <x v="0"/>
    <s v=""/>
    <x v="0"/>
    <x v="0"/>
    <s v="kg"/>
    <n v="160"/>
    <n v="95"/>
    <n v="15200"/>
    <n v="1520"/>
    <n v="16720"/>
    <m/>
  </r>
  <r>
    <n v="285"/>
    <x v="4"/>
    <x v="4"/>
    <x v="0"/>
    <x v="0"/>
    <x v="4"/>
    <x v="0"/>
    <x v="0"/>
    <s v="0612"/>
    <s v="송환기"/>
    <s v="e"/>
    <x v="0"/>
    <s v=""/>
    <x v="0"/>
    <x v="0"/>
    <s v="kg"/>
    <n v="160"/>
    <n v="95"/>
    <n v="15200"/>
    <n v="1520"/>
    <n v="16720"/>
    <m/>
  </r>
  <r>
    <n v="286"/>
    <x v="4"/>
    <x v="4"/>
    <x v="0"/>
    <x v="0"/>
    <x v="4"/>
    <x v="0"/>
    <x v="0"/>
    <s v="1806"/>
    <s v="김문식"/>
    <s v="e"/>
    <x v="0"/>
    <s v=""/>
    <x v="0"/>
    <x v="0"/>
    <s v="kg"/>
    <n v="150"/>
    <n v="95"/>
    <n v="14250"/>
    <n v="1425"/>
    <n v="15675.000000000002"/>
    <m/>
  </r>
  <r>
    <n v="287"/>
    <x v="4"/>
    <x v="4"/>
    <x v="0"/>
    <x v="0"/>
    <x v="4"/>
    <x v="0"/>
    <x v="0"/>
    <s v="8466"/>
    <s v="이영근"/>
    <s v="e"/>
    <x v="0"/>
    <s v=""/>
    <x v="0"/>
    <x v="0"/>
    <s v="kg"/>
    <n v="100"/>
    <n v="95"/>
    <n v="9500"/>
    <n v="950"/>
    <n v="10450"/>
    <m/>
  </r>
  <r>
    <n v="288"/>
    <x v="4"/>
    <x v="4"/>
    <x v="0"/>
    <x v="0"/>
    <x v="4"/>
    <x v="0"/>
    <x v="0"/>
    <s v="9310"/>
    <s v="정상준"/>
    <s v="e"/>
    <x v="0"/>
    <s v=""/>
    <x v="0"/>
    <x v="0"/>
    <s v="kg"/>
    <n v="250"/>
    <n v="95"/>
    <n v="23750"/>
    <n v="2375"/>
    <n v="26125.000000000004"/>
    <m/>
  </r>
  <r>
    <n v="289"/>
    <x v="4"/>
    <x v="4"/>
    <x v="0"/>
    <x v="0"/>
    <x v="4"/>
    <x v="0"/>
    <x v="0"/>
    <s v="7246"/>
    <s v="이승원"/>
    <s v="e"/>
    <x v="0"/>
    <s v=""/>
    <x v="0"/>
    <x v="0"/>
    <s v="kg"/>
    <n v="210"/>
    <n v="95"/>
    <n v="19950"/>
    <n v="1995"/>
    <n v="21945"/>
    <m/>
  </r>
  <r>
    <n v="290"/>
    <x v="4"/>
    <x v="4"/>
    <x v="0"/>
    <x v="0"/>
    <x v="4"/>
    <x v="0"/>
    <x v="0"/>
    <s v="0612"/>
    <s v="송환기"/>
    <s v="e"/>
    <x v="0"/>
    <s v=""/>
    <x v="0"/>
    <x v="0"/>
    <s v="kg"/>
    <n v="140"/>
    <n v="95"/>
    <n v="13300"/>
    <n v="1330"/>
    <n v="14630.000000000002"/>
    <m/>
  </r>
  <r>
    <n v="291"/>
    <x v="4"/>
    <x v="4"/>
    <x v="0"/>
    <x v="0"/>
    <x v="4"/>
    <x v="0"/>
    <x v="0"/>
    <s v="1806"/>
    <s v="김문식"/>
    <s v="e"/>
    <x v="0"/>
    <s v=""/>
    <x v="0"/>
    <x v="0"/>
    <s v="kg"/>
    <n v="130"/>
    <n v="95"/>
    <n v="12350"/>
    <n v="1235"/>
    <n v="13585.000000000002"/>
    <m/>
  </r>
  <r>
    <n v="292"/>
    <x v="4"/>
    <x v="4"/>
    <x v="0"/>
    <x v="0"/>
    <x v="4"/>
    <x v="0"/>
    <x v="0"/>
    <s v="4618"/>
    <s v="강성완"/>
    <s v="e"/>
    <x v="0"/>
    <s v=""/>
    <x v="0"/>
    <x v="0"/>
    <s v="kg"/>
    <n v="150"/>
    <n v="95"/>
    <n v="14250"/>
    <n v="1425"/>
    <n v="15675.000000000002"/>
    <m/>
  </r>
  <r>
    <n v="293"/>
    <x v="4"/>
    <x v="4"/>
    <x v="0"/>
    <x v="0"/>
    <x v="4"/>
    <x v="0"/>
    <x v="0"/>
    <s v="2986"/>
    <s v="김대식"/>
    <s v="e"/>
    <x v="0"/>
    <s v=""/>
    <x v="0"/>
    <x v="0"/>
    <s v="kg"/>
    <n v="270"/>
    <n v="95"/>
    <n v="25650"/>
    <n v="2565"/>
    <n v="28215.000000000004"/>
    <m/>
  </r>
  <r>
    <n v="294"/>
    <x v="4"/>
    <x v="4"/>
    <x v="0"/>
    <x v="0"/>
    <x v="4"/>
    <x v="0"/>
    <x v="0"/>
    <s v="1310"/>
    <s v="김태홍"/>
    <s v="e"/>
    <x v="0"/>
    <s v=""/>
    <x v="0"/>
    <x v="0"/>
    <s v="kg"/>
    <n v="260"/>
    <n v="95"/>
    <n v="24700"/>
    <n v="2470"/>
    <n v="27170.000000000004"/>
    <m/>
  </r>
  <r>
    <n v="295"/>
    <x v="4"/>
    <x v="4"/>
    <x v="0"/>
    <x v="0"/>
    <x v="4"/>
    <x v="0"/>
    <x v="0"/>
    <s v="7246"/>
    <s v="이승원"/>
    <s v="e"/>
    <x v="0"/>
    <s v=""/>
    <x v="0"/>
    <x v="0"/>
    <s v="kg"/>
    <n v="320"/>
    <n v="95"/>
    <n v="30400"/>
    <n v="3040"/>
    <n v="33440"/>
    <m/>
  </r>
  <r>
    <n v="296"/>
    <x v="4"/>
    <x v="4"/>
    <x v="0"/>
    <x v="0"/>
    <x v="4"/>
    <x v="0"/>
    <x v="0"/>
    <s v="8466"/>
    <s v="이영근"/>
    <s v="e"/>
    <x v="0"/>
    <s v=""/>
    <x v="0"/>
    <x v="0"/>
    <s v="kg"/>
    <n v="230"/>
    <n v="95"/>
    <n v="21850"/>
    <n v="2185"/>
    <n v="24035.000000000004"/>
    <m/>
  </r>
  <r>
    <n v="297"/>
    <x v="4"/>
    <x v="4"/>
    <x v="0"/>
    <x v="0"/>
    <x v="4"/>
    <x v="0"/>
    <x v="0"/>
    <s v="4096"/>
    <s v="박종휘"/>
    <s v="e"/>
    <x v="0"/>
    <s v=""/>
    <x v="0"/>
    <x v="0"/>
    <s v="kg"/>
    <n v="150"/>
    <n v="95"/>
    <n v="14250"/>
    <n v="1425"/>
    <n v="15675.000000000002"/>
    <m/>
  </r>
  <r>
    <n v="298"/>
    <x v="4"/>
    <x v="4"/>
    <x v="0"/>
    <x v="0"/>
    <x v="4"/>
    <x v="0"/>
    <x v="0"/>
    <s v="0439"/>
    <s v="최흥섭"/>
    <s v="e"/>
    <x v="0"/>
    <s v=""/>
    <x v="0"/>
    <x v="0"/>
    <s v="kg"/>
    <n v="150"/>
    <n v="95"/>
    <n v="14250"/>
    <n v="1425"/>
    <n v="15675.000000000002"/>
    <m/>
  </r>
  <r>
    <n v="299"/>
    <x v="4"/>
    <x v="4"/>
    <x v="0"/>
    <x v="0"/>
    <x v="4"/>
    <x v="0"/>
    <x v="0"/>
    <s v="8947"/>
    <s v="정주혁"/>
    <s v="e"/>
    <x v="0"/>
    <s v=""/>
    <x v="0"/>
    <x v="0"/>
    <s v="kg"/>
    <n v="130"/>
    <n v="95"/>
    <n v="12350"/>
    <n v="1235"/>
    <n v="13585.000000000002"/>
    <m/>
  </r>
  <r>
    <n v="300"/>
    <x v="4"/>
    <x v="4"/>
    <x v="0"/>
    <x v="0"/>
    <x v="4"/>
    <x v="0"/>
    <x v="0"/>
    <s v="2986"/>
    <s v="김대식"/>
    <s v="e"/>
    <x v="0"/>
    <s v=""/>
    <x v="0"/>
    <x v="0"/>
    <s v="kg"/>
    <n v="230"/>
    <n v="95"/>
    <n v="21850"/>
    <n v="2185"/>
    <n v="24035.000000000004"/>
    <m/>
  </r>
  <r>
    <n v="301"/>
    <x v="4"/>
    <x v="4"/>
    <x v="0"/>
    <x v="0"/>
    <x v="4"/>
    <x v="0"/>
    <x v="0"/>
    <s v="4618"/>
    <s v="강성완"/>
    <s v="e"/>
    <x v="0"/>
    <s v=""/>
    <x v="0"/>
    <x v="0"/>
    <s v="kg"/>
    <n v="360"/>
    <n v="95"/>
    <n v="34200"/>
    <n v="3420"/>
    <n v="37620"/>
    <m/>
  </r>
  <r>
    <n v="302"/>
    <x v="4"/>
    <x v="4"/>
    <x v="0"/>
    <x v="0"/>
    <x v="4"/>
    <x v="0"/>
    <x v="0"/>
    <s v="5245"/>
    <s v="정민호"/>
    <s v="e"/>
    <x v="0"/>
    <s v=""/>
    <x v="0"/>
    <x v="0"/>
    <s v="kg"/>
    <n v="310"/>
    <n v="95"/>
    <n v="29450"/>
    <n v="2945"/>
    <n v="32395.000000000004"/>
    <m/>
  </r>
  <r>
    <n v="303"/>
    <x v="4"/>
    <x v="4"/>
    <x v="0"/>
    <x v="0"/>
    <x v="4"/>
    <x v="0"/>
    <x v="0"/>
    <s v="8466"/>
    <s v="이영근"/>
    <s v="e"/>
    <x v="0"/>
    <s v=""/>
    <x v="0"/>
    <x v="0"/>
    <s v="kg"/>
    <n v="80"/>
    <n v="95"/>
    <n v="7600"/>
    <n v="760"/>
    <n v="8360"/>
    <m/>
  </r>
  <r>
    <n v="304"/>
    <x v="4"/>
    <x v="4"/>
    <x v="0"/>
    <x v="0"/>
    <x v="4"/>
    <x v="0"/>
    <x v="0"/>
    <s v="4618"/>
    <s v="강성완"/>
    <s v="e"/>
    <x v="0"/>
    <s v=""/>
    <x v="0"/>
    <x v="0"/>
    <s v="kg"/>
    <n v="160"/>
    <n v="95"/>
    <n v="15200"/>
    <n v="1520"/>
    <n v="16720"/>
    <m/>
  </r>
  <r>
    <n v="305"/>
    <x v="4"/>
    <x v="4"/>
    <x v="0"/>
    <x v="0"/>
    <x v="4"/>
    <x v="0"/>
    <x v="0"/>
    <s v="1806"/>
    <s v="김문식"/>
    <s v="e"/>
    <x v="0"/>
    <s v=""/>
    <x v="0"/>
    <x v="0"/>
    <s v="kg"/>
    <n v="260"/>
    <n v="95"/>
    <n v="24700"/>
    <n v="2470"/>
    <n v="27170.000000000004"/>
    <m/>
  </r>
  <r>
    <n v="306"/>
    <x v="4"/>
    <x v="4"/>
    <x v="0"/>
    <x v="0"/>
    <x v="4"/>
    <x v="0"/>
    <x v="0"/>
    <s v="5245"/>
    <s v="정민호"/>
    <s v="e"/>
    <x v="0"/>
    <s v=""/>
    <x v="0"/>
    <x v="0"/>
    <s v="kg"/>
    <n v="130"/>
    <n v="95"/>
    <n v="12350"/>
    <n v="1235"/>
    <n v="13585.000000000002"/>
    <m/>
  </r>
  <r>
    <n v="307"/>
    <x v="5"/>
    <x v="4"/>
    <x v="0"/>
    <x v="0"/>
    <x v="4"/>
    <x v="3"/>
    <x v="1"/>
    <s v="5597"/>
    <s v="이한규"/>
    <s v="e"/>
    <x v="0"/>
    <s v=""/>
    <x v="0"/>
    <x v="0"/>
    <s v="kg"/>
    <n v="320"/>
    <n v="85"/>
    <n v="27200"/>
    <n v="2720"/>
    <n v="29920.000000000004"/>
    <m/>
  </r>
  <r>
    <n v="308"/>
    <x v="5"/>
    <x v="4"/>
    <x v="0"/>
    <x v="0"/>
    <x v="4"/>
    <x v="3"/>
    <x v="1"/>
    <s v="5597"/>
    <s v="이한규"/>
    <s v="e"/>
    <x v="0"/>
    <s v=""/>
    <x v="0"/>
    <x v="0"/>
    <s v="kg"/>
    <n v="220"/>
    <n v="85"/>
    <n v="18700"/>
    <n v="1870"/>
    <n v="20570"/>
    <m/>
  </r>
  <r>
    <n v="309"/>
    <x v="5"/>
    <x v="4"/>
    <x v="0"/>
    <x v="0"/>
    <x v="4"/>
    <x v="3"/>
    <x v="1"/>
    <s v="5597"/>
    <s v="이한규"/>
    <s v="e"/>
    <x v="0"/>
    <s v=""/>
    <x v="0"/>
    <x v="0"/>
    <s v="kg"/>
    <n v="290"/>
    <n v="85"/>
    <n v="24650"/>
    <n v="2465"/>
    <n v="27115.000000000004"/>
    <m/>
  </r>
  <r>
    <n v="310"/>
    <x v="5"/>
    <x v="5"/>
    <x v="0"/>
    <x v="0"/>
    <x v="5"/>
    <x v="3"/>
    <x v="1"/>
    <s v="5597"/>
    <s v="이한규"/>
    <s v="e"/>
    <x v="0"/>
    <s v=""/>
    <x v="0"/>
    <x v="0"/>
    <s v="kg"/>
    <n v="300"/>
    <n v="85"/>
    <n v="25500"/>
    <n v="2550"/>
    <n v="28050.000000000004"/>
    <m/>
  </r>
  <r>
    <n v="311"/>
    <x v="5"/>
    <x v="5"/>
    <x v="0"/>
    <x v="0"/>
    <x v="5"/>
    <x v="3"/>
    <x v="1"/>
    <s v="5597"/>
    <s v="이한규"/>
    <s v="e"/>
    <x v="0"/>
    <s v=""/>
    <x v="0"/>
    <x v="0"/>
    <s v="kg"/>
    <n v="190"/>
    <n v="85"/>
    <n v="16150"/>
    <n v="1615"/>
    <n v="17765"/>
    <m/>
  </r>
  <r>
    <n v="312"/>
    <x v="5"/>
    <x v="5"/>
    <x v="0"/>
    <x v="0"/>
    <x v="5"/>
    <x v="3"/>
    <x v="1"/>
    <s v="5597"/>
    <s v="이한규"/>
    <s v="e"/>
    <x v="0"/>
    <s v=""/>
    <x v="0"/>
    <x v="0"/>
    <s v="kg"/>
    <n v="310"/>
    <n v="85"/>
    <n v="26350"/>
    <n v="2635"/>
    <n v="28985.000000000004"/>
    <m/>
  </r>
  <r>
    <n v="313"/>
    <x v="5"/>
    <x v="5"/>
    <x v="0"/>
    <x v="0"/>
    <x v="5"/>
    <x v="1"/>
    <x v="0"/>
    <s v="3089"/>
    <s v="이수페이퍼"/>
    <s v="cus"/>
    <x v="0"/>
    <s v=""/>
    <x v="0"/>
    <x v="1"/>
    <s v="kg"/>
    <n v="5230"/>
    <n v="90"/>
    <n v="470700"/>
    <n v="47070"/>
    <n v="517770.00000000006"/>
    <m/>
  </r>
  <r>
    <n v="314"/>
    <x v="5"/>
    <x v="5"/>
    <x v="0"/>
    <x v="0"/>
    <x v="5"/>
    <x v="2"/>
    <x v="0"/>
    <s v="3586"/>
    <s v="미래환경"/>
    <s v="cus"/>
    <x v="2"/>
    <s v=""/>
    <x v="3"/>
    <x v="1"/>
    <s v="kg"/>
    <n v="3910"/>
    <n v="0"/>
    <n v="0"/>
    <n v="0"/>
    <n v="0"/>
    <m/>
  </r>
  <r>
    <n v="315"/>
    <x v="5"/>
    <x v="5"/>
    <x v="0"/>
    <x v="0"/>
    <x v="5"/>
    <x v="2"/>
    <x v="0"/>
    <s v="3593"/>
    <s v="미래환경"/>
    <s v="cus"/>
    <x v="1"/>
    <s v=""/>
    <x v="1"/>
    <x v="1"/>
    <s v="kg"/>
    <n v="3720"/>
    <n v="0"/>
    <n v="0"/>
    <n v="0"/>
    <n v="0"/>
    <m/>
  </r>
  <r>
    <n v="316"/>
    <x v="5"/>
    <x v="5"/>
    <x v="0"/>
    <x v="0"/>
    <x v="5"/>
    <x v="2"/>
    <x v="0"/>
    <s v="1728"/>
    <s v="미래환경"/>
    <s v="cus"/>
    <x v="1"/>
    <s v=""/>
    <x v="1"/>
    <x v="1"/>
    <s v="kg"/>
    <n v="3575"/>
    <n v="0"/>
    <n v="0"/>
    <n v="0"/>
    <n v="0"/>
    <m/>
  </r>
  <r>
    <n v="317"/>
    <x v="5"/>
    <x v="5"/>
    <x v="0"/>
    <x v="0"/>
    <x v="5"/>
    <x v="1"/>
    <x v="0"/>
    <s v="1667"/>
    <s v="이수페이퍼"/>
    <s v="cus"/>
    <x v="0"/>
    <s v=""/>
    <x v="0"/>
    <x v="1"/>
    <s v="kg"/>
    <n v="5120"/>
    <n v="90"/>
    <n v="460800"/>
    <n v="46080"/>
    <n v="506880.00000000006"/>
    <m/>
  </r>
  <r>
    <n v="318"/>
    <x v="5"/>
    <x v="5"/>
    <x v="0"/>
    <x v="0"/>
    <x v="5"/>
    <x v="2"/>
    <x v="0"/>
    <s v="3581"/>
    <s v="미래환경"/>
    <s v="cus"/>
    <x v="2"/>
    <s v=""/>
    <x v="3"/>
    <x v="1"/>
    <s v="kg"/>
    <n v="4225"/>
    <n v="0"/>
    <n v="0"/>
    <n v="0"/>
    <n v="0"/>
    <m/>
  </r>
  <r>
    <n v="319"/>
    <x v="5"/>
    <x v="5"/>
    <x v="0"/>
    <x v="0"/>
    <x v="5"/>
    <x v="2"/>
    <x v="0"/>
    <s v="3592"/>
    <s v="미래환경"/>
    <s v="cus"/>
    <x v="1"/>
    <s v=""/>
    <x v="1"/>
    <x v="1"/>
    <s v="kg"/>
    <n v="2855"/>
    <n v="0"/>
    <n v="0"/>
    <n v="0"/>
    <n v="0"/>
    <m/>
  </r>
  <r>
    <n v="320"/>
    <x v="5"/>
    <x v="5"/>
    <x v="0"/>
    <x v="0"/>
    <x v="5"/>
    <x v="1"/>
    <x v="0"/>
    <s v="1667"/>
    <s v="이수페이퍼"/>
    <s v="cus"/>
    <x v="0"/>
    <s v=""/>
    <x v="0"/>
    <x v="1"/>
    <s v="kg"/>
    <n v="4535"/>
    <n v="90"/>
    <n v="408150"/>
    <n v="40815"/>
    <n v="448965.00000000006"/>
    <m/>
  </r>
  <r>
    <n v="321"/>
    <x v="5"/>
    <x v="5"/>
    <x v="0"/>
    <x v="0"/>
    <x v="5"/>
    <x v="2"/>
    <x v="0"/>
    <s v="3607"/>
    <s v="미래환경"/>
    <s v="cus"/>
    <x v="1"/>
    <s v=""/>
    <x v="1"/>
    <x v="1"/>
    <s v="kg"/>
    <n v="3890"/>
    <n v="0"/>
    <n v="0"/>
    <n v="0"/>
    <n v="0"/>
    <m/>
  </r>
  <r>
    <n v="322"/>
    <x v="5"/>
    <x v="5"/>
    <x v="0"/>
    <x v="0"/>
    <x v="5"/>
    <x v="5"/>
    <x v="0"/>
    <s v="3719"/>
    <s v="공병자원"/>
    <s v="cus"/>
    <x v="4"/>
    <s v="공병"/>
    <x v="5"/>
    <x v="1"/>
    <s v="kg"/>
    <n v="2415"/>
    <n v="220"/>
    <n v="531300"/>
    <n v="53130"/>
    <n v="584430"/>
    <m/>
  </r>
  <r>
    <n v="323"/>
    <x v="5"/>
    <x v="5"/>
    <x v="0"/>
    <x v="0"/>
    <x v="5"/>
    <x v="0"/>
    <x v="0"/>
    <s v="9390"/>
    <s v="정민원"/>
    <s v="e"/>
    <x v="0"/>
    <s v=""/>
    <x v="0"/>
    <x v="0"/>
    <s v="kg"/>
    <n v="140"/>
    <n v="95"/>
    <n v="13300"/>
    <n v="1330"/>
    <n v="14630.000000000002"/>
    <m/>
  </r>
  <r>
    <n v="324"/>
    <x v="5"/>
    <x v="5"/>
    <x v="0"/>
    <x v="0"/>
    <x v="5"/>
    <x v="0"/>
    <x v="0"/>
    <s v="7246"/>
    <s v="이승원"/>
    <s v="e"/>
    <x v="0"/>
    <s v=""/>
    <x v="0"/>
    <x v="0"/>
    <s v="kg"/>
    <n v="210"/>
    <n v="95"/>
    <n v="19950"/>
    <n v="1995"/>
    <n v="21945"/>
    <m/>
  </r>
  <r>
    <n v="325"/>
    <x v="5"/>
    <x v="5"/>
    <x v="0"/>
    <x v="0"/>
    <x v="5"/>
    <x v="0"/>
    <x v="0"/>
    <s v="5245"/>
    <s v="정민호"/>
    <s v="e"/>
    <x v="0"/>
    <s v=""/>
    <x v="0"/>
    <x v="0"/>
    <s v="kg"/>
    <n v="120"/>
    <n v="95"/>
    <n v="11400"/>
    <n v="1140"/>
    <n v="12540.000000000002"/>
    <m/>
  </r>
  <r>
    <n v="326"/>
    <x v="5"/>
    <x v="5"/>
    <x v="0"/>
    <x v="0"/>
    <x v="5"/>
    <x v="0"/>
    <x v="0"/>
    <s v="7246"/>
    <s v="이승원"/>
    <s v="e"/>
    <x v="0"/>
    <s v=""/>
    <x v="0"/>
    <x v="0"/>
    <s v="kg"/>
    <n v="170"/>
    <n v="95"/>
    <n v="16150"/>
    <n v="1615"/>
    <n v="17765"/>
    <m/>
  </r>
  <r>
    <n v="327"/>
    <x v="5"/>
    <x v="5"/>
    <x v="0"/>
    <x v="0"/>
    <x v="5"/>
    <x v="0"/>
    <x v="0"/>
    <s v="2986"/>
    <s v="김대식"/>
    <s v="e"/>
    <x v="0"/>
    <s v=""/>
    <x v="0"/>
    <x v="0"/>
    <s v="kg"/>
    <n v="150"/>
    <n v="95"/>
    <n v="14250"/>
    <n v="1425"/>
    <n v="15675.000000000002"/>
    <m/>
  </r>
  <r>
    <n v="328"/>
    <x v="5"/>
    <x v="5"/>
    <x v="0"/>
    <x v="0"/>
    <x v="5"/>
    <x v="0"/>
    <x v="0"/>
    <s v="9310"/>
    <s v="정상준"/>
    <s v="e"/>
    <x v="0"/>
    <s v=""/>
    <x v="0"/>
    <x v="0"/>
    <s v="kg"/>
    <n v="160"/>
    <n v="95"/>
    <n v="15200"/>
    <n v="1520"/>
    <n v="16720"/>
    <m/>
  </r>
  <r>
    <n v="329"/>
    <x v="5"/>
    <x v="5"/>
    <x v="0"/>
    <x v="0"/>
    <x v="5"/>
    <x v="0"/>
    <x v="0"/>
    <s v="0612"/>
    <s v="송환기"/>
    <s v="e"/>
    <x v="0"/>
    <s v=""/>
    <x v="0"/>
    <x v="0"/>
    <s v="kg"/>
    <n v="160"/>
    <n v="95"/>
    <n v="15200"/>
    <n v="1520"/>
    <n v="16720"/>
    <m/>
  </r>
  <r>
    <n v="330"/>
    <x v="5"/>
    <x v="5"/>
    <x v="0"/>
    <x v="0"/>
    <x v="5"/>
    <x v="0"/>
    <x v="0"/>
    <s v="1806"/>
    <s v="김문식"/>
    <s v="e"/>
    <x v="0"/>
    <s v=""/>
    <x v="0"/>
    <x v="0"/>
    <s v="kg"/>
    <n v="270"/>
    <n v="95"/>
    <n v="25650"/>
    <n v="2565"/>
    <n v="28215.000000000004"/>
    <m/>
  </r>
  <r>
    <n v="331"/>
    <x v="5"/>
    <x v="5"/>
    <x v="0"/>
    <x v="0"/>
    <x v="5"/>
    <x v="0"/>
    <x v="0"/>
    <s v="7246"/>
    <s v="이승원"/>
    <s v="e"/>
    <x v="0"/>
    <s v=""/>
    <x v="0"/>
    <x v="0"/>
    <s v="kg"/>
    <n v="180"/>
    <n v="95"/>
    <n v="17100"/>
    <n v="1710"/>
    <n v="18810"/>
    <m/>
  </r>
  <r>
    <n v="332"/>
    <x v="5"/>
    <x v="5"/>
    <x v="0"/>
    <x v="0"/>
    <x v="5"/>
    <x v="0"/>
    <x v="0"/>
    <s v="0612"/>
    <s v="송환기"/>
    <s v="e"/>
    <x v="0"/>
    <s v=""/>
    <x v="0"/>
    <x v="0"/>
    <s v="kg"/>
    <n v="110"/>
    <n v="95"/>
    <n v="10450"/>
    <n v="1045"/>
    <n v="11495.000000000002"/>
    <m/>
  </r>
  <r>
    <n v="333"/>
    <x v="5"/>
    <x v="5"/>
    <x v="0"/>
    <x v="0"/>
    <x v="5"/>
    <x v="0"/>
    <x v="0"/>
    <s v="8466"/>
    <s v="이영근"/>
    <s v="e"/>
    <x v="0"/>
    <s v=""/>
    <x v="0"/>
    <x v="0"/>
    <s v="kg"/>
    <n v="150"/>
    <n v="95"/>
    <n v="14250"/>
    <n v="1425"/>
    <n v="15675.000000000002"/>
    <m/>
  </r>
  <r>
    <n v="334"/>
    <x v="5"/>
    <x v="5"/>
    <x v="0"/>
    <x v="0"/>
    <x v="5"/>
    <x v="0"/>
    <x v="0"/>
    <s v="2986"/>
    <s v="김대식"/>
    <s v="e"/>
    <x v="0"/>
    <s v=""/>
    <x v="0"/>
    <x v="0"/>
    <s v="kg"/>
    <n v="240"/>
    <n v="95"/>
    <n v="22800"/>
    <n v="2280"/>
    <n v="25080.000000000004"/>
    <m/>
  </r>
  <r>
    <n v="335"/>
    <x v="5"/>
    <x v="5"/>
    <x v="0"/>
    <x v="0"/>
    <x v="5"/>
    <x v="0"/>
    <x v="0"/>
    <s v="4096"/>
    <s v="박종휘"/>
    <s v="e"/>
    <x v="0"/>
    <s v=""/>
    <x v="0"/>
    <x v="0"/>
    <s v="kg"/>
    <n v="100"/>
    <n v="95"/>
    <n v="9500"/>
    <n v="950"/>
    <n v="10450"/>
    <m/>
  </r>
  <r>
    <n v="336"/>
    <x v="5"/>
    <x v="5"/>
    <x v="0"/>
    <x v="0"/>
    <x v="5"/>
    <x v="0"/>
    <x v="0"/>
    <s v="9310"/>
    <s v="정상준"/>
    <s v="e"/>
    <x v="0"/>
    <s v=""/>
    <x v="0"/>
    <x v="0"/>
    <s v="kg"/>
    <n v="210"/>
    <n v="95"/>
    <n v="19950"/>
    <n v="1995"/>
    <n v="21945"/>
    <m/>
  </r>
  <r>
    <n v="337"/>
    <x v="5"/>
    <x v="5"/>
    <x v="0"/>
    <x v="0"/>
    <x v="5"/>
    <x v="0"/>
    <x v="0"/>
    <s v="7246"/>
    <s v="이승원"/>
    <s v="e"/>
    <x v="0"/>
    <s v=""/>
    <x v="0"/>
    <x v="0"/>
    <s v="kg"/>
    <n v="230"/>
    <n v="95"/>
    <n v="21850"/>
    <n v="2185"/>
    <n v="24035.000000000004"/>
    <m/>
  </r>
  <r>
    <n v="338"/>
    <x v="5"/>
    <x v="5"/>
    <x v="0"/>
    <x v="0"/>
    <x v="5"/>
    <x v="0"/>
    <x v="0"/>
    <s v="1806"/>
    <s v="김문식"/>
    <s v="e"/>
    <x v="0"/>
    <s v=""/>
    <x v="0"/>
    <x v="0"/>
    <s v="kg"/>
    <n v="120"/>
    <n v="95"/>
    <n v="11400"/>
    <n v="1140"/>
    <n v="12540.000000000002"/>
    <m/>
  </r>
  <r>
    <n v="339"/>
    <x v="5"/>
    <x v="5"/>
    <x v="0"/>
    <x v="0"/>
    <x v="5"/>
    <x v="0"/>
    <x v="0"/>
    <s v="4618"/>
    <s v="강성완"/>
    <s v="e"/>
    <x v="0"/>
    <s v=""/>
    <x v="0"/>
    <x v="0"/>
    <s v="kg"/>
    <n v="210"/>
    <n v="95"/>
    <n v="19950"/>
    <n v="1995"/>
    <n v="21945"/>
    <m/>
  </r>
  <r>
    <n v="340"/>
    <x v="5"/>
    <x v="5"/>
    <x v="0"/>
    <x v="0"/>
    <x v="5"/>
    <x v="0"/>
    <x v="0"/>
    <s v="8466"/>
    <s v="이영근"/>
    <s v="e"/>
    <x v="0"/>
    <s v=""/>
    <x v="0"/>
    <x v="0"/>
    <s v="kg"/>
    <n v="190"/>
    <n v="95"/>
    <n v="18050"/>
    <n v="1805"/>
    <n v="19855"/>
    <m/>
  </r>
  <r>
    <n v="341"/>
    <x v="5"/>
    <x v="5"/>
    <x v="0"/>
    <x v="0"/>
    <x v="5"/>
    <x v="0"/>
    <x v="0"/>
    <s v="1310"/>
    <s v="김태홍"/>
    <s v="e"/>
    <x v="0"/>
    <s v=""/>
    <x v="0"/>
    <x v="0"/>
    <s v="kg"/>
    <n v="250"/>
    <n v="95"/>
    <n v="23750"/>
    <n v="2375"/>
    <n v="26125.000000000004"/>
    <m/>
  </r>
  <r>
    <n v="342"/>
    <x v="5"/>
    <x v="5"/>
    <x v="0"/>
    <x v="0"/>
    <x v="5"/>
    <x v="0"/>
    <x v="0"/>
    <s v="0439"/>
    <s v="최흥섭"/>
    <s v="e"/>
    <x v="0"/>
    <s v=""/>
    <x v="0"/>
    <x v="0"/>
    <s v="kg"/>
    <n v="180"/>
    <n v="95"/>
    <n v="17100"/>
    <n v="1710"/>
    <n v="18810"/>
    <m/>
  </r>
  <r>
    <n v="343"/>
    <x v="5"/>
    <x v="5"/>
    <x v="0"/>
    <x v="0"/>
    <x v="5"/>
    <x v="0"/>
    <x v="0"/>
    <s v="8466"/>
    <s v="이영근"/>
    <s v="e"/>
    <x v="0"/>
    <s v=""/>
    <x v="0"/>
    <x v="0"/>
    <s v="kg"/>
    <n v="150"/>
    <n v="95"/>
    <n v="14250"/>
    <n v="1425"/>
    <n v="15675.000000000002"/>
    <m/>
  </r>
  <r>
    <n v="344"/>
    <x v="5"/>
    <x v="5"/>
    <x v="0"/>
    <x v="0"/>
    <x v="5"/>
    <x v="0"/>
    <x v="0"/>
    <s v="9149"/>
    <s v="이강업"/>
    <s v="e"/>
    <x v="0"/>
    <s v=""/>
    <x v="0"/>
    <x v="0"/>
    <s v="kg"/>
    <n v="450"/>
    <n v="95"/>
    <n v="42750"/>
    <n v="4275"/>
    <n v="47025.000000000007"/>
    <m/>
  </r>
  <r>
    <n v="345"/>
    <x v="5"/>
    <x v="5"/>
    <x v="0"/>
    <x v="0"/>
    <x v="5"/>
    <x v="0"/>
    <x v="0"/>
    <s v="4618"/>
    <s v="강성완"/>
    <s v="e"/>
    <x v="0"/>
    <s v=""/>
    <x v="0"/>
    <x v="0"/>
    <s v="kg"/>
    <n v="480"/>
    <n v="95"/>
    <n v="45600"/>
    <n v="4560"/>
    <n v="50160.000000000007"/>
    <m/>
  </r>
  <r>
    <n v="346"/>
    <x v="5"/>
    <x v="5"/>
    <x v="0"/>
    <x v="0"/>
    <x v="5"/>
    <x v="0"/>
    <x v="0"/>
    <s v="4618"/>
    <s v="강성완"/>
    <s v="e"/>
    <x v="0"/>
    <s v=""/>
    <x v="0"/>
    <x v="0"/>
    <s v="kg"/>
    <n v="230"/>
    <n v="95"/>
    <n v="21850"/>
    <n v="2185"/>
    <n v="24035.000000000004"/>
    <m/>
  </r>
  <r>
    <n v="347"/>
    <x v="5"/>
    <x v="5"/>
    <x v="0"/>
    <x v="0"/>
    <x v="5"/>
    <x v="0"/>
    <x v="0"/>
    <s v="0612"/>
    <s v="송환기"/>
    <s v="e"/>
    <x v="0"/>
    <s v=""/>
    <x v="0"/>
    <x v="0"/>
    <s v="kg"/>
    <n v="400"/>
    <n v="95"/>
    <n v="38000"/>
    <n v="3800"/>
    <n v="41800"/>
    <m/>
  </r>
  <r>
    <n v="348"/>
    <x v="5"/>
    <x v="5"/>
    <x v="0"/>
    <x v="0"/>
    <x v="5"/>
    <x v="0"/>
    <x v="0"/>
    <s v="7641"/>
    <s v="김운택"/>
    <s v="e"/>
    <x v="0"/>
    <s v=""/>
    <x v="2"/>
    <x v="0"/>
    <s v="kg"/>
    <n v="150"/>
    <n v="190"/>
    <n v="28500"/>
    <n v="2850"/>
    <n v="31350.000000000004"/>
    <m/>
  </r>
  <r>
    <n v="349"/>
    <x v="5"/>
    <x v="5"/>
    <x v="0"/>
    <x v="0"/>
    <x v="5"/>
    <x v="0"/>
    <x v="0"/>
    <s v="7641"/>
    <s v="김운택"/>
    <s v="e"/>
    <x v="0"/>
    <s v=""/>
    <x v="0"/>
    <x v="0"/>
    <s v="kg"/>
    <n v="260"/>
    <n v="95"/>
    <n v="24700"/>
    <n v="2470"/>
    <n v="27170.000000000004"/>
    <m/>
  </r>
  <r>
    <n v="350"/>
    <x v="5"/>
    <x v="5"/>
    <x v="0"/>
    <x v="0"/>
    <x v="5"/>
    <x v="3"/>
    <x v="0"/>
    <s v="9283"/>
    <s v="김동령"/>
    <s v="e"/>
    <x v="0"/>
    <s v=""/>
    <x v="0"/>
    <x v="0"/>
    <s v="kg"/>
    <n v="180"/>
    <n v="85"/>
    <n v="15300"/>
    <n v="1530"/>
    <n v="16830"/>
    <m/>
  </r>
  <r>
    <n v="351"/>
    <x v="5"/>
    <x v="5"/>
    <x v="0"/>
    <x v="0"/>
    <x v="5"/>
    <x v="3"/>
    <x v="0"/>
    <s v="9283"/>
    <s v="김동령"/>
    <s v="e"/>
    <x v="0"/>
    <s v=""/>
    <x v="0"/>
    <x v="0"/>
    <s v="kg"/>
    <n v="150"/>
    <n v="85"/>
    <n v="12750"/>
    <n v="1275"/>
    <n v="14025.000000000002"/>
    <m/>
  </r>
  <r>
    <n v="352"/>
    <x v="5"/>
    <x v="5"/>
    <x v="0"/>
    <x v="0"/>
    <x v="5"/>
    <x v="3"/>
    <x v="0"/>
    <s v="8255"/>
    <s v="정호석"/>
    <s v="e"/>
    <x v="0"/>
    <s v=""/>
    <x v="0"/>
    <x v="0"/>
    <s v="kg"/>
    <n v="260"/>
    <n v="85"/>
    <n v="22100"/>
    <n v="2210"/>
    <n v="24310.000000000004"/>
    <m/>
  </r>
  <r>
    <n v="353"/>
    <x v="5"/>
    <x v="5"/>
    <x v="0"/>
    <x v="0"/>
    <x v="5"/>
    <x v="3"/>
    <x v="0"/>
    <s v="6567"/>
    <s v="김승찬"/>
    <s v="e"/>
    <x v="0"/>
    <s v=""/>
    <x v="0"/>
    <x v="0"/>
    <s v="kg"/>
    <n v="220"/>
    <n v="85"/>
    <n v="18700"/>
    <n v="1870"/>
    <n v="20570"/>
    <m/>
  </r>
  <r>
    <n v="354"/>
    <x v="5"/>
    <x v="5"/>
    <x v="0"/>
    <x v="0"/>
    <x v="5"/>
    <x v="3"/>
    <x v="0"/>
    <s v="4750"/>
    <s v="황한천"/>
    <s v="e"/>
    <x v="0"/>
    <s v=""/>
    <x v="0"/>
    <x v="0"/>
    <s v="kg"/>
    <n v="270"/>
    <n v="85"/>
    <n v="22950"/>
    <n v="2295"/>
    <n v="25245.000000000004"/>
    <m/>
  </r>
  <r>
    <n v="355"/>
    <x v="5"/>
    <x v="5"/>
    <x v="0"/>
    <x v="0"/>
    <x v="5"/>
    <x v="3"/>
    <x v="0"/>
    <s v="9283"/>
    <s v="김동령"/>
    <s v="e"/>
    <x v="0"/>
    <s v=""/>
    <x v="0"/>
    <x v="0"/>
    <s v="kg"/>
    <n v="80"/>
    <n v="85"/>
    <n v="6800"/>
    <n v="680"/>
    <n v="7480.0000000000009"/>
    <m/>
  </r>
  <r>
    <n v="356"/>
    <x v="5"/>
    <x v="5"/>
    <x v="0"/>
    <x v="0"/>
    <x v="5"/>
    <x v="3"/>
    <x v="0"/>
    <s v="2207"/>
    <s v="이희덕"/>
    <s v="e"/>
    <x v="0"/>
    <s v=""/>
    <x v="0"/>
    <x v="0"/>
    <s v="kg"/>
    <n v="330"/>
    <n v="85"/>
    <n v="28050"/>
    <n v="2805"/>
    <n v="30855.000000000004"/>
    <m/>
  </r>
  <r>
    <n v="357"/>
    <x v="5"/>
    <x v="5"/>
    <x v="0"/>
    <x v="0"/>
    <x v="5"/>
    <x v="3"/>
    <x v="0"/>
    <s v="0439"/>
    <s v="최흥섭"/>
    <s v="e"/>
    <x v="0"/>
    <s v=""/>
    <x v="0"/>
    <x v="0"/>
    <s v="kg"/>
    <n v="220"/>
    <n v="85"/>
    <n v="18700"/>
    <n v="1870"/>
    <n v="20570"/>
    <m/>
  </r>
  <r>
    <n v="358"/>
    <x v="5"/>
    <x v="5"/>
    <x v="0"/>
    <x v="0"/>
    <x v="5"/>
    <x v="3"/>
    <x v="0"/>
    <s v="8769"/>
    <s v="수정자원"/>
    <s v="cus"/>
    <x v="0"/>
    <s v=""/>
    <x v="0"/>
    <x v="1"/>
    <s v="kg"/>
    <n v="3800"/>
    <n v="85"/>
    <n v="323000"/>
    <n v="32300"/>
    <n v="355300"/>
    <m/>
  </r>
  <r>
    <n v="359"/>
    <x v="5"/>
    <x v="5"/>
    <x v="0"/>
    <x v="0"/>
    <x v="5"/>
    <x v="3"/>
    <x v="0"/>
    <s v="0616"/>
    <s v="권명노"/>
    <s v="e"/>
    <x v="0"/>
    <s v=""/>
    <x v="0"/>
    <x v="0"/>
    <s v="kg"/>
    <n v="300"/>
    <n v="85"/>
    <n v="25500"/>
    <n v="2550"/>
    <n v="28050.000000000004"/>
    <m/>
  </r>
  <r>
    <n v="360"/>
    <x v="5"/>
    <x v="5"/>
    <x v="0"/>
    <x v="0"/>
    <x v="5"/>
    <x v="3"/>
    <x v="0"/>
    <s v="4886"/>
    <s v="박준철"/>
    <s v="e"/>
    <x v="0"/>
    <s v=""/>
    <x v="0"/>
    <x v="0"/>
    <s v="kg"/>
    <n v="280"/>
    <n v="85"/>
    <n v="23800"/>
    <n v="2380"/>
    <n v="26180.000000000004"/>
    <m/>
  </r>
  <r>
    <n v="361"/>
    <x v="5"/>
    <x v="5"/>
    <x v="0"/>
    <x v="0"/>
    <x v="5"/>
    <x v="3"/>
    <x v="0"/>
    <s v="0439"/>
    <s v="최흥섭"/>
    <s v="e"/>
    <x v="0"/>
    <s v=""/>
    <x v="0"/>
    <x v="0"/>
    <s v="kg"/>
    <n v="140"/>
    <n v="85"/>
    <n v="11900"/>
    <n v="1190"/>
    <n v="13090.000000000002"/>
    <m/>
  </r>
  <r>
    <n v="362"/>
    <x v="5"/>
    <x v="5"/>
    <x v="0"/>
    <x v="0"/>
    <x v="5"/>
    <x v="3"/>
    <x v="0"/>
    <s v="6567"/>
    <s v="김승찬"/>
    <s v="e"/>
    <x v="0"/>
    <s v=""/>
    <x v="0"/>
    <x v="0"/>
    <s v="kg"/>
    <n v="150"/>
    <n v="85"/>
    <n v="12750"/>
    <n v="1275"/>
    <n v="14025.000000000002"/>
    <m/>
  </r>
  <r>
    <n v="363"/>
    <x v="5"/>
    <x v="5"/>
    <x v="0"/>
    <x v="0"/>
    <x v="5"/>
    <x v="3"/>
    <x v="0"/>
    <s v="3855"/>
    <s v="허범진"/>
    <s v="e"/>
    <x v="0"/>
    <s v=""/>
    <x v="0"/>
    <x v="0"/>
    <s v="kg"/>
    <n v="150"/>
    <n v="85"/>
    <n v="12750"/>
    <n v="1275"/>
    <n v="14025.000000000002"/>
    <m/>
  </r>
  <r>
    <n v="364"/>
    <x v="5"/>
    <x v="5"/>
    <x v="0"/>
    <x v="0"/>
    <x v="5"/>
    <x v="3"/>
    <x v="0"/>
    <s v="8876"/>
    <s v="이갑성"/>
    <s v="e"/>
    <x v="0"/>
    <s v=""/>
    <x v="0"/>
    <x v="0"/>
    <s v="kg"/>
    <n v="250"/>
    <n v="85"/>
    <n v="21250"/>
    <n v="2125"/>
    <n v="23375.000000000004"/>
    <m/>
  </r>
  <r>
    <n v="365"/>
    <x v="5"/>
    <x v="5"/>
    <x v="0"/>
    <x v="0"/>
    <x v="5"/>
    <x v="3"/>
    <x v="0"/>
    <s v="8255"/>
    <s v="정호석"/>
    <s v="e"/>
    <x v="0"/>
    <s v=""/>
    <x v="0"/>
    <x v="0"/>
    <s v="kg"/>
    <n v="170"/>
    <n v="85"/>
    <n v="14450"/>
    <n v="1445"/>
    <n v="15895.000000000002"/>
    <m/>
  </r>
  <r>
    <n v="366"/>
    <x v="5"/>
    <x v="5"/>
    <x v="0"/>
    <x v="0"/>
    <x v="5"/>
    <x v="3"/>
    <x v="0"/>
    <s v="0439"/>
    <s v="최흥섭"/>
    <s v="e"/>
    <x v="0"/>
    <s v=""/>
    <x v="0"/>
    <x v="0"/>
    <s v="kg"/>
    <n v="90"/>
    <n v="85"/>
    <n v="7650"/>
    <n v="765"/>
    <n v="8415"/>
    <m/>
  </r>
  <r>
    <n v="367"/>
    <x v="5"/>
    <x v="5"/>
    <x v="0"/>
    <x v="0"/>
    <x v="5"/>
    <x v="3"/>
    <x v="0"/>
    <s v="3855"/>
    <s v="허범진"/>
    <s v="e"/>
    <x v="0"/>
    <s v=""/>
    <x v="0"/>
    <x v="0"/>
    <s v="kg"/>
    <n v="190"/>
    <n v="85"/>
    <n v="16150"/>
    <n v="1615"/>
    <n v="17765"/>
    <m/>
  </r>
  <r>
    <n v="368"/>
    <x v="5"/>
    <x v="5"/>
    <x v="0"/>
    <x v="0"/>
    <x v="5"/>
    <x v="3"/>
    <x v="0"/>
    <s v="8769"/>
    <s v="수정자원"/>
    <s v="cus"/>
    <x v="0"/>
    <s v=""/>
    <x v="0"/>
    <x v="1"/>
    <s v="kg"/>
    <n v="4050"/>
    <n v="85"/>
    <n v="344250"/>
    <n v="34425"/>
    <n v="378675.00000000006"/>
    <m/>
  </r>
  <r>
    <n v="369"/>
    <x v="5"/>
    <x v="5"/>
    <x v="0"/>
    <x v="0"/>
    <x v="5"/>
    <x v="3"/>
    <x v="0"/>
    <s v="8876"/>
    <s v="이갑성"/>
    <s v="e"/>
    <x v="0"/>
    <s v=""/>
    <x v="0"/>
    <x v="0"/>
    <s v="kg"/>
    <n v="190"/>
    <n v="85"/>
    <n v="16150"/>
    <n v="1615"/>
    <n v="17765"/>
    <m/>
  </r>
  <r>
    <n v="370"/>
    <x v="5"/>
    <x v="5"/>
    <x v="0"/>
    <x v="0"/>
    <x v="5"/>
    <x v="3"/>
    <x v="0"/>
    <s v="0616"/>
    <s v="권명노"/>
    <s v="e"/>
    <x v="0"/>
    <s v=""/>
    <x v="0"/>
    <x v="0"/>
    <s v="kg"/>
    <n v="60"/>
    <n v="85"/>
    <n v="5100"/>
    <n v="510"/>
    <n v="5610"/>
    <m/>
  </r>
  <r>
    <n v="371"/>
    <x v="5"/>
    <x v="5"/>
    <x v="0"/>
    <x v="0"/>
    <x v="5"/>
    <x v="3"/>
    <x v="0"/>
    <s v="8769"/>
    <s v="수정자원"/>
    <s v="cus"/>
    <x v="0"/>
    <s v=""/>
    <x v="0"/>
    <x v="0"/>
    <s v="kg"/>
    <n v="3840"/>
    <n v="85"/>
    <n v="326400"/>
    <n v="32640"/>
    <n v="359040"/>
    <m/>
  </r>
  <r>
    <n v="372"/>
    <x v="5"/>
    <x v="5"/>
    <x v="0"/>
    <x v="0"/>
    <x v="5"/>
    <x v="3"/>
    <x v="0"/>
    <s v="0641"/>
    <s v="김우기"/>
    <s v="e"/>
    <x v="0"/>
    <s v=""/>
    <x v="0"/>
    <x v="0"/>
    <s v="kg"/>
    <n v="100"/>
    <n v="85"/>
    <n v="8500"/>
    <n v="850"/>
    <n v="9350"/>
    <m/>
  </r>
  <r>
    <n v="373"/>
    <x v="5"/>
    <x v="5"/>
    <x v="0"/>
    <x v="0"/>
    <x v="5"/>
    <x v="3"/>
    <x v="0"/>
    <s v="6567"/>
    <s v="김승찬"/>
    <s v="e"/>
    <x v="0"/>
    <s v=""/>
    <x v="0"/>
    <x v="0"/>
    <s v="kg"/>
    <n v="100"/>
    <n v="85"/>
    <n v="8500"/>
    <n v="850"/>
    <n v="9350"/>
    <m/>
  </r>
  <r>
    <n v="374"/>
    <x v="5"/>
    <x v="5"/>
    <x v="0"/>
    <x v="0"/>
    <x v="5"/>
    <x v="3"/>
    <x v="0"/>
    <s v="6567"/>
    <s v="김승찬"/>
    <s v="e"/>
    <x v="0"/>
    <s v=""/>
    <x v="0"/>
    <x v="0"/>
    <s v="kg"/>
    <n v="80"/>
    <n v="85"/>
    <n v="6800"/>
    <n v="680"/>
    <n v="7480.0000000000009"/>
    <m/>
  </r>
  <r>
    <n v="375"/>
    <x v="5"/>
    <x v="5"/>
    <x v="0"/>
    <x v="0"/>
    <x v="5"/>
    <x v="3"/>
    <x v="0"/>
    <s v="2207"/>
    <s v="이희덕"/>
    <s v="e"/>
    <x v="0"/>
    <s v=""/>
    <x v="0"/>
    <x v="0"/>
    <s v="kg"/>
    <n v="90"/>
    <n v="85"/>
    <n v="7650"/>
    <n v="765"/>
    <n v="8415"/>
    <m/>
  </r>
  <r>
    <n v="376"/>
    <x v="5"/>
    <x v="5"/>
    <x v="0"/>
    <x v="0"/>
    <x v="5"/>
    <x v="3"/>
    <x v="0"/>
    <s v="6567"/>
    <s v="김승찬"/>
    <s v="e"/>
    <x v="0"/>
    <s v=""/>
    <x v="0"/>
    <x v="0"/>
    <s v="kg"/>
    <n v="180"/>
    <n v="85"/>
    <n v="15300"/>
    <n v="1530"/>
    <n v="16830"/>
    <m/>
  </r>
  <r>
    <n v="377"/>
    <x v="5"/>
    <x v="5"/>
    <x v="0"/>
    <x v="0"/>
    <x v="5"/>
    <x v="3"/>
    <x v="0"/>
    <s v="2207"/>
    <s v="이희덕"/>
    <s v="e"/>
    <x v="0"/>
    <s v=""/>
    <x v="0"/>
    <x v="0"/>
    <s v="kg"/>
    <n v="100"/>
    <n v="85"/>
    <n v="8500"/>
    <n v="850"/>
    <n v="9350"/>
    <m/>
  </r>
  <r>
    <n v="378"/>
    <x v="6"/>
    <x v="6"/>
    <x v="0"/>
    <x v="0"/>
    <x v="6"/>
    <x v="1"/>
    <x v="0"/>
    <s v="5931"/>
    <s v="이수페이퍼"/>
    <s v="cus"/>
    <x v="0"/>
    <s v=""/>
    <x v="0"/>
    <x v="1"/>
    <s v="kg"/>
    <n v="4075"/>
    <n v="90"/>
    <n v="366750"/>
    <n v="36675"/>
    <n v="403425.00000000006"/>
    <m/>
  </r>
  <r>
    <n v="379"/>
    <x v="6"/>
    <x v="6"/>
    <x v="0"/>
    <x v="0"/>
    <x v="6"/>
    <x v="2"/>
    <x v="0"/>
    <s v="1728"/>
    <s v="미래환경"/>
    <s v="cus"/>
    <x v="1"/>
    <s v=""/>
    <x v="1"/>
    <x v="1"/>
    <s v="kg"/>
    <n v="3230"/>
    <n v="0"/>
    <n v="0"/>
    <n v="0"/>
    <n v="0"/>
    <m/>
  </r>
  <r>
    <n v="380"/>
    <x v="6"/>
    <x v="6"/>
    <x v="0"/>
    <x v="0"/>
    <x v="6"/>
    <x v="1"/>
    <x v="0"/>
    <s v="2632"/>
    <s v="이수페이퍼"/>
    <s v="cus"/>
    <x v="0"/>
    <s v=""/>
    <x v="0"/>
    <x v="1"/>
    <s v="kg"/>
    <n v="4430"/>
    <n v="90"/>
    <n v="398700"/>
    <n v="39870"/>
    <n v="438570.00000000006"/>
    <m/>
  </r>
  <r>
    <n v="381"/>
    <x v="6"/>
    <x v="6"/>
    <x v="0"/>
    <x v="0"/>
    <x v="6"/>
    <x v="1"/>
    <x v="0"/>
    <s v="1667"/>
    <s v="이수페이퍼"/>
    <s v="cus"/>
    <x v="0"/>
    <s v=""/>
    <x v="0"/>
    <x v="1"/>
    <s v="kg"/>
    <n v="5845"/>
    <n v="90"/>
    <n v="526050"/>
    <n v="52605"/>
    <n v="578655"/>
    <m/>
  </r>
  <r>
    <n v="382"/>
    <x v="6"/>
    <x v="6"/>
    <x v="0"/>
    <x v="0"/>
    <x v="6"/>
    <x v="2"/>
    <x v="0"/>
    <s v="3581"/>
    <s v="미래환경"/>
    <s v="cus"/>
    <x v="2"/>
    <s v=""/>
    <x v="3"/>
    <x v="1"/>
    <s v="kg"/>
    <n v="3625"/>
    <n v="0"/>
    <n v="0"/>
    <n v="0"/>
    <n v="0"/>
    <m/>
  </r>
  <r>
    <n v="383"/>
    <x v="6"/>
    <x v="6"/>
    <x v="0"/>
    <x v="0"/>
    <x v="6"/>
    <x v="1"/>
    <x v="0"/>
    <s v="1667"/>
    <s v="이수페이퍼"/>
    <s v="cus"/>
    <x v="0"/>
    <s v=""/>
    <x v="0"/>
    <x v="1"/>
    <s v="kg"/>
    <n v="14655"/>
    <n v="90"/>
    <n v="1318950"/>
    <n v="131895"/>
    <n v="1450845.0000000002"/>
    <m/>
  </r>
  <r>
    <n v="384"/>
    <x v="6"/>
    <x v="6"/>
    <x v="0"/>
    <x v="0"/>
    <x v="6"/>
    <x v="1"/>
    <x v="0"/>
    <s v="5931"/>
    <s v="이수페이퍼"/>
    <s v="cus"/>
    <x v="0"/>
    <s v=""/>
    <x v="0"/>
    <x v="1"/>
    <s v="kg"/>
    <n v="3330"/>
    <n v="90"/>
    <n v="299700"/>
    <n v="29970"/>
    <n v="329670"/>
    <m/>
  </r>
  <r>
    <n v="385"/>
    <x v="6"/>
    <x v="6"/>
    <x v="0"/>
    <x v="0"/>
    <x v="6"/>
    <x v="0"/>
    <x v="0"/>
    <s v="9390"/>
    <s v="정민원"/>
    <s v="e"/>
    <x v="0"/>
    <s v=""/>
    <x v="0"/>
    <x v="0"/>
    <s v="kg"/>
    <n v="110"/>
    <n v="95"/>
    <n v="10450"/>
    <n v="1045"/>
    <n v="11495.000000000002"/>
    <m/>
  </r>
  <r>
    <n v="386"/>
    <x v="6"/>
    <x v="6"/>
    <x v="0"/>
    <x v="0"/>
    <x v="6"/>
    <x v="0"/>
    <x v="0"/>
    <s v="4618"/>
    <s v="강성완"/>
    <s v="e"/>
    <x v="0"/>
    <s v=""/>
    <x v="0"/>
    <x v="0"/>
    <s v="kg"/>
    <n v="200"/>
    <n v="95"/>
    <n v="19000"/>
    <n v="1900"/>
    <n v="20900"/>
    <m/>
  </r>
  <r>
    <n v="387"/>
    <x v="6"/>
    <x v="6"/>
    <x v="0"/>
    <x v="0"/>
    <x v="6"/>
    <x v="0"/>
    <x v="0"/>
    <s v="7246"/>
    <s v="이승원"/>
    <s v="e"/>
    <x v="0"/>
    <s v=""/>
    <x v="0"/>
    <x v="0"/>
    <s v="kg"/>
    <n v="240"/>
    <n v="95"/>
    <n v="22800"/>
    <n v="2280"/>
    <n v="25080.000000000004"/>
    <m/>
  </r>
  <r>
    <n v="388"/>
    <x v="6"/>
    <x v="6"/>
    <x v="0"/>
    <x v="0"/>
    <x v="6"/>
    <x v="0"/>
    <x v="0"/>
    <s v="5245"/>
    <s v="정민호"/>
    <s v="e"/>
    <x v="0"/>
    <s v=""/>
    <x v="0"/>
    <x v="0"/>
    <s v="kg"/>
    <n v="160"/>
    <n v="95"/>
    <n v="15200"/>
    <n v="1520"/>
    <n v="16720"/>
    <m/>
  </r>
  <r>
    <n v="389"/>
    <x v="6"/>
    <x v="6"/>
    <x v="0"/>
    <x v="0"/>
    <x v="6"/>
    <x v="0"/>
    <x v="0"/>
    <s v="7246"/>
    <s v="이승원"/>
    <s v="e"/>
    <x v="0"/>
    <s v=""/>
    <x v="0"/>
    <x v="0"/>
    <s v="kg"/>
    <n v="190"/>
    <n v="95"/>
    <n v="18050"/>
    <n v="1805"/>
    <n v="19855"/>
    <m/>
  </r>
  <r>
    <n v="390"/>
    <x v="6"/>
    <x v="6"/>
    <x v="0"/>
    <x v="0"/>
    <x v="6"/>
    <x v="0"/>
    <x v="0"/>
    <s v="2986"/>
    <s v="김대식"/>
    <s v="e"/>
    <x v="0"/>
    <s v=""/>
    <x v="0"/>
    <x v="0"/>
    <s v="kg"/>
    <n v="190"/>
    <n v="95"/>
    <n v="18050"/>
    <n v="1805"/>
    <n v="19855"/>
    <m/>
  </r>
  <r>
    <n v="391"/>
    <x v="6"/>
    <x v="6"/>
    <x v="0"/>
    <x v="0"/>
    <x v="6"/>
    <x v="0"/>
    <x v="0"/>
    <s v="9310"/>
    <s v="정상준"/>
    <s v="e"/>
    <x v="0"/>
    <s v=""/>
    <x v="0"/>
    <x v="0"/>
    <s v="kg"/>
    <n v="210"/>
    <n v="95"/>
    <n v="19950"/>
    <n v="1995"/>
    <n v="21945"/>
    <m/>
  </r>
  <r>
    <n v="392"/>
    <x v="6"/>
    <x v="6"/>
    <x v="0"/>
    <x v="0"/>
    <x v="6"/>
    <x v="0"/>
    <x v="0"/>
    <s v="7246"/>
    <s v="이승원"/>
    <s v="e"/>
    <x v="0"/>
    <s v=""/>
    <x v="0"/>
    <x v="0"/>
    <s v="kg"/>
    <n v="210"/>
    <n v="95"/>
    <n v="19950"/>
    <n v="1995"/>
    <n v="21945"/>
    <m/>
  </r>
  <r>
    <n v="393"/>
    <x v="6"/>
    <x v="6"/>
    <x v="0"/>
    <x v="0"/>
    <x v="6"/>
    <x v="0"/>
    <x v="0"/>
    <s v="5245"/>
    <s v="정민호"/>
    <s v="e"/>
    <x v="0"/>
    <s v=""/>
    <x v="0"/>
    <x v="0"/>
    <s v="kg"/>
    <n v="170"/>
    <n v="95"/>
    <n v="16150"/>
    <n v="1615"/>
    <n v="17765"/>
    <m/>
  </r>
  <r>
    <n v="394"/>
    <x v="6"/>
    <x v="6"/>
    <x v="0"/>
    <x v="0"/>
    <x v="6"/>
    <x v="0"/>
    <x v="0"/>
    <s v="2986"/>
    <s v="김대식"/>
    <s v="e"/>
    <x v="0"/>
    <s v=""/>
    <x v="0"/>
    <x v="0"/>
    <s v="kg"/>
    <n v="250"/>
    <n v="95"/>
    <n v="23750"/>
    <n v="2375"/>
    <n v="26125.000000000004"/>
    <m/>
  </r>
  <r>
    <n v="395"/>
    <x v="6"/>
    <x v="6"/>
    <x v="0"/>
    <x v="0"/>
    <x v="6"/>
    <x v="0"/>
    <x v="0"/>
    <s v="9310"/>
    <s v="정상준"/>
    <s v="e"/>
    <x v="0"/>
    <s v=""/>
    <x v="0"/>
    <x v="0"/>
    <s v="kg"/>
    <n v="340"/>
    <n v="95"/>
    <n v="32300"/>
    <n v="3230"/>
    <n v="35530"/>
    <m/>
  </r>
  <r>
    <n v="396"/>
    <x v="6"/>
    <x v="6"/>
    <x v="0"/>
    <x v="0"/>
    <x v="6"/>
    <x v="0"/>
    <x v="0"/>
    <s v="8466"/>
    <s v="이영근"/>
    <s v="e"/>
    <x v="0"/>
    <s v=""/>
    <x v="0"/>
    <x v="0"/>
    <s v="kg"/>
    <n v="150"/>
    <n v="95"/>
    <n v="14250"/>
    <n v="1425"/>
    <n v="15675.000000000002"/>
    <m/>
  </r>
  <r>
    <n v="397"/>
    <x v="6"/>
    <x v="6"/>
    <x v="0"/>
    <x v="0"/>
    <x v="6"/>
    <x v="0"/>
    <x v="0"/>
    <s v="5245"/>
    <s v="정민호"/>
    <s v="e"/>
    <x v="0"/>
    <s v=""/>
    <x v="0"/>
    <x v="0"/>
    <s v="kg"/>
    <n v="90"/>
    <n v="95"/>
    <n v="8550"/>
    <n v="855"/>
    <n v="9405"/>
    <m/>
  </r>
  <r>
    <n v="398"/>
    <x v="6"/>
    <x v="6"/>
    <x v="0"/>
    <x v="0"/>
    <x v="6"/>
    <x v="0"/>
    <x v="0"/>
    <s v="0612"/>
    <s v="송환기"/>
    <s v="e"/>
    <x v="0"/>
    <s v=""/>
    <x v="0"/>
    <x v="0"/>
    <s v="kg"/>
    <n v="190"/>
    <n v="95"/>
    <n v="18050"/>
    <n v="1805"/>
    <n v="19855"/>
    <m/>
  </r>
  <r>
    <n v="399"/>
    <x v="6"/>
    <x v="6"/>
    <x v="0"/>
    <x v="0"/>
    <x v="6"/>
    <x v="0"/>
    <x v="0"/>
    <s v="0439"/>
    <s v="최흥섭"/>
    <s v="e"/>
    <x v="0"/>
    <s v=""/>
    <x v="0"/>
    <x v="0"/>
    <s v="kg"/>
    <n v="220"/>
    <n v="95"/>
    <n v="20900"/>
    <n v="2090"/>
    <n v="22990.000000000004"/>
    <m/>
  </r>
  <r>
    <n v="400"/>
    <x v="6"/>
    <x v="6"/>
    <x v="0"/>
    <x v="0"/>
    <x v="6"/>
    <x v="0"/>
    <x v="0"/>
    <s v="8466"/>
    <s v="이영근"/>
    <s v="e"/>
    <x v="0"/>
    <s v=""/>
    <x v="0"/>
    <x v="0"/>
    <s v="kg"/>
    <n v="290"/>
    <n v="95"/>
    <n v="27550"/>
    <n v="2755"/>
    <n v="30305.000000000004"/>
    <m/>
  </r>
  <r>
    <n v="401"/>
    <x v="6"/>
    <x v="6"/>
    <x v="0"/>
    <x v="0"/>
    <x v="6"/>
    <x v="0"/>
    <x v="0"/>
    <s v="2986"/>
    <s v="김대식"/>
    <s v="e"/>
    <x v="0"/>
    <s v=""/>
    <x v="0"/>
    <x v="0"/>
    <s v="kg"/>
    <n v="400"/>
    <n v="95"/>
    <n v="38000"/>
    <n v="3800"/>
    <n v="41800"/>
    <m/>
  </r>
  <r>
    <n v="402"/>
    <x v="6"/>
    <x v="6"/>
    <x v="0"/>
    <x v="0"/>
    <x v="6"/>
    <x v="0"/>
    <x v="0"/>
    <s v="8466"/>
    <s v="이영근"/>
    <s v="e"/>
    <x v="0"/>
    <s v=""/>
    <x v="0"/>
    <x v="0"/>
    <s v="kg"/>
    <n v="220"/>
    <n v="95"/>
    <n v="20900"/>
    <n v="2090"/>
    <n v="22990.000000000004"/>
    <m/>
  </r>
  <r>
    <n v="403"/>
    <x v="6"/>
    <x v="6"/>
    <x v="0"/>
    <x v="0"/>
    <x v="6"/>
    <x v="0"/>
    <x v="0"/>
    <s v="5245"/>
    <s v="정민호"/>
    <s v="e"/>
    <x v="0"/>
    <s v=""/>
    <x v="0"/>
    <x v="0"/>
    <s v="kg"/>
    <n v="210"/>
    <n v="95"/>
    <n v="19950"/>
    <n v="1995"/>
    <n v="21945"/>
    <m/>
  </r>
  <r>
    <n v="404"/>
    <x v="6"/>
    <x v="6"/>
    <x v="0"/>
    <x v="0"/>
    <x v="6"/>
    <x v="0"/>
    <x v="0"/>
    <s v="0612"/>
    <s v="송환기"/>
    <s v="e"/>
    <x v="0"/>
    <s v=""/>
    <x v="0"/>
    <x v="0"/>
    <s v="kg"/>
    <n v="330"/>
    <n v="95"/>
    <n v="31350"/>
    <n v="3135"/>
    <n v="34485"/>
    <m/>
  </r>
  <r>
    <n v="405"/>
    <x v="6"/>
    <x v="6"/>
    <x v="0"/>
    <x v="0"/>
    <x v="6"/>
    <x v="0"/>
    <x v="0"/>
    <s v="2986"/>
    <s v="김대식"/>
    <s v="e"/>
    <x v="0"/>
    <s v=""/>
    <x v="0"/>
    <x v="0"/>
    <s v="kg"/>
    <n v="220"/>
    <n v="95"/>
    <n v="20900"/>
    <n v="2090"/>
    <n v="22990.000000000004"/>
    <m/>
  </r>
  <r>
    <n v="406"/>
    <x v="6"/>
    <x v="6"/>
    <x v="0"/>
    <x v="0"/>
    <x v="6"/>
    <x v="0"/>
    <x v="0"/>
    <s v="7246"/>
    <s v="이승원"/>
    <s v="e"/>
    <x v="0"/>
    <s v=""/>
    <x v="0"/>
    <x v="0"/>
    <s v="kg"/>
    <n v="270"/>
    <n v="95"/>
    <n v="25650"/>
    <n v="2565"/>
    <n v="28215.000000000004"/>
    <m/>
  </r>
  <r>
    <n v="407"/>
    <x v="6"/>
    <x v="6"/>
    <x v="0"/>
    <x v="0"/>
    <x v="6"/>
    <x v="0"/>
    <x v="0"/>
    <s v="8466"/>
    <s v="이영근"/>
    <s v="e"/>
    <x v="0"/>
    <s v=""/>
    <x v="0"/>
    <x v="0"/>
    <s v="kg"/>
    <n v="130"/>
    <n v="95"/>
    <n v="12350"/>
    <n v="1235"/>
    <n v="13585.000000000002"/>
    <m/>
  </r>
  <r>
    <n v="408"/>
    <x v="6"/>
    <x v="6"/>
    <x v="0"/>
    <x v="0"/>
    <x v="6"/>
    <x v="0"/>
    <x v="0"/>
    <s v="5245"/>
    <s v="정민호"/>
    <s v="e"/>
    <x v="0"/>
    <s v=""/>
    <x v="0"/>
    <x v="0"/>
    <s v="kg"/>
    <n v="170"/>
    <n v="95"/>
    <n v="16150"/>
    <n v="1615"/>
    <n v="17765"/>
    <m/>
  </r>
  <r>
    <n v="409"/>
    <x v="6"/>
    <x v="6"/>
    <x v="0"/>
    <x v="0"/>
    <x v="6"/>
    <x v="3"/>
    <x v="0"/>
    <s v="8255"/>
    <s v="정호석"/>
    <s v="e"/>
    <x v="0"/>
    <s v=""/>
    <x v="0"/>
    <x v="0"/>
    <s v="kg"/>
    <n v="160"/>
    <n v="85"/>
    <n v="13600"/>
    <n v="1360"/>
    <n v="14960.000000000002"/>
    <m/>
  </r>
  <r>
    <n v="410"/>
    <x v="6"/>
    <x v="6"/>
    <x v="0"/>
    <x v="0"/>
    <x v="6"/>
    <x v="3"/>
    <x v="0"/>
    <s v="8255"/>
    <s v="정호석"/>
    <s v="e"/>
    <x v="0"/>
    <s v=""/>
    <x v="0"/>
    <x v="0"/>
    <s v="kg"/>
    <n v="140"/>
    <n v="85"/>
    <n v="11900"/>
    <n v="1190"/>
    <n v="13090.000000000002"/>
    <m/>
  </r>
  <r>
    <n v="411"/>
    <x v="6"/>
    <x v="6"/>
    <x v="0"/>
    <x v="0"/>
    <x v="6"/>
    <x v="3"/>
    <x v="0"/>
    <s v="6567"/>
    <s v="김승찬"/>
    <s v="e"/>
    <x v="0"/>
    <s v=""/>
    <x v="0"/>
    <x v="0"/>
    <s v="kg"/>
    <n v="220"/>
    <n v="85"/>
    <n v="18700"/>
    <n v="1870"/>
    <n v="20570"/>
    <m/>
  </r>
  <r>
    <n v="412"/>
    <x v="6"/>
    <x v="6"/>
    <x v="0"/>
    <x v="0"/>
    <x v="6"/>
    <x v="3"/>
    <x v="0"/>
    <s v="4750"/>
    <s v="황한천"/>
    <s v="e"/>
    <x v="0"/>
    <s v=""/>
    <x v="0"/>
    <x v="0"/>
    <s v="kg"/>
    <n v="450"/>
    <n v="85"/>
    <n v="38250"/>
    <n v="3825"/>
    <n v="42075"/>
    <m/>
  </r>
  <r>
    <n v="413"/>
    <x v="6"/>
    <x v="6"/>
    <x v="0"/>
    <x v="0"/>
    <x v="6"/>
    <x v="3"/>
    <x v="0"/>
    <s v="0439"/>
    <s v="최흥섭"/>
    <s v="e"/>
    <x v="0"/>
    <s v=""/>
    <x v="0"/>
    <x v="0"/>
    <s v="kg"/>
    <n v="230"/>
    <n v="85"/>
    <n v="19550"/>
    <n v="1955"/>
    <n v="21505"/>
    <m/>
  </r>
  <r>
    <n v="414"/>
    <x v="6"/>
    <x v="6"/>
    <x v="0"/>
    <x v="0"/>
    <x v="6"/>
    <x v="3"/>
    <x v="0"/>
    <s v="3855"/>
    <s v="허범진"/>
    <s v="e"/>
    <x v="0"/>
    <s v=""/>
    <x v="0"/>
    <x v="0"/>
    <s v="kg"/>
    <n v="140"/>
    <n v="85"/>
    <n v="11900"/>
    <n v="1190"/>
    <n v="13090.000000000002"/>
    <m/>
  </r>
  <r>
    <n v="415"/>
    <x v="6"/>
    <x v="6"/>
    <x v="0"/>
    <x v="0"/>
    <x v="6"/>
    <x v="3"/>
    <x v="0"/>
    <s v="6567"/>
    <s v="김승찬"/>
    <s v="e"/>
    <x v="0"/>
    <s v=""/>
    <x v="0"/>
    <x v="0"/>
    <s v="kg"/>
    <n v="120"/>
    <n v="85"/>
    <n v="10200"/>
    <n v="1020"/>
    <n v="11220"/>
    <m/>
  </r>
  <r>
    <n v="416"/>
    <x v="6"/>
    <x v="6"/>
    <x v="0"/>
    <x v="0"/>
    <x v="6"/>
    <x v="3"/>
    <x v="0"/>
    <s v="8876"/>
    <s v="이갑성"/>
    <s v="e"/>
    <x v="0"/>
    <s v=""/>
    <x v="0"/>
    <x v="0"/>
    <s v="kg"/>
    <n v="270"/>
    <n v="85"/>
    <n v="22950"/>
    <n v="2295"/>
    <n v="25245.000000000004"/>
    <m/>
  </r>
  <r>
    <n v="417"/>
    <x v="6"/>
    <x v="6"/>
    <x v="0"/>
    <x v="0"/>
    <x v="6"/>
    <x v="3"/>
    <x v="0"/>
    <s v="0439"/>
    <s v="최흥섭"/>
    <s v="e"/>
    <x v="0"/>
    <s v=""/>
    <x v="0"/>
    <x v="0"/>
    <s v="kg"/>
    <n v="110"/>
    <n v="85"/>
    <n v="9350"/>
    <n v="935"/>
    <n v="10285"/>
    <m/>
  </r>
  <r>
    <n v="418"/>
    <x v="6"/>
    <x v="6"/>
    <x v="0"/>
    <x v="0"/>
    <x v="6"/>
    <x v="3"/>
    <x v="0"/>
    <s v="2207"/>
    <s v="이희덕"/>
    <s v="e"/>
    <x v="0"/>
    <s v=""/>
    <x v="0"/>
    <x v="0"/>
    <s v="kg"/>
    <n v="560"/>
    <n v="85"/>
    <n v="47600"/>
    <n v="4760"/>
    <n v="52360.000000000007"/>
    <m/>
  </r>
  <r>
    <n v="419"/>
    <x v="6"/>
    <x v="6"/>
    <x v="0"/>
    <x v="0"/>
    <x v="6"/>
    <x v="3"/>
    <x v="0"/>
    <s v="8255"/>
    <s v="정호석"/>
    <s v="e"/>
    <x v="0"/>
    <s v=""/>
    <x v="0"/>
    <x v="0"/>
    <s v="kg"/>
    <n v="230"/>
    <n v="85"/>
    <n v="19550"/>
    <n v="1955"/>
    <n v="21505"/>
    <m/>
  </r>
  <r>
    <n v="420"/>
    <x v="6"/>
    <x v="6"/>
    <x v="0"/>
    <x v="0"/>
    <x v="6"/>
    <x v="3"/>
    <x v="0"/>
    <s v="8876"/>
    <s v="이갑성"/>
    <s v="e"/>
    <x v="0"/>
    <s v=""/>
    <x v="0"/>
    <x v="0"/>
    <s v="kg"/>
    <n v="200"/>
    <n v="85"/>
    <n v="17000"/>
    <n v="1700"/>
    <n v="18700"/>
    <m/>
  </r>
  <r>
    <n v="421"/>
    <x v="6"/>
    <x v="6"/>
    <x v="0"/>
    <x v="0"/>
    <x v="6"/>
    <x v="3"/>
    <x v="0"/>
    <s v="6567"/>
    <s v="김승찬"/>
    <s v="e"/>
    <x v="0"/>
    <s v=""/>
    <x v="0"/>
    <x v="0"/>
    <s v="kg"/>
    <n v="180"/>
    <n v="85"/>
    <n v="15300"/>
    <n v="1530"/>
    <n v="16830"/>
    <m/>
  </r>
  <r>
    <n v="422"/>
    <x v="6"/>
    <x v="6"/>
    <x v="0"/>
    <x v="0"/>
    <x v="6"/>
    <x v="3"/>
    <x v="0"/>
    <s v="0641"/>
    <s v="김우기"/>
    <s v="e"/>
    <x v="0"/>
    <s v=""/>
    <x v="0"/>
    <x v="0"/>
    <s v="kg"/>
    <n v="250"/>
    <n v="85"/>
    <n v="21250"/>
    <n v="2125"/>
    <n v="23375.000000000004"/>
    <m/>
  </r>
  <r>
    <n v="423"/>
    <x v="6"/>
    <x v="6"/>
    <x v="0"/>
    <x v="0"/>
    <x v="6"/>
    <x v="3"/>
    <x v="0"/>
    <s v="4750"/>
    <s v="황한천"/>
    <s v="e"/>
    <x v="0"/>
    <s v=""/>
    <x v="0"/>
    <x v="0"/>
    <s v="kg"/>
    <n v="130"/>
    <n v="85"/>
    <n v="11050"/>
    <n v="1105"/>
    <n v="12155.000000000002"/>
    <m/>
  </r>
  <r>
    <n v="424"/>
    <x v="6"/>
    <x v="6"/>
    <x v="0"/>
    <x v="0"/>
    <x v="6"/>
    <x v="3"/>
    <x v="0"/>
    <s v="0641"/>
    <s v="김우기"/>
    <s v="e"/>
    <x v="0"/>
    <s v=""/>
    <x v="0"/>
    <x v="0"/>
    <s v="kg"/>
    <n v="250"/>
    <n v="85"/>
    <n v="21250"/>
    <n v="2125"/>
    <n v="23375.000000000004"/>
    <m/>
  </r>
  <r>
    <n v="425"/>
    <x v="6"/>
    <x v="6"/>
    <x v="0"/>
    <x v="0"/>
    <x v="6"/>
    <x v="3"/>
    <x v="0"/>
    <s v="6567"/>
    <s v="김승찬"/>
    <s v="e"/>
    <x v="0"/>
    <s v=""/>
    <x v="0"/>
    <x v="0"/>
    <s v="kg"/>
    <n v="110"/>
    <n v="85"/>
    <n v="9350"/>
    <n v="935"/>
    <n v="10285"/>
    <m/>
  </r>
  <r>
    <n v="426"/>
    <x v="6"/>
    <x v="6"/>
    <x v="0"/>
    <x v="0"/>
    <x v="6"/>
    <x v="3"/>
    <x v="0"/>
    <s v="6567"/>
    <s v="김승찬"/>
    <s v="e"/>
    <x v="0"/>
    <s v=""/>
    <x v="0"/>
    <x v="0"/>
    <s v="kg"/>
    <n v="160"/>
    <n v="85"/>
    <n v="13600"/>
    <n v="1360"/>
    <n v="14960.000000000002"/>
    <m/>
  </r>
  <r>
    <n v="427"/>
    <x v="6"/>
    <x v="6"/>
    <x v="0"/>
    <x v="0"/>
    <x v="6"/>
    <x v="3"/>
    <x v="1"/>
    <s v="5597"/>
    <s v="이한규"/>
    <s v="e"/>
    <x v="0"/>
    <s v=""/>
    <x v="0"/>
    <x v="0"/>
    <s v="kg"/>
    <n v="250"/>
    <n v="85"/>
    <n v="21250"/>
    <n v="2125"/>
    <n v="23375.000000000004"/>
    <m/>
  </r>
  <r>
    <n v="428"/>
    <x v="6"/>
    <x v="6"/>
    <x v="0"/>
    <x v="0"/>
    <x v="6"/>
    <x v="3"/>
    <x v="1"/>
    <s v="5597"/>
    <s v="이한규"/>
    <s v="e"/>
    <x v="0"/>
    <s v=""/>
    <x v="0"/>
    <x v="0"/>
    <s v="kg"/>
    <n v="360"/>
    <n v="85"/>
    <n v="30600"/>
    <n v="3060"/>
    <n v="33660"/>
    <m/>
  </r>
  <r>
    <n v="429"/>
    <x v="7"/>
    <x v="7"/>
    <x v="0"/>
    <x v="0"/>
    <x v="7"/>
    <x v="2"/>
    <x v="0"/>
    <s v="3605"/>
    <s v="미래환경"/>
    <s v="cus"/>
    <x v="1"/>
    <s v=""/>
    <x v="1"/>
    <x v="1"/>
    <s v="kg"/>
    <n v="2895"/>
    <n v="0"/>
    <n v="0"/>
    <n v="0"/>
    <n v="0"/>
    <m/>
  </r>
  <r>
    <n v="430"/>
    <x v="7"/>
    <x v="7"/>
    <x v="0"/>
    <x v="0"/>
    <x v="7"/>
    <x v="1"/>
    <x v="0"/>
    <s v="6336"/>
    <s v="이수페이퍼"/>
    <s v="cus"/>
    <x v="0"/>
    <s v=""/>
    <x v="0"/>
    <x v="1"/>
    <s v="kg"/>
    <n v="5185"/>
    <n v="90"/>
    <n v="466650"/>
    <n v="46665"/>
    <n v="513315.00000000006"/>
    <m/>
  </r>
  <r>
    <n v="431"/>
    <x v="7"/>
    <x v="7"/>
    <x v="0"/>
    <x v="0"/>
    <x v="7"/>
    <x v="2"/>
    <x v="0"/>
    <s v="4135"/>
    <s v="미래환경"/>
    <s v="cus"/>
    <x v="1"/>
    <s v=""/>
    <x v="1"/>
    <x v="1"/>
    <s v="kg"/>
    <n v="3320"/>
    <n v="0"/>
    <n v="0"/>
    <n v="0"/>
    <n v="0"/>
    <m/>
  </r>
  <r>
    <n v="432"/>
    <x v="7"/>
    <x v="7"/>
    <x v="0"/>
    <x v="0"/>
    <x v="7"/>
    <x v="4"/>
    <x v="0"/>
    <s v="0309"/>
    <s v="무등자원"/>
    <s v="cus"/>
    <x v="3"/>
    <s v="고철"/>
    <x v="9"/>
    <x v="1"/>
    <s v="kg"/>
    <n v="3485"/>
    <n v="250"/>
    <n v="871250"/>
    <n v="87125"/>
    <n v="958375.00000000012"/>
    <m/>
  </r>
  <r>
    <n v="433"/>
    <x v="7"/>
    <x v="7"/>
    <x v="0"/>
    <x v="0"/>
    <x v="7"/>
    <x v="2"/>
    <x v="0"/>
    <s v="3586"/>
    <s v="미래환경"/>
    <s v="cus"/>
    <x v="1"/>
    <s v=""/>
    <x v="1"/>
    <x v="1"/>
    <s v="kg"/>
    <n v="3100"/>
    <n v="0"/>
    <n v="0"/>
    <n v="0"/>
    <n v="0"/>
    <m/>
  </r>
  <r>
    <n v="434"/>
    <x v="7"/>
    <x v="7"/>
    <x v="0"/>
    <x v="0"/>
    <x v="7"/>
    <x v="1"/>
    <x v="0"/>
    <s v="6336"/>
    <s v="이수페이퍼"/>
    <s v="cus"/>
    <x v="0"/>
    <s v=""/>
    <x v="0"/>
    <x v="1"/>
    <s v="kg"/>
    <n v="5625"/>
    <n v="90"/>
    <n v="506250"/>
    <n v="50625"/>
    <n v="556875"/>
    <m/>
  </r>
  <r>
    <n v="435"/>
    <x v="7"/>
    <x v="7"/>
    <x v="0"/>
    <x v="0"/>
    <x v="7"/>
    <x v="2"/>
    <x v="0"/>
    <s v="1728"/>
    <s v="미래환경"/>
    <s v="cus"/>
    <x v="1"/>
    <s v=""/>
    <x v="1"/>
    <x v="1"/>
    <s v="kg"/>
    <n v="3000"/>
    <n v="0"/>
    <n v="0"/>
    <n v="0"/>
    <n v="0"/>
    <m/>
  </r>
  <r>
    <n v="436"/>
    <x v="7"/>
    <x v="7"/>
    <x v="0"/>
    <x v="0"/>
    <x v="7"/>
    <x v="1"/>
    <x v="0"/>
    <s v="6336"/>
    <s v="이수페이퍼"/>
    <s v="cus"/>
    <x v="0"/>
    <s v=""/>
    <x v="0"/>
    <x v="1"/>
    <s v="kg"/>
    <n v="4965"/>
    <n v="90"/>
    <n v="446850"/>
    <n v="44685"/>
    <n v="491535.00000000006"/>
    <m/>
  </r>
  <r>
    <n v="437"/>
    <x v="7"/>
    <x v="7"/>
    <x v="0"/>
    <x v="0"/>
    <x v="7"/>
    <x v="2"/>
    <x v="0"/>
    <s v="3592"/>
    <s v="미래환경"/>
    <s v="cus"/>
    <x v="1"/>
    <s v=""/>
    <x v="1"/>
    <x v="1"/>
    <s v="kg"/>
    <n v="2870"/>
    <n v="0"/>
    <n v="0"/>
    <n v="0"/>
    <n v="0"/>
    <m/>
  </r>
  <r>
    <n v="438"/>
    <x v="7"/>
    <x v="7"/>
    <x v="0"/>
    <x v="0"/>
    <x v="7"/>
    <x v="1"/>
    <x v="0"/>
    <s v="6336"/>
    <s v="이수페이퍼"/>
    <s v="cus"/>
    <x v="0"/>
    <s v=""/>
    <x v="0"/>
    <x v="1"/>
    <s v="kg"/>
    <n v="5270"/>
    <n v="90"/>
    <n v="474300"/>
    <n v="47430"/>
    <n v="521730.00000000006"/>
    <m/>
  </r>
  <r>
    <n v="439"/>
    <x v="7"/>
    <x v="7"/>
    <x v="0"/>
    <x v="0"/>
    <x v="7"/>
    <x v="3"/>
    <x v="1"/>
    <s v="5597"/>
    <s v="이한규"/>
    <s v="e"/>
    <x v="0"/>
    <s v=""/>
    <x v="0"/>
    <x v="0"/>
    <s v="kg"/>
    <n v="510"/>
    <n v="85"/>
    <n v="43350"/>
    <n v="4335"/>
    <n v="47685.000000000007"/>
    <m/>
  </r>
  <r>
    <n v="440"/>
    <x v="7"/>
    <x v="7"/>
    <x v="0"/>
    <x v="0"/>
    <x v="7"/>
    <x v="3"/>
    <x v="1"/>
    <s v="5597"/>
    <s v="이한규"/>
    <s v="e"/>
    <x v="0"/>
    <s v=""/>
    <x v="0"/>
    <x v="0"/>
    <s v="kg"/>
    <n v="240"/>
    <n v="85"/>
    <n v="20400"/>
    <n v="2040"/>
    <n v="22440"/>
    <m/>
  </r>
  <r>
    <n v="441"/>
    <x v="7"/>
    <x v="7"/>
    <x v="0"/>
    <x v="0"/>
    <x v="7"/>
    <x v="3"/>
    <x v="1"/>
    <s v="5597"/>
    <s v="이한규"/>
    <s v="e"/>
    <x v="0"/>
    <s v=""/>
    <x v="0"/>
    <x v="0"/>
    <s v="kg"/>
    <n v="300"/>
    <n v="85"/>
    <n v="25500"/>
    <n v="2550"/>
    <n v="28050.000000000004"/>
    <m/>
  </r>
  <r>
    <n v="442"/>
    <x v="7"/>
    <x v="7"/>
    <x v="0"/>
    <x v="0"/>
    <x v="7"/>
    <x v="3"/>
    <x v="1"/>
    <s v="5597"/>
    <s v="이한규"/>
    <s v="e"/>
    <x v="0"/>
    <s v=""/>
    <x v="0"/>
    <x v="0"/>
    <s v="kg"/>
    <n v="340"/>
    <n v="85"/>
    <n v="28900"/>
    <n v="2890"/>
    <n v="31790.000000000004"/>
    <m/>
  </r>
  <r>
    <n v="443"/>
    <x v="7"/>
    <x v="7"/>
    <x v="0"/>
    <x v="0"/>
    <x v="7"/>
    <x v="3"/>
    <x v="0"/>
    <s v="0616"/>
    <s v="권명노"/>
    <s v="e"/>
    <x v="0"/>
    <s v=""/>
    <x v="0"/>
    <x v="0"/>
    <s v="kg"/>
    <n v="270"/>
    <n v="85"/>
    <n v="22950"/>
    <n v="2295"/>
    <n v="25245.000000000004"/>
    <m/>
  </r>
  <r>
    <n v="444"/>
    <x v="7"/>
    <x v="7"/>
    <x v="0"/>
    <x v="0"/>
    <x v="7"/>
    <x v="3"/>
    <x v="0"/>
    <s v="9283"/>
    <s v="김동령"/>
    <s v="e"/>
    <x v="0"/>
    <s v=""/>
    <x v="0"/>
    <x v="0"/>
    <s v="kg"/>
    <n v="340"/>
    <n v="85"/>
    <n v="28900"/>
    <n v="2890"/>
    <n v="31790.000000000004"/>
    <m/>
  </r>
  <r>
    <n v="445"/>
    <x v="7"/>
    <x v="7"/>
    <x v="0"/>
    <x v="0"/>
    <x v="7"/>
    <x v="3"/>
    <x v="0"/>
    <s v="3855"/>
    <s v="허범진"/>
    <s v="e"/>
    <x v="0"/>
    <s v=""/>
    <x v="0"/>
    <x v="0"/>
    <s v="kg"/>
    <n v="250"/>
    <n v="85"/>
    <n v="21250"/>
    <n v="2125"/>
    <n v="23375.000000000004"/>
    <m/>
  </r>
  <r>
    <n v="446"/>
    <x v="7"/>
    <x v="7"/>
    <x v="0"/>
    <x v="0"/>
    <x v="7"/>
    <x v="3"/>
    <x v="0"/>
    <s v="8255"/>
    <s v="정호석"/>
    <s v="e"/>
    <x v="0"/>
    <s v=""/>
    <x v="0"/>
    <x v="0"/>
    <s v="kg"/>
    <n v="170"/>
    <n v="85"/>
    <n v="14450"/>
    <n v="1445"/>
    <n v="15895.000000000002"/>
    <m/>
  </r>
  <r>
    <n v="447"/>
    <x v="7"/>
    <x v="7"/>
    <x v="0"/>
    <x v="0"/>
    <x v="7"/>
    <x v="3"/>
    <x v="0"/>
    <s v="3855"/>
    <s v="허범진"/>
    <s v="e"/>
    <x v="0"/>
    <s v=""/>
    <x v="0"/>
    <x v="0"/>
    <s v="kg"/>
    <n v="170"/>
    <n v="85"/>
    <n v="14450"/>
    <n v="1445"/>
    <n v="15895.000000000002"/>
    <m/>
  </r>
  <r>
    <n v="448"/>
    <x v="7"/>
    <x v="7"/>
    <x v="0"/>
    <x v="0"/>
    <x v="7"/>
    <x v="3"/>
    <x v="0"/>
    <s v="6567"/>
    <s v="김승찬"/>
    <s v="e"/>
    <x v="0"/>
    <s v=""/>
    <x v="0"/>
    <x v="0"/>
    <s v="kg"/>
    <n v="240"/>
    <n v="85"/>
    <n v="20400"/>
    <n v="2040"/>
    <n v="22440"/>
    <m/>
  </r>
  <r>
    <n v="449"/>
    <x v="7"/>
    <x v="7"/>
    <x v="0"/>
    <x v="0"/>
    <x v="7"/>
    <x v="3"/>
    <x v="0"/>
    <s v="9283"/>
    <s v="김동령"/>
    <s v="e"/>
    <x v="0"/>
    <s v=""/>
    <x v="0"/>
    <x v="0"/>
    <s v="kg"/>
    <n v="210"/>
    <n v="85"/>
    <n v="17850"/>
    <n v="1785"/>
    <n v="19635"/>
    <m/>
  </r>
  <r>
    <n v="450"/>
    <x v="7"/>
    <x v="7"/>
    <x v="0"/>
    <x v="0"/>
    <x v="7"/>
    <x v="3"/>
    <x v="0"/>
    <s v="0616"/>
    <s v="권명노"/>
    <s v="e"/>
    <x v="0"/>
    <s v=""/>
    <x v="0"/>
    <x v="0"/>
    <s v="kg"/>
    <n v="240"/>
    <n v="85"/>
    <n v="20400"/>
    <n v="2040"/>
    <n v="22440"/>
    <m/>
  </r>
  <r>
    <n v="451"/>
    <x v="7"/>
    <x v="7"/>
    <x v="0"/>
    <x v="0"/>
    <x v="7"/>
    <x v="3"/>
    <x v="0"/>
    <s v="4750"/>
    <s v="황한천"/>
    <s v="e"/>
    <x v="0"/>
    <s v=""/>
    <x v="0"/>
    <x v="0"/>
    <s v="kg"/>
    <n v="240"/>
    <n v="85"/>
    <n v="20400"/>
    <n v="2040"/>
    <n v="22440"/>
    <m/>
  </r>
  <r>
    <n v="452"/>
    <x v="7"/>
    <x v="7"/>
    <x v="0"/>
    <x v="0"/>
    <x v="7"/>
    <x v="3"/>
    <x v="0"/>
    <s v="8769"/>
    <s v="수정자원"/>
    <s v="cus"/>
    <x v="0"/>
    <s v=""/>
    <x v="0"/>
    <x v="1"/>
    <s v="kg"/>
    <n v="3350"/>
    <n v="85"/>
    <n v="284750"/>
    <n v="28475"/>
    <n v="313225"/>
    <m/>
  </r>
  <r>
    <n v="453"/>
    <x v="7"/>
    <x v="7"/>
    <x v="0"/>
    <x v="0"/>
    <x v="7"/>
    <x v="3"/>
    <x v="0"/>
    <s v="8255"/>
    <s v="정호석"/>
    <s v="e"/>
    <x v="0"/>
    <s v=""/>
    <x v="0"/>
    <x v="0"/>
    <s v="kg"/>
    <n v="170"/>
    <n v="85"/>
    <n v="14450"/>
    <n v="1445"/>
    <n v="15895.000000000002"/>
    <m/>
  </r>
  <r>
    <n v="454"/>
    <x v="7"/>
    <x v="7"/>
    <x v="0"/>
    <x v="0"/>
    <x v="7"/>
    <x v="3"/>
    <x v="0"/>
    <s v="4886"/>
    <s v="박준철"/>
    <s v="e"/>
    <x v="0"/>
    <s v=""/>
    <x v="0"/>
    <x v="0"/>
    <s v="kg"/>
    <n v="190"/>
    <n v="85"/>
    <n v="16150"/>
    <n v="1615"/>
    <n v="17765"/>
    <m/>
  </r>
  <r>
    <n v="455"/>
    <x v="7"/>
    <x v="7"/>
    <x v="0"/>
    <x v="0"/>
    <x v="7"/>
    <x v="3"/>
    <x v="0"/>
    <s v="0439"/>
    <s v="최흥섭"/>
    <s v="e"/>
    <x v="0"/>
    <s v=""/>
    <x v="0"/>
    <x v="0"/>
    <s v="kg"/>
    <n v="330"/>
    <n v="85"/>
    <n v="28050"/>
    <n v="2805"/>
    <n v="30855.000000000004"/>
    <m/>
  </r>
  <r>
    <n v="456"/>
    <x v="7"/>
    <x v="7"/>
    <x v="0"/>
    <x v="0"/>
    <x v="7"/>
    <x v="3"/>
    <x v="0"/>
    <s v="6567"/>
    <s v="김승찬"/>
    <s v="e"/>
    <x v="0"/>
    <s v=""/>
    <x v="0"/>
    <x v="0"/>
    <s v="kg"/>
    <n v="210"/>
    <n v="85"/>
    <n v="17850"/>
    <n v="1785"/>
    <n v="19635"/>
    <m/>
  </r>
  <r>
    <n v="457"/>
    <x v="7"/>
    <x v="7"/>
    <x v="0"/>
    <x v="0"/>
    <x v="7"/>
    <x v="3"/>
    <x v="0"/>
    <s v="2207"/>
    <s v="이희덕"/>
    <s v="e"/>
    <x v="0"/>
    <s v=""/>
    <x v="0"/>
    <x v="0"/>
    <s v="kg"/>
    <n v="170"/>
    <n v="85"/>
    <n v="14450"/>
    <n v="1445"/>
    <n v="15895.000000000002"/>
    <m/>
  </r>
  <r>
    <n v="458"/>
    <x v="7"/>
    <x v="7"/>
    <x v="0"/>
    <x v="0"/>
    <x v="7"/>
    <x v="3"/>
    <x v="0"/>
    <s v="0439"/>
    <s v="최흥섭"/>
    <s v="e"/>
    <x v="0"/>
    <s v=""/>
    <x v="0"/>
    <x v="0"/>
    <s v="kg"/>
    <n v="140"/>
    <n v="85"/>
    <n v="11900"/>
    <n v="1190"/>
    <n v="13090.000000000002"/>
    <m/>
  </r>
  <r>
    <n v="459"/>
    <x v="7"/>
    <x v="7"/>
    <x v="0"/>
    <x v="0"/>
    <x v="7"/>
    <x v="3"/>
    <x v="0"/>
    <s v="8255"/>
    <s v="정호석"/>
    <s v="e"/>
    <x v="0"/>
    <s v=""/>
    <x v="0"/>
    <x v="0"/>
    <s v="kg"/>
    <n v="210"/>
    <n v="85"/>
    <n v="17850"/>
    <n v="1785"/>
    <n v="19635"/>
    <m/>
  </r>
  <r>
    <n v="460"/>
    <x v="7"/>
    <x v="7"/>
    <x v="0"/>
    <x v="0"/>
    <x v="7"/>
    <x v="3"/>
    <x v="0"/>
    <s v="8769"/>
    <s v="수정자원"/>
    <s v="cus"/>
    <x v="0"/>
    <s v=""/>
    <x v="0"/>
    <x v="1"/>
    <s v="kg"/>
    <n v="3620"/>
    <n v="85"/>
    <n v="307700"/>
    <n v="30770"/>
    <n v="338470"/>
    <m/>
  </r>
  <r>
    <n v="461"/>
    <x v="7"/>
    <x v="7"/>
    <x v="0"/>
    <x v="0"/>
    <x v="7"/>
    <x v="3"/>
    <x v="0"/>
    <s v="8769"/>
    <s v="수정자원"/>
    <s v="cus"/>
    <x v="0"/>
    <s v=""/>
    <x v="0"/>
    <x v="1"/>
    <s v="kg"/>
    <n v="3760"/>
    <n v="85"/>
    <n v="319600"/>
    <n v="31960"/>
    <n v="351560"/>
    <m/>
  </r>
  <r>
    <n v="462"/>
    <x v="7"/>
    <x v="7"/>
    <x v="0"/>
    <x v="0"/>
    <x v="7"/>
    <x v="3"/>
    <x v="0"/>
    <s v="9283"/>
    <s v="김동령"/>
    <s v="e"/>
    <x v="0"/>
    <s v=""/>
    <x v="0"/>
    <x v="0"/>
    <s v="kg"/>
    <n v="230"/>
    <n v="85"/>
    <n v="19550"/>
    <n v="1955"/>
    <n v="21505"/>
    <m/>
  </r>
  <r>
    <n v="463"/>
    <x v="7"/>
    <x v="7"/>
    <x v="0"/>
    <x v="0"/>
    <x v="7"/>
    <x v="3"/>
    <x v="0"/>
    <s v="6567"/>
    <s v="김승찬"/>
    <s v="e"/>
    <x v="0"/>
    <s v=""/>
    <x v="0"/>
    <x v="0"/>
    <s v="kg"/>
    <n v="210"/>
    <n v="85"/>
    <n v="17850"/>
    <n v="1785"/>
    <n v="19635"/>
    <m/>
  </r>
  <r>
    <n v="464"/>
    <x v="7"/>
    <x v="7"/>
    <x v="0"/>
    <x v="0"/>
    <x v="7"/>
    <x v="3"/>
    <x v="0"/>
    <s v="0641"/>
    <s v="김우기"/>
    <s v="e"/>
    <x v="0"/>
    <s v=""/>
    <x v="0"/>
    <x v="0"/>
    <s v="kg"/>
    <n v="270"/>
    <n v="85"/>
    <n v="22950"/>
    <n v="2295"/>
    <n v="25245.000000000004"/>
    <m/>
  </r>
  <r>
    <n v="465"/>
    <x v="7"/>
    <x v="7"/>
    <x v="0"/>
    <x v="0"/>
    <x v="7"/>
    <x v="3"/>
    <x v="0"/>
    <s v="0439"/>
    <s v="최흥섭"/>
    <s v="e"/>
    <x v="0"/>
    <s v=""/>
    <x v="0"/>
    <x v="0"/>
    <s v="kg"/>
    <n v="310"/>
    <n v="85"/>
    <n v="26350"/>
    <n v="2635"/>
    <n v="28985.000000000004"/>
    <m/>
  </r>
  <r>
    <n v="466"/>
    <x v="7"/>
    <x v="7"/>
    <x v="0"/>
    <x v="0"/>
    <x v="7"/>
    <x v="3"/>
    <x v="0"/>
    <s v="0641"/>
    <s v="김우기"/>
    <s v="e"/>
    <x v="0"/>
    <s v=""/>
    <x v="0"/>
    <x v="0"/>
    <s v="kg"/>
    <n v="150"/>
    <n v="85"/>
    <n v="12750"/>
    <n v="1275"/>
    <n v="14025.000000000002"/>
    <m/>
  </r>
  <r>
    <n v="467"/>
    <x v="7"/>
    <x v="7"/>
    <x v="0"/>
    <x v="0"/>
    <x v="7"/>
    <x v="3"/>
    <x v="0"/>
    <s v="2207"/>
    <s v="이희덕"/>
    <s v="e"/>
    <x v="0"/>
    <s v=""/>
    <x v="0"/>
    <x v="0"/>
    <s v="kg"/>
    <n v="90"/>
    <n v="85"/>
    <n v="7650"/>
    <n v="765"/>
    <n v="8415"/>
    <m/>
  </r>
  <r>
    <n v="468"/>
    <x v="7"/>
    <x v="7"/>
    <x v="0"/>
    <x v="0"/>
    <x v="7"/>
    <x v="0"/>
    <x v="0"/>
    <s v="7246"/>
    <s v="이승원"/>
    <s v="e"/>
    <x v="0"/>
    <s v=""/>
    <x v="0"/>
    <x v="0"/>
    <s v="kg"/>
    <n v="260"/>
    <n v="95"/>
    <n v="24700"/>
    <n v="2470"/>
    <n v="27170.000000000004"/>
    <m/>
  </r>
  <r>
    <n v="469"/>
    <x v="7"/>
    <x v="7"/>
    <x v="0"/>
    <x v="0"/>
    <x v="7"/>
    <x v="0"/>
    <x v="0"/>
    <s v="9390"/>
    <s v="정민원"/>
    <s v="e"/>
    <x v="0"/>
    <s v=""/>
    <x v="0"/>
    <x v="0"/>
    <s v="kg"/>
    <n v="230"/>
    <n v="95"/>
    <n v="21850"/>
    <n v="2185"/>
    <n v="24035.000000000004"/>
    <m/>
  </r>
  <r>
    <n v="470"/>
    <x v="7"/>
    <x v="7"/>
    <x v="0"/>
    <x v="0"/>
    <x v="7"/>
    <x v="0"/>
    <x v="0"/>
    <s v="5245"/>
    <s v="정민호"/>
    <s v="e"/>
    <x v="0"/>
    <s v=""/>
    <x v="0"/>
    <x v="0"/>
    <s v="kg"/>
    <n v="40"/>
    <n v="95"/>
    <n v="3800"/>
    <n v="380"/>
    <n v="4180"/>
    <m/>
  </r>
  <r>
    <n v="471"/>
    <x v="7"/>
    <x v="7"/>
    <x v="0"/>
    <x v="0"/>
    <x v="7"/>
    <x v="0"/>
    <x v="0"/>
    <s v="7246"/>
    <s v="이승원"/>
    <s v="e"/>
    <x v="0"/>
    <s v=""/>
    <x v="0"/>
    <x v="0"/>
    <s v="kg"/>
    <n v="210"/>
    <n v="95"/>
    <n v="19950"/>
    <n v="1995"/>
    <n v="21945"/>
    <m/>
  </r>
  <r>
    <n v="472"/>
    <x v="7"/>
    <x v="7"/>
    <x v="0"/>
    <x v="0"/>
    <x v="7"/>
    <x v="0"/>
    <x v="0"/>
    <s v="9310"/>
    <s v="정상준"/>
    <s v="e"/>
    <x v="0"/>
    <s v=""/>
    <x v="0"/>
    <x v="0"/>
    <s v="kg"/>
    <n v="180"/>
    <n v="95"/>
    <n v="17100"/>
    <n v="1710"/>
    <n v="18810"/>
    <m/>
  </r>
  <r>
    <n v="473"/>
    <x v="7"/>
    <x v="7"/>
    <x v="0"/>
    <x v="0"/>
    <x v="7"/>
    <x v="0"/>
    <x v="0"/>
    <s v="4618"/>
    <s v="강성완"/>
    <s v="e"/>
    <x v="0"/>
    <s v=""/>
    <x v="0"/>
    <x v="0"/>
    <s v="kg"/>
    <n v="170"/>
    <n v="95"/>
    <n v="16150"/>
    <n v="1615"/>
    <n v="17765"/>
    <m/>
  </r>
  <r>
    <n v="474"/>
    <x v="7"/>
    <x v="7"/>
    <x v="0"/>
    <x v="0"/>
    <x v="7"/>
    <x v="0"/>
    <x v="0"/>
    <s v="5245"/>
    <s v="정민호"/>
    <s v="e"/>
    <x v="0"/>
    <s v=""/>
    <x v="0"/>
    <x v="0"/>
    <s v="kg"/>
    <n v="140"/>
    <n v="95"/>
    <n v="13300"/>
    <n v="1330"/>
    <n v="14630.000000000002"/>
    <m/>
  </r>
  <r>
    <n v="475"/>
    <x v="7"/>
    <x v="7"/>
    <x v="0"/>
    <x v="0"/>
    <x v="7"/>
    <x v="0"/>
    <x v="0"/>
    <s v="0612"/>
    <s v="송환기"/>
    <s v="e"/>
    <x v="0"/>
    <s v=""/>
    <x v="0"/>
    <x v="0"/>
    <s v="kg"/>
    <n v="200"/>
    <n v="95"/>
    <n v="19000"/>
    <n v="1900"/>
    <n v="20900"/>
    <m/>
  </r>
  <r>
    <n v="476"/>
    <x v="7"/>
    <x v="7"/>
    <x v="0"/>
    <x v="0"/>
    <x v="7"/>
    <x v="0"/>
    <x v="0"/>
    <s v="1806"/>
    <s v="김문식"/>
    <s v="e"/>
    <x v="0"/>
    <s v=""/>
    <x v="0"/>
    <x v="0"/>
    <s v="kg"/>
    <n v="220"/>
    <n v="95"/>
    <n v="20900"/>
    <n v="2090"/>
    <n v="22990.000000000004"/>
    <m/>
  </r>
  <r>
    <n v="477"/>
    <x v="7"/>
    <x v="7"/>
    <x v="0"/>
    <x v="0"/>
    <x v="7"/>
    <x v="0"/>
    <x v="0"/>
    <s v="2986"/>
    <s v="김대식"/>
    <s v="e"/>
    <x v="0"/>
    <s v=""/>
    <x v="0"/>
    <x v="0"/>
    <s v="kg"/>
    <n v="160"/>
    <n v="95"/>
    <n v="15200"/>
    <n v="1520"/>
    <n v="16720"/>
    <m/>
  </r>
  <r>
    <n v="478"/>
    <x v="7"/>
    <x v="7"/>
    <x v="0"/>
    <x v="0"/>
    <x v="7"/>
    <x v="0"/>
    <x v="0"/>
    <s v="9310"/>
    <s v="정상준"/>
    <s v="e"/>
    <x v="0"/>
    <s v=""/>
    <x v="0"/>
    <x v="0"/>
    <s v="kg"/>
    <n v="290"/>
    <n v="95"/>
    <n v="27550"/>
    <n v="2755"/>
    <n v="30305.000000000004"/>
    <m/>
  </r>
  <r>
    <n v="479"/>
    <x v="7"/>
    <x v="7"/>
    <x v="0"/>
    <x v="0"/>
    <x v="7"/>
    <x v="0"/>
    <x v="0"/>
    <s v="9310"/>
    <s v="정상준"/>
    <s v="e"/>
    <x v="0"/>
    <s v=""/>
    <x v="2"/>
    <x v="0"/>
    <s v="kg"/>
    <n v="260"/>
    <n v="190"/>
    <n v="49400"/>
    <n v="4940"/>
    <n v="54340.000000000007"/>
    <m/>
  </r>
  <r>
    <n v="480"/>
    <x v="7"/>
    <x v="7"/>
    <x v="0"/>
    <x v="0"/>
    <x v="7"/>
    <x v="0"/>
    <x v="0"/>
    <s v="7246"/>
    <s v="이승원"/>
    <s v="e"/>
    <x v="0"/>
    <s v=""/>
    <x v="0"/>
    <x v="0"/>
    <s v="kg"/>
    <n v="160"/>
    <n v="95"/>
    <n v="15200"/>
    <n v="1520"/>
    <n v="16720"/>
    <m/>
  </r>
  <r>
    <n v="481"/>
    <x v="7"/>
    <x v="7"/>
    <x v="0"/>
    <x v="0"/>
    <x v="7"/>
    <x v="0"/>
    <x v="0"/>
    <s v="1806"/>
    <s v="김문식"/>
    <s v="e"/>
    <x v="0"/>
    <s v=""/>
    <x v="0"/>
    <x v="0"/>
    <s v="kg"/>
    <n v="90"/>
    <n v="95"/>
    <n v="8550"/>
    <n v="855"/>
    <n v="9405"/>
    <m/>
  </r>
  <r>
    <n v="482"/>
    <x v="7"/>
    <x v="7"/>
    <x v="0"/>
    <x v="0"/>
    <x v="7"/>
    <x v="0"/>
    <x v="0"/>
    <s v="4618"/>
    <s v="강성완"/>
    <s v="e"/>
    <x v="0"/>
    <s v=""/>
    <x v="0"/>
    <x v="0"/>
    <s v="kg"/>
    <n v="300"/>
    <n v="95"/>
    <n v="28500"/>
    <n v="2850"/>
    <n v="31350.000000000004"/>
    <m/>
  </r>
  <r>
    <n v="483"/>
    <x v="7"/>
    <x v="7"/>
    <x v="0"/>
    <x v="0"/>
    <x v="7"/>
    <x v="0"/>
    <x v="0"/>
    <s v="0612"/>
    <s v="송환기"/>
    <s v="e"/>
    <x v="0"/>
    <s v=""/>
    <x v="0"/>
    <x v="0"/>
    <s v="kg"/>
    <n v="170"/>
    <n v="95"/>
    <n v="16150"/>
    <n v="1615"/>
    <n v="17765"/>
    <m/>
  </r>
  <r>
    <n v="484"/>
    <x v="7"/>
    <x v="7"/>
    <x v="0"/>
    <x v="0"/>
    <x v="7"/>
    <x v="0"/>
    <x v="0"/>
    <s v="1310"/>
    <s v="김태홍"/>
    <s v="e"/>
    <x v="0"/>
    <s v=""/>
    <x v="0"/>
    <x v="0"/>
    <s v="kg"/>
    <n v="260"/>
    <n v="95"/>
    <n v="24700"/>
    <n v="2470"/>
    <n v="27170.000000000004"/>
    <m/>
  </r>
  <r>
    <n v="485"/>
    <x v="7"/>
    <x v="7"/>
    <x v="0"/>
    <x v="0"/>
    <x v="7"/>
    <x v="0"/>
    <x v="0"/>
    <s v="7246"/>
    <s v="이승원"/>
    <s v="e"/>
    <x v="0"/>
    <s v=""/>
    <x v="0"/>
    <x v="0"/>
    <s v="kg"/>
    <n v="220"/>
    <n v="95"/>
    <n v="20900"/>
    <n v="2090"/>
    <n v="22990.000000000004"/>
    <m/>
  </r>
  <r>
    <n v="486"/>
    <x v="7"/>
    <x v="7"/>
    <x v="0"/>
    <x v="0"/>
    <x v="7"/>
    <x v="0"/>
    <x v="0"/>
    <s v="5245"/>
    <s v="정민호"/>
    <s v="e"/>
    <x v="0"/>
    <s v=""/>
    <x v="0"/>
    <x v="0"/>
    <s v="kg"/>
    <n v="300"/>
    <n v="95"/>
    <n v="28500"/>
    <n v="2850"/>
    <n v="31350.000000000004"/>
    <m/>
  </r>
  <r>
    <n v="487"/>
    <x v="7"/>
    <x v="7"/>
    <x v="0"/>
    <x v="0"/>
    <x v="7"/>
    <x v="0"/>
    <x v="0"/>
    <s v="9310"/>
    <s v="정상준"/>
    <s v="e"/>
    <x v="0"/>
    <s v=""/>
    <x v="0"/>
    <x v="0"/>
    <s v="kg"/>
    <n v="260"/>
    <n v="95"/>
    <n v="24700"/>
    <n v="2470"/>
    <n v="27170.000000000004"/>
    <m/>
  </r>
  <r>
    <n v="488"/>
    <x v="7"/>
    <x v="7"/>
    <x v="0"/>
    <x v="0"/>
    <x v="7"/>
    <x v="0"/>
    <x v="0"/>
    <s v="2986"/>
    <s v="김대식"/>
    <s v="e"/>
    <x v="0"/>
    <s v=""/>
    <x v="0"/>
    <x v="0"/>
    <s v="kg"/>
    <n v="270"/>
    <n v="95"/>
    <n v="25650"/>
    <n v="2565"/>
    <n v="28215.000000000004"/>
    <m/>
  </r>
  <r>
    <n v="489"/>
    <x v="7"/>
    <x v="7"/>
    <x v="0"/>
    <x v="0"/>
    <x v="7"/>
    <x v="0"/>
    <x v="0"/>
    <s v="9149"/>
    <s v="이강업"/>
    <s v="e"/>
    <x v="0"/>
    <s v=""/>
    <x v="0"/>
    <x v="0"/>
    <s v="kg"/>
    <n v="260"/>
    <n v="95"/>
    <n v="24700"/>
    <n v="2470"/>
    <n v="27170.000000000004"/>
    <m/>
  </r>
  <r>
    <n v="490"/>
    <x v="7"/>
    <x v="7"/>
    <x v="0"/>
    <x v="0"/>
    <x v="7"/>
    <x v="0"/>
    <x v="0"/>
    <s v="0439"/>
    <s v="최흥섭"/>
    <s v="e"/>
    <x v="0"/>
    <s v=""/>
    <x v="0"/>
    <x v="0"/>
    <s v="kg"/>
    <n v="170"/>
    <n v="95"/>
    <n v="16150"/>
    <n v="1615"/>
    <n v="17765"/>
    <m/>
  </r>
  <r>
    <n v="491"/>
    <x v="7"/>
    <x v="7"/>
    <x v="0"/>
    <x v="0"/>
    <x v="7"/>
    <x v="0"/>
    <x v="0"/>
    <s v="8947"/>
    <s v="정주혁"/>
    <s v="e"/>
    <x v="0"/>
    <s v=""/>
    <x v="0"/>
    <x v="0"/>
    <s v="kg"/>
    <n v="320"/>
    <n v="95"/>
    <n v="30400"/>
    <n v="3040"/>
    <n v="33440"/>
    <m/>
  </r>
  <r>
    <n v="492"/>
    <x v="7"/>
    <x v="7"/>
    <x v="0"/>
    <x v="0"/>
    <x v="7"/>
    <x v="0"/>
    <x v="0"/>
    <s v="2986"/>
    <s v="김대식"/>
    <s v="e"/>
    <x v="0"/>
    <s v=""/>
    <x v="0"/>
    <x v="0"/>
    <s v="kg"/>
    <n v="260"/>
    <n v="95"/>
    <n v="24700"/>
    <n v="2470"/>
    <n v="27170.000000000004"/>
    <m/>
  </r>
  <r>
    <n v="493"/>
    <x v="7"/>
    <x v="7"/>
    <x v="0"/>
    <x v="0"/>
    <x v="7"/>
    <x v="0"/>
    <x v="0"/>
    <s v="8466"/>
    <s v="이영근"/>
    <s v="e"/>
    <x v="0"/>
    <s v=""/>
    <x v="0"/>
    <x v="0"/>
    <s v="kg"/>
    <n v="170"/>
    <n v="95"/>
    <n v="16150"/>
    <n v="1615"/>
    <n v="17765"/>
    <m/>
  </r>
  <r>
    <n v="494"/>
    <x v="7"/>
    <x v="7"/>
    <x v="0"/>
    <x v="0"/>
    <x v="7"/>
    <x v="0"/>
    <x v="0"/>
    <s v="9149"/>
    <s v="이강업"/>
    <s v="e"/>
    <x v="0"/>
    <s v=""/>
    <x v="0"/>
    <x v="0"/>
    <s v="kg"/>
    <n v="180"/>
    <n v="95"/>
    <n v="17100"/>
    <n v="1710"/>
    <n v="18810"/>
    <m/>
  </r>
  <r>
    <n v="495"/>
    <x v="7"/>
    <x v="7"/>
    <x v="0"/>
    <x v="0"/>
    <x v="7"/>
    <x v="0"/>
    <x v="0"/>
    <s v="8466"/>
    <s v="이영근"/>
    <s v="e"/>
    <x v="0"/>
    <s v=""/>
    <x v="0"/>
    <x v="0"/>
    <s v="kg"/>
    <n v="210"/>
    <n v="95"/>
    <n v="19950"/>
    <n v="1995"/>
    <n v="21945"/>
    <m/>
  </r>
  <r>
    <n v="496"/>
    <x v="7"/>
    <x v="7"/>
    <x v="0"/>
    <x v="0"/>
    <x v="7"/>
    <x v="0"/>
    <x v="0"/>
    <s v="8947"/>
    <s v="정주혁"/>
    <s v="e"/>
    <x v="0"/>
    <s v=""/>
    <x v="0"/>
    <x v="0"/>
    <s v="kg"/>
    <n v="200"/>
    <n v="95"/>
    <n v="19000"/>
    <n v="1900"/>
    <n v="20900"/>
    <m/>
  </r>
  <r>
    <n v="497"/>
    <x v="7"/>
    <x v="7"/>
    <x v="0"/>
    <x v="0"/>
    <x v="7"/>
    <x v="0"/>
    <x v="0"/>
    <s v="7246"/>
    <s v="이승원"/>
    <s v="e"/>
    <x v="0"/>
    <s v=""/>
    <x v="0"/>
    <x v="0"/>
    <s v="kg"/>
    <n v="180"/>
    <n v="95"/>
    <n v="17100"/>
    <n v="1710"/>
    <n v="18810"/>
    <m/>
  </r>
  <r>
    <n v="499"/>
    <x v="8"/>
    <x v="8"/>
    <x v="0"/>
    <x v="0"/>
    <x v="8"/>
    <x v="1"/>
    <x v="0"/>
    <s v="6336"/>
    <s v="이수페이퍼"/>
    <s v="cus"/>
    <x v="0"/>
    <s v=""/>
    <x v="0"/>
    <x v="1"/>
    <s v="kg"/>
    <n v="5215"/>
    <n v="90"/>
    <n v="469350"/>
    <n v="46935"/>
    <n v="516285.00000000006"/>
    <m/>
  </r>
  <r>
    <n v="500"/>
    <x v="8"/>
    <x v="8"/>
    <x v="0"/>
    <x v="0"/>
    <x v="8"/>
    <x v="2"/>
    <x v="0"/>
    <s v="3605"/>
    <s v="미래환경"/>
    <s v="cus"/>
    <x v="1"/>
    <s v=""/>
    <x v="1"/>
    <x v="1"/>
    <s v="kg"/>
    <n v="2855"/>
    <n v="0"/>
    <n v="0"/>
    <n v="0"/>
    <n v="0"/>
    <m/>
  </r>
  <r>
    <n v="501"/>
    <x v="8"/>
    <x v="8"/>
    <x v="0"/>
    <x v="0"/>
    <x v="8"/>
    <x v="2"/>
    <x v="0"/>
    <s v="4135"/>
    <s v="미래환경"/>
    <s v="cus"/>
    <x v="2"/>
    <s v=""/>
    <x v="3"/>
    <x v="1"/>
    <s v="kg"/>
    <n v="3750"/>
    <n v="0"/>
    <n v="0"/>
    <n v="0"/>
    <n v="0"/>
    <m/>
  </r>
  <r>
    <n v="502"/>
    <x v="8"/>
    <x v="8"/>
    <x v="0"/>
    <x v="0"/>
    <x v="8"/>
    <x v="2"/>
    <x v="0"/>
    <s v="3609"/>
    <s v="미래환경"/>
    <s v="cus"/>
    <x v="1"/>
    <s v=""/>
    <x v="1"/>
    <x v="1"/>
    <s v="kg"/>
    <n v="2975"/>
    <n v="0"/>
    <n v="0"/>
    <n v="0"/>
    <n v="0"/>
    <m/>
  </r>
  <r>
    <n v="503"/>
    <x v="8"/>
    <x v="8"/>
    <x v="0"/>
    <x v="0"/>
    <x v="8"/>
    <x v="4"/>
    <x v="0"/>
    <s v="0309"/>
    <s v="무등자원"/>
    <s v="cus"/>
    <x v="3"/>
    <s v="비철"/>
    <x v="4"/>
    <x v="1"/>
    <s v="kg"/>
    <n v="1865"/>
    <n v="1450"/>
    <n v="2704250"/>
    <n v="270425"/>
    <n v="2974675.0000000005"/>
    <m/>
  </r>
  <r>
    <n v="504"/>
    <x v="8"/>
    <x v="8"/>
    <x v="0"/>
    <x v="0"/>
    <x v="8"/>
    <x v="1"/>
    <x v="0"/>
    <s v="6336"/>
    <s v="이수페이퍼"/>
    <s v="cus"/>
    <x v="0"/>
    <s v=""/>
    <x v="0"/>
    <x v="1"/>
    <s v="kg"/>
    <n v="5105"/>
    <n v="90"/>
    <n v="459450"/>
    <n v="45945"/>
    <n v="505395.00000000006"/>
    <m/>
  </r>
  <r>
    <n v="505"/>
    <x v="8"/>
    <x v="8"/>
    <x v="0"/>
    <x v="0"/>
    <x v="8"/>
    <x v="2"/>
    <x v="0"/>
    <s v="3581"/>
    <s v="미래환경"/>
    <s v="cus"/>
    <x v="1"/>
    <s v=""/>
    <x v="1"/>
    <x v="1"/>
    <s v="kg"/>
    <n v="2770"/>
    <n v="0"/>
    <n v="0"/>
    <n v="0"/>
    <n v="0"/>
    <m/>
  </r>
  <r>
    <n v="506"/>
    <x v="8"/>
    <x v="8"/>
    <x v="0"/>
    <x v="0"/>
    <x v="8"/>
    <x v="2"/>
    <x v="0"/>
    <s v="3607"/>
    <s v="미래환경"/>
    <s v="cus"/>
    <x v="1"/>
    <s v=""/>
    <x v="1"/>
    <x v="1"/>
    <s v="kg"/>
    <n v="3080"/>
    <n v="0"/>
    <n v="0"/>
    <n v="0"/>
    <n v="0"/>
    <m/>
  </r>
  <r>
    <n v="507"/>
    <x v="8"/>
    <x v="8"/>
    <x v="0"/>
    <x v="0"/>
    <x v="8"/>
    <x v="5"/>
    <x v="0"/>
    <s v="3719"/>
    <s v="공병자원"/>
    <s v="cus"/>
    <x v="4"/>
    <s v="공병"/>
    <x v="5"/>
    <x v="1"/>
    <s v="kg"/>
    <n v="2040"/>
    <n v="220"/>
    <n v="448800"/>
    <n v="44880"/>
    <n v="493680.00000000006"/>
    <m/>
  </r>
  <r>
    <n v="508"/>
    <x v="8"/>
    <x v="8"/>
    <x v="0"/>
    <x v="0"/>
    <x v="8"/>
    <x v="3"/>
    <x v="1"/>
    <s v="5597"/>
    <s v="이한규"/>
    <s v="e"/>
    <x v="0"/>
    <s v=""/>
    <x v="0"/>
    <x v="0"/>
    <s v="kg"/>
    <n v="300"/>
    <n v="85"/>
    <n v="25500"/>
    <n v="2550"/>
    <n v="28050.000000000004"/>
    <m/>
  </r>
  <r>
    <n v="509"/>
    <x v="8"/>
    <x v="8"/>
    <x v="0"/>
    <x v="0"/>
    <x v="8"/>
    <x v="3"/>
    <x v="1"/>
    <s v="5597"/>
    <s v="이한규"/>
    <s v="e"/>
    <x v="0"/>
    <s v=""/>
    <x v="0"/>
    <x v="0"/>
    <s v="kg"/>
    <n v="170"/>
    <n v="85"/>
    <n v="14450"/>
    <n v="1445"/>
    <n v="15895.000000000002"/>
    <m/>
  </r>
  <r>
    <n v="510"/>
    <x v="8"/>
    <x v="8"/>
    <x v="0"/>
    <x v="0"/>
    <x v="8"/>
    <x v="3"/>
    <x v="1"/>
    <s v="5597"/>
    <s v="이한규"/>
    <s v="e"/>
    <x v="0"/>
    <s v=""/>
    <x v="0"/>
    <x v="0"/>
    <s v="kg"/>
    <n v="80"/>
    <n v="85"/>
    <n v="6800"/>
    <n v="680"/>
    <n v="7480.0000000000009"/>
    <m/>
  </r>
  <r>
    <n v="511"/>
    <x v="8"/>
    <x v="8"/>
    <x v="0"/>
    <x v="0"/>
    <x v="8"/>
    <x v="3"/>
    <x v="1"/>
    <s v="5597"/>
    <s v="이한규"/>
    <s v="e"/>
    <x v="0"/>
    <s v=""/>
    <x v="0"/>
    <x v="0"/>
    <s v="kg"/>
    <n v="220"/>
    <n v="85"/>
    <n v="18700"/>
    <n v="1870"/>
    <n v="20570"/>
    <m/>
  </r>
  <r>
    <n v="512"/>
    <x v="8"/>
    <x v="8"/>
    <x v="0"/>
    <x v="0"/>
    <x v="8"/>
    <x v="3"/>
    <x v="0"/>
    <s v="9283"/>
    <s v="김동령"/>
    <s v="e"/>
    <x v="0"/>
    <s v=""/>
    <x v="0"/>
    <x v="0"/>
    <s v="kg"/>
    <n v="120"/>
    <n v="85"/>
    <n v="10200"/>
    <n v="1020"/>
    <n v="11220"/>
    <m/>
  </r>
  <r>
    <n v="513"/>
    <x v="8"/>
    <x v="8"/>
    <x v="0"/>
    <x v="0"/>
    <x v="8"/>
    <x v="3"/>
    <x v="0"/>
    <s v="6567"/>
    <s v="김승찬"/>
    <s v="e"/>
    <x v="0"/>
    <s v=""/>
    <x v="0"/>
    <x v="0"/>
    <s v="kg"/>
    <n v="180"/>
    <n v="85"/>
    <n v="15300"/>
    <n v="1530"/>
    <n v="16830"/>
    <m/>
  </r>
  <r>
    <n v="514"/>
    <x v="8"/>
    <x v="8"/>
    <x v="0"/>
    <x v="0"/>
    <x v="8"/>
    <x v="3"/>
    <x v="0"/>
    <s v="2207"/>
    <s v="이희덕"/>
    <s v="e"/>
    <x v="0"/>
    <s v=""/>
    <x v="0"/>
    <x v="0"/>
    <s v="kg"/>
    <n v="110"/>
    <n v="85"/>
    <n v="9350"/>
    <n v="935"/>
    <n v="10285"/>
    <m/>
  </r>
  <r>
    <n v="515"/>
    <x v="8"/>
    <x v="8"/>
    <x v="0"/>
    <x v="0"/>
    <x v="8"/>
    <x v="3"/>
    <x v="0"/>
    <s v="8255"/>
    <s v="정호석"/>
    <s v="e"/>
    <x v="0"/>
    <s v=""/>
    <x v="0"/>
    <x v="0"/>
    <s v="kg"/>
    <n v="180"/>
    <n v="85"/>
    <n v="15300"/>
    <n v="1530"/>
    <n v="16830"/>
    <m/>
  </r>
  <r>
    <n v="516"/>
    <x v="8"/>
    <x v="8"/>
    <x v="0"/>
    <x v="0"/>
    <x v="8"/>
    <x v="3"/>
    <x v="0"/>
    <s v="6567"/>
    <s v="김승찬"/>
    <s v="e"/>
    <x v="0"/>
    <s v=""/>
    <x v="0"/>
    <x v="0"/>
    <s v="kg"/>
    <n v="200"/>
    <n v="85"/>
    <n v="17000"/>
    <n v="1700"/>
    <n v="18700"/>
    <m/>
  </r>
  <r>
    <n v="517"/>
    <x v="8"/>
    <x v="8"/>
    <x v="0"/>
    <x v="0"/>
    <x v="8"/>
    <x v="3"/>
    <x v="0"/>
    <s v="0439"/>
    <s v="최흥섭"/>
    <s v="e"/>
    <x v="0"/>
    <s v=""/>
    <x v="0"/>
    <x v="0"/>
    <s v="kg"/>
    <n v="230"/>
    <n v="85"/>
    <n v="19550"/>
    <n v="1955"/>
    <n v="21505"/>
    <m/>
  </r>
  <r>
    <n v="518"/>
    <x v="8"/>
    <x v="8"/>
    <x v="0"/>
    <x v="0"/>
    <x v="8"/>
    <x v="3"/>
    <x v="0"/>
    <s v="9283"/>
    <s v="김동령"/>
    <s v="e"/>
    <x v="0"/>
    <s v=""/>
    <x v="0"/>
    <x v="0"/>
    <s v="kg"/>
    <n v="110"/>
    <n v="85"/>
    <n v="9350"/>
    <n v="935"/>
    <n v="10285"/>
    <m/>
  </r>
  <r>
    <n v="519"/>
    <x v="8"/>
    <x v="8"/>
    <x v="0"/>
    <x v="0"/>
    <x v="8"/>
    <x v="3"/>
    <x v="0"/>
    <s v="4750"/>
    <s v="황한천"/>
    <s v="e"/>
    <x v="0"/>
    <s v=""/>
    <x v="0"/>
    <x v="0"/>
    <s v="kg"/>
    <n v="280"/>
    <n v="85"/>
    <n v="23800"/>
    <n v="2380"/>
    <n v="26180.000000000004"/>
    <m/>
  </r>
  <r>
    <n v="520"/>
    <x v="8"/>
    <x v="8"/>
    <x v="0"/>
    <x v="0"/>
    <x v="8"/>
    <x v="3"/>
    <x v="0"/>
    <s v="2207"/>
    <s v="이희덕"/>
    <s v="e"/>
    <x v="0"/>
    <s v=""/>
    <x v="0"/>
    <x v="0"/>
    <s v="kg"/>
    <n v="90"/>
    <n v="85"/>
    <n v="7650"/>
    <n v="765"/>
    <n v="8415"/>
    <m/>
  </r>
  <r>
    <n v="521"/>
    <x v="8"/>
    <x v="8"/>
    <x v="0"/>
    <x v="0"/>
    <x v="8"/>
    <x v="3"/>
    <x v="0"/>
    <s v="0616"/>
    <s v="권명노"/>
    <s v="e"/>
    <x v="0"/>
    <s v=""/>
    <x v="0"/>
    <x v="0"/>
    <s v="kg"/>
    <n v="450"/>
    <n v="85"/>
    <n v="38250"/>
    <n v="3825"/>
    <n v="42075"/>
    <m/>
  </r>
  <r>
    <n v="522"/>
    <x v="8"/>
    <x v="8"/>
    <x v="0"/>
    <x v="0"/>
    <x v="8"/>
    <x v="3"/>
    <x v="0"/>
    <s v="8769"/>
    <s v="수정자원"/>
    <s v="cus"/>
    <x v="0"/>
    <s v=""/>
    <x v="0"/>
    <x v="1"/>
    <s v="kg"/>
    <n v="3300"/>
    <n v="85"/>
    <n v="280500"/>
    <n v="28050"/>
    <n v="308550"/>
    <m/>
  </r>
  <r>
    <n v="523"/>
    <x v="8"/>
    <x v="8"/>
    <x v="0"/>
    <x v="0"/>
    <x v="8"/>
    <x v="3"/>
    <x v="0"/>
    <s v="4886"/>
    <s v="박준철"/>
    <s v="e"/>
    <x v="0"/>
    <s v=""/>
    <x v="0"/>
    <x v="0"/>
    <s v="kg"/>
    <n v="280"/>
    <n v="85"/>
    <n v="23800"/>
    <n v="2380"/>
    <n v="26180.000000000004"/>
    <m/>
  </r>
  <r>
    <n v="524"/>
    <x v="8"/>
    <x v="8"/>
    <x v="0"/>
    <x v="0"/>
    <x v="8"/>
    <x v="3"/>
    <x v="0"/>
    <s v="9283"/>
    <s v="김동령"/>
    <s v="e"/>
    <x v="0"/>
    <s v=""/>
    <x v="0"/>
    <x v="0"/>
    <s v="kg"/>
    <n v="200"/>
    <n v="85"/>
    <n v="17000"/>
    <n v="1700"/>
    <n v="18700"/>
    <m/>
  </r>
  <r>
    <n v="525"/>
    <x v="8"/>
    <x v="8"/>
    <x v="0"/>
    <x v="0"/>
    <x v="8"/>
    <x v="3"/>
    <x v="0"/>
    <s v="6567"/>
    <s v="김승찬"/>
    <s v="e"/>
    <x v="0"/>
    <s v=""/>
    <x v="0"/>
    <x v="0"/>
    <s v="kg"/>
    <n v="60"/>
    <n v="85"/>
    <n v="5100"/>
    <n v="510"/>
    <n v="5610"/>
    <m/>
  </r>
  <r>
    <n v="526"/>
    <x v="8"/>
    <x v="8"/>
    <x v="0"/>
    <x v="0"/>
    <x v="8"/>
    <x v="3"/>
    <x v="0"/>
    <s v="2207"/>
    <s v="이희덕"/>
    <s v="e"/>
    <x v="0"/>
    <s v=""/>
    <x v="0"/>
    <x v="0"/>
    <s v="kg"/>
    <n v="70"/>
    <n v="85"/>
    <n v="5950"/>
    <n v="595"/>
    <n v="6545.0000000000009"/>
    <m/>
  </r>
  <r>
    <n v="527"/>
    <x v="8"/>
    <x v="8"/>
    <x v="0"/>
    <x v="0"/>
    <x v="8"/>
    <x v="3"/>
    <x v="0"/>
    <s v="3855"/>
    <s v="허범진"/>
    <s v="e"/>
    <x v="0"/>
    <s v=""/>
    <x v="0"/>
    <x v="0"/>
    <s v="kg"/>
    <n v="300"/>
    <n v="85"/>
    <n v="25500"/>
    <n v="2550"/>
    <n v="28050.000000000004"/>
    <m/>
  </r>
  <r>
    <n v="528"/>
    <x v="8"/>
    <x v="8"/>
    <x v="0"/>
    <x v="0"/>
    <x v="8"/>
    <x v="3"/>
    <x v="0"/>
    <s v="0439"/>
    <s v="최흥섭"/>
    <s v="e"/>
    <x v="0"/>
    <s v=""/>
    <x v="0"/>
    <x v="0"/>
    <s v="kg"/>
    <n v="80"/>
    <n v="85"/>
    <n v="6800"/>
    <n v="680"/>
    <n v="7480.0000000000009"/>
    <m/>
  </r>
  <r>
    <n v="529"/>
    <x v="8"/>
    <x v="8"/>
    <x v="0"/>
    <x v="0"/>
    <x v="8"/>
    <x v="3"/>
    <x v="0"/>
    <s v="8876"/>
    <s v="이갑성"/>
    <s v="e"/>
    <x v="0"/>
    <s v=""/>
    <x v="10"/>
    <x v="0"/>
    <s v="kg"/>
    <n v="140"/>
    <n v="140"/>
    <n v="19600"/>
    <n v="1960"/>
    <n v="21560"/>
    <m/>
  </r>
  <r>
    <n v="530"/>
    <x v="8"/>
    <x v="8"/>
    <x v="0"/>
    <x v="0"/>
    <x v="8"/>
    <x v="3"/>
    <x v="0"/>
    <s v="2207"/>
    <s v="이희덕"/>
    <s v="e"/>
    <x v="0"/>
    <s v=""/>
    <x v="0"/>
    <x v="0"/>
    <s v="kg"/>
    <n v="80"/>
    <n v="85"/>
    <n v="6800"/>
    <n v="680"/>
    <n v="7480.0000000000009"/>
    <m/>
  </r>
  <r>
    <n v="531"/>
    <x v="8"/>
    <x v="8"/>
    <x v="0"/>
    <x v="0"/>
    <x v="8"/>
    <x v="3"/>
    <x v="0"/>
    <s v="3855"/>
    <s v="허범진"/>
    <s v="e"/>
    <x v="0"/>
    <s v=""/>
    <x v="0"/>
    <x v="0"/>
    <s v="kg"/>
    <n v="100"/>
    <n v="85"/>
    <n v="8500"/>
    <n v="850"/>
    <n v="9350"/>
    <m/>
  </r>
  <r>
    <n v="532"/>
    <x v="8"/>
    <x v="8"/>
    <x v="0"/>
    <x v="0"/>
    <x v="8"/>
    <x v="3"/>
    <x v="0"/>
    <s v="8255"/>
    <s v="정호석"/>
    <s v="e"/>
    <x v="0"/>
    <s v=""/>
    <x v="0"/>
    <x v="0"/>
    <s v="kg"/>
    <n v="230"/>
    <n v="85"/>
    <n v="19550"/>
    <n v="1955"/>
    <n v="21505"/>
    <m/>
  </r>
  <r>
    <n v="533"/>
    <x v="8"/>
    <x v="8"/>
    <x v="0"/>
    <x v="0"/>
    <x v="8"/>
    <x v="3"/>
    <x v="0"/>
    <s v="8769"/>
    <s v="수정자원"/>
    <s v="cus"/>
    <x v="0"/>
    <s v=""/>
    <x v="0"/>
    <x v="1"/>
    <s v="kg"/>
    <n v="3650"/>
    <n v="85"/>
    <n v="310250"/>
    <n v="31025"/>
    <n v="341275"/>
    <m/>
  </r>
  <r>
    <n v="534"/>
    <x v="8"/>
    <x v="8"/>
    <x v="0"/>
    <x v="0"/>
    <x v="8"/>
    <x v="3"/>
    <x v="0"/>
    <s v="8876"/>
    <s v="이갑성"/>
    <s v="e"/>
    <x v="0"/>
    <s v=""/>
    <x v="0"/>
    <x v="0"/>
    <s v="kg"/>
    <n v="40"/>
    <n v="85"/>
    <n v="3400"/>
    <n v="340"/>
    <n v="3740.0000000000005"/>
    <m/>
  </r>
  <r>
    <n v="535"/>
    <x v="8"/>
    <x v="8"/>
    <x v="0"/>
    <x v="0"/>
    <x v="8"/>
    <x v="3"/>
    <x v="0"/>
    <s v="8876"/>
    <s v="이갑성"/>
    <s v="e"/>
    <x v="0"/>
    <s v=""/>
    <x v="0"/>
    <x v="0"/>
    <s v="kg"/>
    <n v="120"/>
    <n v="85"/>
    <n v="10200"/>
    <n v="1020"/>
    <n v="11220"/>
    <m/>
  </r>
  <r>
    <n v="536"/>
    <x v="8"/>
    <x v="8"/>
    <x v="0"/>
    <x v="0"/>
    <x v="8"/>
    <x v="3"/>
    <x v="0"/>
    <s v="8769"/>
    <s v="수정자원"/>
    <s v="cus"/>
    <x v="0"/>
    <s v=""/>
    <x v="0"/>
    <x v="1"/>
    <s v="kg"/>
    <n v="3650"/>
    <n v="85"/>
    <n v="310250"/>
    <n v="31025"/>
    <n v="341275"/>
    <m/>
  </r>
  <r>
    <n v="537"/>
    <x v="8"/>
    <x v="8"/>
    <x v="0"/>
    <x v="0"/>
    <x v="8"/>
    <x v="3"/>
    <x v="0"/>
    <s v="6567"/>
    <s v="김승찬"/>
    <s v="e"/>
    <x v="0"/>
    <s v=""/>
    <x v="0"/>
    <x v="0"/>
    <s v="kg"/>
    <n v="60"/>
    <n v="85"/>
    <n v="5100"/>
    <n v="510"/>
    <n v="5610"/>
    <m/>
  </r>
  <r>
    <n v="538"/>
    <x v="8"/>
    <x v="8"/>
    <x v="0"/>
    <x v="0"/>
    <x v="8"/>
    <x v="3"/>
    <x v="0"/>
    <s v="8769"/>
    <s v="수정자원"/>
    <s v="cus"/>
    <x v="0"/>
    <s v=""/>
    <x v="0"/>
    <x v="1"/>
    <s v="kg"/>
    <n v="3780"/>
    <n v="85"/>
    <n v="321300"/>
    <n v="32130"/>
    <n v="353430"/>
    <m/>
  </r>
  <r>
    <n v="539"/>
    <x v="8"/>
    <x v="8"/>
    <x v="0"/>
    <x v="0"/>
    <x v="8"/>
    <x v="3"/>
    <x v="0"/>
    <s v="6567"/>
    <s v="김승찬"/>
    <s v="e"/>
    <x v="0"/>
    <s v=""/>
    <x v="0"/>
    <x v="0"/>
    <s v="kg"/>
    <n v="110"/>
    <n v="85"/>
    <n v="9350"/>
    <n v="935"/>
    <n v="10285"/>
    <m/>
  </r>
  <r>
    <n v="540"/>
    <x v="8"/>
    <x v="8"/>
    <x v="0"/>
    <x v="0"/>
    <x v="8"/>
    <x v="0"/>
    <x v="0"/>
    <s v="9390"/>
    <s v="정민원"/>
    <s v="e"/>
    <x v="0"/>
    <s v=""/>
    <x v="0"/>
    <x v="0"/>
    <s v="kg"/>
    <n v="130"/>
    <n v="95"/>
    <n v="12350"/>
    <n v="1235"/>
    <n v="13585.000000000002"/>
    <m/>
  </r>
  <r>
    <n v="541"/>
    <x v="8"/>
    <x v="8"/>
    <x v="0"/>
    <x v="0"/>
    <x v="8"/>
    <x v="0"/>
    <x v="0"/>
    <s v="7246"/>
    <s v="이승원"/>
    <s v="e"/>
    <x v="0"/>
    <s v=""/>
    <x v="0"/>
    <x v="0"/>
    <s v="kg"/>
    <n v="240"/>
    <n v="95"/>
    <n v="22800"/>
    <n v="2280"/>
    <n v="25080.000000000004"/>
    <m/>
  </r>
  <r>
    <n v="542"/>
    <x v="8"/>
    <x v="8"/>
    <x v="0"/>
    <x v="0"/>
    <x v="8"/>
    <x v="0"/>
    <x v="0"/>
    <s v="2986"/>
    <s v="김대식"/>
    <s v="e"/>
    <x v="0"/>
    <s v=""/>
    <x v="0"/>
    <x v="0"/>
    <s v="kg"/>
    <n v="130"/>
    <n v="95"/>
    <n v="12350"/>
    <n v="1235"/>
    <n v="13585.000000000002"/>
    <m/>
  </r>
  <r>
    <n v="543"/>
    <x v="8"/>
    <x v="8"/>
    <x v="0"/>
    <x v="0"/>
    <x v="8"/>
    <x v="0"/>
    <x v="0"/>
    <s v="7246"/>
    <s v="이승원"/>
    <s v="e"/>
    <x v="0"/>
    <s v=""/>
    <x v="0"/>
    <x v="0"/>
    <s v="kg"/>
    <n v="210"/>
    <n v="95"/>
    <n v="19950"/>
    <n v="1995"/>
    <n v="21945"/>
    <m/>
  </r>
  <r>
    <n v="544"/>
    <x v="8"/>
    <x v="8"/>
    <x v="0"/>
    <x v="0"/>
    <x v="8"/>
    <x v="0"/>
    <x v="0"/>
    <s v="5245"/>
    <s v="정민호"/>
    <s v="e"/>
    <x v="0"/>
    <s v=""/>
    <x v="0"/>
    <x v="0"/>
    <s v="kg"/>
    <n v="180"/>
    <n v="95"/>
    <n v="17100"/>
    <n v="1710"/>
    <n v="18810"/>
    <m/>
  </r>
  <r>
    <n v="545"/>
    <x v="8"/>
    <x v="8"/>
    <x v="0"/>
    <x v="0"/>
    <x v="8"/>
    <x v="0"/>
    <x v="0"/>
    <s v="0612"/>
    <s v="송환기"/>
    <s v="e"/>
    <x v="0"/>
    <s v=""/>
    <x v="0"/>
    <x v="0"/>
    <s v="kg"/>
    <n v="210"/>
    <n v="95"/>
    <n v="19950"/>
    <n v="1995"/>
    <n v="21945"/>
    <m/>
  </r>
  <r>
    <n v="546"/>
    <x v="8"/>
    <x v="8"/>
    <x v="0"/>
    <x v="0"/>
    <x v="8"/>
    <x v="0"/>
    <x v="0"/>
    <s v="7246"/>
    <s v="이승원"/>
    <s v="e"/>
    <x v="0"/>
    <s v=""/>
    <x v="0"/>
    <x v="0"/>
    <s v="kg"/>
    <n v="120"/>
    <n v="95"/>
    <n v="11400"/>
    <n v="1140"/>
    <n v="12540.000000000002"/>
    <m/>
  </r>
  <r>
    <n v="547"/>
    <x v="8"/>
    <x v="8"/>
    <x v="0"/>
    <x v="0"/>
    <x v="8"/>
    <x v="0"/>
    <x v="0"/>
    <s v="2986"/>
    <s v="김대식"/>
    <s v="e"/>
    <x v="0"/>
    <s v=""/>
    <x v="0"/>
    <x v="0"/>
    <s v="kg"/>
    <n v="200"/>
    <n v="95"/>
    <n v="19000"/>
    <n v="1900"/>
    <n v="20900"/>
    <m/>
  </r>
  <r>
    <n v="548"/>
    <x v="8"/>
    <x v="8"/>
    <x v="0"/>
    <x v="0"/>
    <x v="8"/>
    <x v="0"/>
    <x v="0"/>
    <s v="1806"/>
    <s v="김문식"/>
    <s v="e"/>
    <x v="0"/>
    <s v=""/>
    <x v="0"/>
    <x v="0"/>
    <s v="kg"/>
    <n v="150"/>
    <n v="95"/>
    <n v="14250"/>
    <n v="1425"/>
    <n v="15675.000000000002"/>
    <m/>
  </r>
  <r>
    <n v="549"/>
    <x v="8"/>
    <x v="8"/>
    <x v="0"/>
    <x v="0"/>
    <x v="8"/>
    <x v="0"/>
    <x v="0"/>
    <s v="8466"/>
    <s v="이영근"/>
    <s v="e"/>
    <x v="0"/>
    <s v=""/>
    <x v="0"/>
    <x v="0"/>
    <s v="kg"/>
    <n v="70"/>
    <n v="95"/>
    <n v="6650"/>
    <n v="665"/>
    <n v="7315.0000000000009"/>
    <m/>
  </r>
  <r>
    <n v="550"/>
    <x v="8"/>
    <x v="8"/>
    <x v="0"/>
    <x v="0"/>
    <x v="8"/>
    <x v="0"/>
    <x v="0"/>
    <s v="0612"/>
    <s v="송환기"/>
    <s v="e"/>
    <x v="0"/>
    <s v=""/>
    <x v="0"/>
    <x v="0"/>
    <s v="kg"/>
    <n v="110"/>
    <n v="95"/>
    <n v="10450"/>
    <n v="1045"/>
    <n v="11495.000000000002"/>
    <m/>
  </r>
  <r>
    <n v="551"/>
    <x v="8"/>
    <x v="8"/>
    <x v="0"/>
    <x v="0"/>
    <x v="8"/>
    <x v="0"/>
    <x v="0"/>
    <s v="9310"/>
    <s v="정상준"/>
    <s v="e"/>
    <x v="0"/>
    <s v=""/>
    <x v="0"/>
    <x v="0"/>
    <s v="kg"/>
    <n v="140"/>
    <n v="95"/>
    <n v="13300"/>
    <n v="1330"/>
    <n v="14630.000000000002"/>
    <m/>
  </r>
  <r>
    <n v="552"/>
    <x v="8"/>
    <x v="8"/>
    <x v="0"/>
    <x v="0"/>
    <x v="8"/>
    <x v="0"/>
    <x v="0"/>
    <s v="7246"/>
    <s v="이승원"/>
    <s v="e"/>
    <x v="0"/>
    <s v=""/>
    <x v="0"/>
    <x v="0"/>
    <s v="kg"/>
    <n v="300"/>
    <n v="95"/>
    <n v="28500"/>
    <n v="2850"/>
    <n v="31350.000000000004"/>
    <m/>
  </r>
  <r>
    <n v="553"/>
    <x v="8"/>
    <x v="8"/>
    <x v="0"/>
    <x v="0"/>
    <x v="8"/>
    <x v="0"/>
    <x v="0"/>
    <s v="1806"/>
    <s v="김문식"/>
    <s v="e"/>
    <x v="0"/>
    <s v=""/>
    <x v="0"/>
    <x v="0"/>
    <s v="kg"/>
    <n v="140"/>
    <n v="95"/>
    <n v="13300"/>
    <n v="1330"/>
    <n v="14630.000000000002"/>
    <m/>
  </r>
  <r>
    <n v="554"/>
    <x v="8"/>
    <x v="8"/>
    <x v="0"/>
    <x v="0"/>
    <x v="8"/>
    <x v="0"/>
    <x v="0"/>
    <s v="5245"/>
    <s v="정민호"/>
    <s v="e"/>
    <x v="0"/>
    <s v=""/>
    <x v="0"/>
    <x v="0"/>
    <s v="kg"/>
    <n v="190"/>
    <n v="95"/>
    <n v="18050"/>
    <n v="1805"/>
    <n v="19855"/>
    <m/>
  </r>
  <r>
    <n v="555"/>
    <x v="8"/>
    <x v="8"/>
    <x v="0"/>
    <x v="0"/>
    <x v="8"/>
    <x v="0"/>
    <x v="0"/>
    <s v="1310"/>
    <s v="김태홍"/>
    <s v="e"/>
    <x v="0"/>
    <s v=""/>
    <x v="0"/>
    <x v="0"/>
    <s v="kg"/>
    <n v="270"/>
    <n v="95"/>
    <n v="25650"/>
    <n v="2565"/>
    <n v="28215.000000000004"/>
    <m/>
  </r>
  <r>
    <n v="556"/>
    <x v="8"/>
    <x v="8"/>
    <x v="0"/>
    <x v="0"/>
    <x v="8"/>
    <x v="0"/>
    <x v="0"/>
    <s v="9310"/>
    <s v="정상준"/>
    <s v="e"/>
    <x v="0"/>
    <s v=""/>
    <x v="0"/>
    <x v="0"/>
    <s v="kg"/>
    <n v="250"/>
    <n v="95"/>
    <n v="23750"/>
    <n v="2375"/>
    <n v="26125.000000000004"/>
    <m/>
  </r>
  <r>
    <n v="557"/>
    <x v="8"/>
    <x v="8"/>
    <x v="0"/>
    <x v="0"/>
    <x v="8"/>
    <x v="0"/>
    <x v="0"/>
    <s v="8947"/>
    <s v="정주혁"/>
    <s v="e"/>
    <x v="0"/>
    <s v=""/>
    <x v="0"/>
    <x v="0"/>
    <s v="kg"/>
    <n v="150"/>
    <n v="95"/>
    <n v="14250"/>
    <n v="1425"/>
    <n v="15675.000000000002"/>
    <m/>
  </r>
  <r>
    <n v="558"/>
    <x v="8"/>
    <x v="8"/>
    <x v="0"/>
    <x v="0"/>
    <x v="8"/>
    <x v="0"/>
    <x v="0"/>
    <s v="9390"/>
    <s v="정민원"/>
    <s v="e"/>
    <x v="0"/>
    <s v=""/>
    <x v="0"/>
    <x v="0"/>
    <s v="kg"/>
    <n v="190"/>
    <n v="95"/>
    <n v="18050"/>
    <n v="1805"/>
    <n v="19855"/>
    <m/>
  </r>
  <r>
    <n v="559"/>
    <x v="8"/>
    <x v="8"/>
    <x v="0"/>
    <x v="0"/>
    <x v="8"/>
    <x v="0"/>
    <x v="0"/>
    <s v="9149"/>
    <s v="이강업"/>
    <s v="e"/>
    <x v="0"/>
    <s v=""/>
    <x v="0"/>
    <x v="0"/>
    <s v="kg"/>
    <n v="280"/>
    <n v="95"/>
    <n v="26600"/>
    <n v="2660"/>
    <n v="29260.000000000004"/>
    <m/>
  </r>
  <r>
    <n v="560"/>
    <x v="8"/>
    <x v="8"/>
    <x v="0"/>
    <x v="0"/>
    <x v="8"/>
    <x v="0"/>
    <x v="0"/>
    <s v="0439"/>
    <s v="최흥섭"/>
    <s v="e"/>
    <x v="0"/>
    <s v=""/>
    <x v="0"/>
    <x v="0"/>
    <s v="kg"/>
    <n v="160"/>
    <n v="95"/>
    <n v="15200"/>
    <n v="1520"/>
    <n v="16720"/>
    <m/>
  </r>
  <r>
    <n v="561"/>
    <x v="8"/>
    <x v="8"/>
    <x v="0"/>
    <x v="0"/>
    <x v="8"/>
    <x v="0"/>
    <x v="0"/>
    <s v="5245"/>
    <s v="정민호"/>
    <s v="e"/>
    <x v="0"/>
    <s v=""/>
    <x v="0"/>
    <x v="0"/>
    <s v="kg"/>
    <n v="190"/>
    <n v="95"/>
    <n v="18050"/>
    <n v="1805"/>
    <n v="19855"/>
    <m/>
  </r>
  <r>
    <n v="562"/>
    <x v="8"/>
    <x v="8"/>
    <x v="0"/>
    <x v="0"/>
    <x v="8"/>
    <x v="0"/>
    <x v="0"/>
    <s v="8466"/>
    <s v="이영근"/>
    <s v="e"/>
    <x v="0"/>
    <s v=""/>
    <x v="0"/>
    <x v="0"/>
    <s v="kg"/>
    <n v="130"/>
    <n v="95"/>
    <n v="12350"/>
    <n v="1235"/>
    <n v="13585.000000000002"/>
    <m/>
  </r>
  <r>
    <n v="563"/>
    <x v="8"/>
    <x v="8"/>
    <x v="0"/>
    <x v="0"/>
    <x v="8"/>
    <x v="0"/>
    <x v="0"/>
    <s v="0612"/>
    <s v="송환기"/>
    <s v="e"/>
    <x v="0"/>
    <s v=""/>
    <x v="0"/>
    <x v="0"/>
    <s v="kg"/>
    <n v="330"/>
    <n v="95"/>
    <n v="31350"/>
    <n v="3135"/>
    <n v="34485"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  <r>
    <m/>
    <x v="9"/>
    <x v="9"/>
    <x v="1"/>
    <x v="1"/>
    <x v="9"/>
    <x v="9"/>
    <x v="0"/>
    <m/>
    <m/>
    <m/>
    <x v="7"/>
    <m/>
    <x v="11"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5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7:E14" firstHeaderRow="1" firstDataRow="2" firstDataCol="3" rowPageCount="4" colPageCount="1"/>
  <pivotFields count="26"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ame="월" axis="axisPage" compact="0" outline="0" multipleItemSelectionAllowed="1" showAll="0">
      <items count="15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axis="axisPage" compact="0" outline="0" multipleItemSelectionAllowed="1" showAll="0" defaultSubtotal="0">
      <items count="3">
        <item h="1" m="1" x="2"/>
        <item h="1" x="1"/>
        <item x="0"/>
      </items>
    </pivotField>
    <pivotField compact="0" outline="0" multipleItemSelectionAllowed="1" showAll="0" defaultSubtotal="0"/>
    <pivotField name="일" axis="axisRow" compact="0" outline="0" multipleItemSelectionAllowed="1" showAll="0" defaultSubtotal="0">
      <items count="32">
        <item h="1" x="0"/>
        <item h="1" x="1"/>
        <item h="1" x="2"/>
        <item h="1" x="3"/>
        <item h="1" x="4"/>
        <item h="1" x="5"/>
        <item h="1" x="6"/>
        <item h="1" x="7"/>
        <item x="8"/>
        <item h="1" m="1" x="25"/>
        <item h="1" m="1" x="28"/>
        <item h="1" m="1" x="31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6"/>
        <item h="1" m="1" x="27"/>
        <item h="1" m="1" x="29"/>
        <item h="1" m="1" x="30"/>
        <item h="1" x="9"/>
      </items>
    </pivotField>
    <pivotField axis="axisRow" compact="0" outline="0" multipleItemSelectionAllowed="1" showAll="0" defaultSubtotal="0">
      <items count="16">
        <item x="3"/>
        <item x="1"/>
        <item x="0"/>
        <item x="2"/>
        <item x="4"/>
        <item x="5"/>
        <item m="1" x="10"/>
        <item x="8"/>
        <item m="1" x="11"/>
        <item m="1" x="14"/>
        <item m="1" x="15"/>
        <item m="1" x="12"/>
        <item m="1" x="13"/>
        <item x="7"/>
        <item x="9"/>
        <item x="6"/>
      </items>
    </pivotField>
    <pivotField compact="0" outline="0" showAll="0">
      <items count="6">
        <item m="1" x="2"/>
        <item x="1"/>
        <item m="1" x="3"/>
        <item m="1" x="4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>
      <items count="11">
        <item m="1" x="8"/>
        <item x="3"/>
        <item x="1"/>
        <item x="2"/>
        <item x="4"/>
        <item x="6"/>
        <item x="5"/>
        <item x="0"/>
        <item m="1" x="9"/>
        <item x="7"/>
        <item t="default"/>
      </items>
    </pivotField>
    <pivotField compact="0" outline="0" showAll="0"/>
    <pivotField axis="axisPage" compact="0" outline="0" multipleItemSelectionAllowed="1" showAll="0">
      <items count="21">
        <item x="10"/>
        <item x="0"/>
        <item x="11"/>
        <item x="2"/>
        <item x="1"/>
        <item x="4"/>
        <item x="5"/>
        <item x="3"/>
        <item x="6"/>
        <item m="1" x="17"/>
        <item m="1" x="18"/>
        <item m="1" x="14"/>
        <item x="8"/>
        <item m="1" x="13"/>
        <item x="9"/>
        <item m="1" x="12"/>
        <item m="1" x="15"/>
        <item m="1" x="16"/>
        <item x="7"/>
        <item m="1" x="19"/>
        <item t="default"/>
      </items>
    </pivotField>
    <pivotField axis="axisCol" compact="0" outline="0" showAll="0">
      <items count="4">
        <item h="1" x="0"/>
        <item sd="0" x="1"/>
        <item h="1" x="2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>
      <items count="6">
        <item x="1"/>
        <item x="2"/>
        <item x="3"/>
        <item x="4"/>
        <item x="0"/>
        <item x="5"/>
      </items>
    </pivotField>
    <pivotField compact="0" outline="0" showAll="0" defaultSubtotal="0">
      <items count="3">
        <item x="1"/>
        <item x="0"/>
        <item x="2"/>
      </items>
    </pivotField>
  </pivotFields>
  <rowFields count="3">
    <field x="23"/>
    <field x="5"/>
    <field x="6"/>
  </rowFields>
  <rowItems count="6">
    <i>
      <x/>
      <x v="8"/>
      <x/>
    </i>
    <i r="2">
      <x v="1"/>
    </i>
    <i r="2">
      <x v="3"/>
    </i>
    <i r="2">
      <x v="4"/>
    </i>
    <i r="2">
      <x v="5"/>
    </i>
    <i t="grand">
      <x/>
    </i>
  </rowItems>
  <colFields count="1">
    <field x="14"/>
  </colFields>
  <colItems count="2">
    <i>
      <x v="1"/>
    </i>
    <i t="grand">
      <x/>
    </i>
  </colItems>
  <pageFields count="4">
    <pageField fld="3" hier="-1"/>
    <pageField fld="2" hier="-1"/>
    <pageField fld="11" hier="-1"/>
    <pageField fld="13" hier="-1"/>
  </pageFields>
  <dataFields count="1">
    <dataField name="합계 : 실중량" fld="16" baseField="4" baseItem="2" numFmtId="3"/>
  </dataFields>
  <formats count="75">
    <format dxfId="114">
      <pivotArea type="all" dataOnly="0" outline="0" fieldPosition="0"/>
    </format>
    <format dxfId="113">
      <pivotArea outline="0" collapsedLevelsAreSubtotals="1" fieldPosition="0"/>
    </format>
    <format dxfId="112">
      <pivotArea type="origin" dataOnly="0" labelOnly="1" outline="0" fieldPosition="0"/>
    </format>
    <format dxfId="111">
      <pivotArea field="13" type="button" dataOnly="0" labelOnly="1" outline="0" axis="axisPage" fieldPosition="3"/>
    </format>
    <format dxfId="110">
      <pivotArea type="topRight" dataOnly="0" labelOnly="1" outline="0" fieldPosition="0"/>
    </format>
    <format dxfId="109">
      <pivotArea dataOnly="0" labelOnly="1" grandRow="1" outline="0" fieldPosition="0"/>
    </format>
    <format dxfId="108">
      <pivotArea dataOnly="0" labelOnly="1" outline="0" fieldPosition="0">
        <references count="1">
          <reference field="13" count="0"/>
        </references>
      </pivotArea>
    </format>
    <format dxfId="107">
      <pivotArea dataOnly="0" labelOnly="1" grandCol="1" outline="0" fieldPosition="0"/>
    </format>
    <format dxfId="106">
      <pivotArea outline="0" fieldPosition="0">
        <references count="1">
          <reference field="4294967294" count="1">
            <x v="0"/>
          </reference>
        </references>
      </pivotArea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type="origin" dataOnly="0" labelOnly="1" outline="0" fieldPosition="0"/>
    </format>
    <format dxfId="102">
      <pivotArea field="7" type="button" dataOnly="0" labelOnly="1" outline="0"/>
    </format>
    <format dxfId="101">
      <pivotArea type="topRight" dataOnly="0" labelOnly="1" outline="0" fieldPosition="0"/>
    </format>
    <format dxfId="100">
      <pivotArea field="6" type="button" dataOnly="0" labelOnly="1" outline="0" axis="axisRow" fieldPosition="2"/>
    </format>
    <format dxfId="99">
      <pivotArea field="14" type="button" dataOnly="0" labelOnly="1" outline="0" axis="axisCol" fieldPosition="0"/>
    </format>
    <format dxfId="98">
      <pivotArea dataOnly="0" labelOnly="1" outline="0" fieldPosition="0">
        <references count="1">
          <reference field="6" count="5">
            <x v="0"/>
            <x v="1"/>
            <x v="2"/>
            <x v="11"/>
            <x v="12"/>
          </reference>
        </references>
      </pivotArea>
    </format>
    <format dxfId="97">
      <pivotArea dataOnly="0" labelOnly="1" outline="0" fieldPosition="0">
        <references count="1">
          <reference field="6" count="5" defaultSubtotal="1">
            <x v="0"/>
            <x v="1"/>
            <x v="2"/>
            <x v="11"/>
            <x v="12"/>
          </reference>
        </references>
      </pivotArea>
    </format>
    <format dxfId="96">
      <pivotArea dataOnly="0" labelOnly="1" grandRow="1" outline="0" fieldPosition="0"/>
    </format>
    <format dxfId="95">
      <pivotArea dataOnly="0" labelOnly="1" outline="0" fieldPosition="0">
        <references count="2">
          <reference field="6" count="1" selected="0">
            <x v="0"/>
          </reference>
          <reference field="14" count="2">
            <x v="0"/>
            <x v="1"/>
          </reference>
        </references>
      </pivotArea>
    </format>
    <format dxfId="94">
      <pivotArea dataOnly="0" labelOnly="1" outline="0" fieldPosition="0">
        <references count="2">
          <reference field="6" count="1" selected="0">
            <x v="1"/>
          </reference>
          <reference field="14" count="2">
            <x v="0"/>
            <x v="1"/>
          </reference>
        </references>
      </pivotArea>
    </format>
    <format dxfId="93">
      <pivotArea dataOnly="0" labelOnly="1" outline="0" fieldPosition="0">
        <references count="2">
          <reference field="6" count="1" selected="0">
            <x v="2"/>
          </reference>
          <reference field="14" count="2">
            <x v="0"/>
            <x v="1"/>
          </reference>
        </references>
      </pivotArea>
    </format>
    <format dxfId="92">
      <pivotArea dataOnly="0" labelOnly="1" outline="0" fieldPosition="0">
        <references count="2">
          <reference field="6" count="1" selected="0">
            <x v="11"/>
          </reference>
          <reference field="14" count="1">
            <x v="0"/>
          </reference>
        </references>
      </pivotArea>
    </format>
    <format dxfId="91">
      <pivotArea dataOnly="0" labelOnly="1" outline="0" fieldPosition="0">
        <references count="2">
          <reference field="6" count="1" selected="0">
            <x v="12"/>
          </reference>
          <reference field="14" count="1">
            <x v="0"/>
          </reference>
        </references>
      </pivotArea>
    </format>
    <format dxfId="90">
      <pivotArea dataOnly="0" labelOnly="1" grandCol="1" outline="0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type="origin" dataOnly="0" labelOnly="1" outline="0" fieldPosition="0"/>
    </format>
    <format dxfId="86">
      <pivotArea field="14" type="button" dataOnly="0" labelOnly="1" outline="0" axis="axisCol" fieldPosition="0"/>
    </format>
    <format dxfId="85">
      <pivotArea field="7" type="button" dataOnly="0" labelOnly="1" outline="0"/>
    </format>
    <format dxfId="84">
      <pivotArea type="topRight" dataOnly="0" labelOnly="1" outline="0" fieldPosition="0"/>
    </format>
    <format dxfId="83">
      <pivotArea field="6" type="button" dataOnly="0" labelOnly="1" outline="0" axis="axisRow" fieldPosition="2"/>
    </format>
    <format dxfId="82">
      <pivotArea dataOnly="0" labelOnly="1" outline="0" fieldPosition="0">
        <references count="1">
          <reference field="6" count="4">
            <x v="0"/>
            <x v="1"/>
            <x v="2"/>
            <x v="11"/>
          </reference>
        </references>
      </pivotArea>
    </format>
    <format dxfId="81">
      <pivotArea dataOnly="0" labelOnly="1" grandRow="1" outline="0" fieldPosition="0"/>
    </format>
    <format dxfId="80">
      <pivotArea dataOnly="0" labelOnly="1" outline="0" fieldPosition="0">
        <references count="1">
          <reference field="14" count="2">
            <x v="0"/>
            <x v="1"/>
          </reference>
        </references>
      </pivotArea>
    </format>
    <format dxfId="79">
      <pivotArea dataOnly="0" labelOnly="1" outline="0" fieldPosition="0">
        <references count="1">
          <reference field="14" count="2" defaultSubtotal="1">
            <x v="0"/>
            <x v="1"/>
          </reference>
        </references>
      </pivotArea>
    </format>
    <format dxfId="78">
      <pivotArea dataOnly="0" labelOnly="1" grandCol="1" outline="0" fieldPosition="0"/>
    </format>
    <format dxfId="77">
      <pivotArea dataOnly="0" labelOnly="1" outline="0" fieldPosition="0">
        <references count="1">
          <reference field="11" count="0"/>
        </references>
      </pivotArea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type="origin" dataOnly="0" labelOnly="1" outline="0" fieldPosition="0"/>
    </format>
    <format dxfId="73">
      <pivotArea field="14" type="button" dataOnly="0" labelOnly="1" outline="0" axis="axisCol" fieldPosition="0"/>
    </format>
    <format dxfId="72">
      <pivotArea field="7" type="button" dataOnly="0" labelOnly="1" outline="0"/>
    </format>
    <format dxfId="71">
      <pivotArea field="6" type="button" dataOnly="0" labelOnly="1" outline="0" axis="axisRow" fieldPosition="2"/>
    </format>
    <format dxfId="70">
      <pivotArea field="5" type="button" dataOnly="0" labelOnly="1" outline="0" axis="axisRow" fieldPosition="1"/>
    </format>
    <format dxfId="69">
      <pivotArea dataOnly="0" labelOnly="1" outline="0" fieldPosition="0">
        <references count="1">
          <reference field="6" count="5">
            <x v="0"/>
            <x v="1"/>
            <x v="3"/>
            <x v="4"/>
            <x v="5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2">
          <reference field="5" count="0"/>
          <reference field="6" count="1" selected="0">
            <x v="0"/>
          </reference>
        </references>
      </pivotArea>
    </format>
    <format dxfId="66">
      <pivotArea dataOnly="0" labelOnly="1" outline="0" fieldPosition="0">
        <references count="2">
          <reference field="5" count="0"/>
          <reference field="6" count="1" selected="0">
            <x v="1"/>
          </reference>
        </references>
      </pivotArea>
    </format>
    <format dxfId="65">
      <pivotArea dataOnly="0" labelOnly="1" outline="0" fieldPosition="0">
        <references count="2">
          <reference field="5" count="0"/>
          <reference field="6" count="1" selected="0">
            <x v="3"/>
          </reference>
        </references>
      </pivotArea>
    </format>
    <format dxfId="64">
      <pivotArea dataOnly="0" labelOnly="1" outline="0" fieldPosition="0">
        <references count="2">
          <reference field="5" count="1">
            <x v="1"/>
          </reference>
          <reference field="6" count="1" selected="0">
            <x v="4"/>
          </reference>
        </references>
      </pivotArea>
    </format>
    <format dxfId="63">
      <pivotArea dataOnly="0" labelOnly="1" outline="0" fieldPosition="0">
        <references count="2">
          <reference field="5" count="1">
            <x v="1"/>
          </reference>
          <reference field="6" count="1" selected="0">
            <x v="5"/>
          </reference>
        </references>
      </pivotArea>
    </format>
    <format dxfId="62">
      <pivotArea dataOnly="0" labelOnly="1" outline="0" fieldPosition="0">
        <references count="1">
          <reference field="14" count="0"/>
        </references>
      </pivotArea>
    </format>
    <format dxfId="61">
      <pivotArea dataOnly="0" labelOnly="1" grandCol="1" outline="0" fieldPosition="0"/>
    </format>
    <format dxfId="60">
      <pivotArea dataOnly="0" labelOnly="1" outline="0" fieldPosition="0">
        <references count="2">
          <reference field="5" count="0"/>
          <reference field="6" count="1" selected="0">
            <x v="0"/>
          </reference>
        </references>
      </pivotArea>
    </format>
    <format dxfId="59">
      <pivotArea dataOnly="0" labelOnly="1" outline="0" fieldPosition="0">
        <references count="2">
          <reference field="5" count="0"/>
          <reference field="6" count="1" selected="0">
            <x v="1"/>
          </reference>
        </references>
      </pivotArea>
    </format>
    <format dxfId="58">
      <pivotArea dataOnly="0" labelOnly="1" outline="0" fieldPosition="0">
        <references count="2">
          <reference field="5" count="0"/>
          <reference field="6" count="1" selected="0">
            <x v="3"/>
          </reference>
        </references>
      </pivotArea>
    </format>
    <format dxfId="57">
      <pivotArea dataOnly="0" labelOnly="1" outline="0" fieldPosition="0">
        <references count="2">
          <reference field="5" count="1">
            <x v="1"/>
          </reference>
          <reference field="6" count="1" selected="0">
            <x v="4"/>
          </reference>
        </references>
      </pivotArea>
    </format>
    <format dxfId="56">
      <pivotArea dataOnly="0" labelOnly="1" outline="0" fieldPosition="0">
        <references count="2">
          <reference field="5" count="1">
            <x v="1"/>
          </reference>
          <reference field="6" count="1" selected="0">
            <x v="5"/>
          </reference>
        </references>
      </pivotArea>
    </format>
    <format dxfId="55">
      <pivotArea dataOnly="0" labelOnly="1" outline="0" fieldPosition="0">
        <references count="2">
          <reference field="5" count="1">
            <x v="3"/>
          </reference>
          <reference field="23" count="1" selected="0">
            <x v="0"/>
          </reference>
        </references>
      </pivotArea>
    </format>
    <format dxfId="54">
      <pivotArea dataOnly="0" labelOnly="1" outline="0" fieldPosition="0">
        <references count="2">
          <reference field="5" count="1">
            <x v="4"/>
          </reference>
          <reference field="23" count="1" selected="0">
            <x v="0"/>
          </reference>
        </references>
      </pivotArea>
    </format>
    <format dxfId="53">
      <pivotArea dataOnly="0" labelOnly="1" outline="0" fieldPosition="0">
        <references count="2">
          <reference field="5" count="1">
            <x v="3"/>
          </reference>
          <reference field="23" count="1" selected="0">
            <x v="0"/>
          </reference>
        </references>
      </pivotArea>
    </format>
    <format dxfId="52">
      <pivotArea dataOnly="0" labelOnly="1" outline="0" fieldPosition="0">
        <references count="2">
          <reference field="5" count="1">
            <x v="4"/>
          </reference>
          <reference field="23" count="1" selected="0">
            <x v="0"/>
          </reference>
        </references>
      </pivotArea>
    </format>
    <format dxfId="51">
      <pivotArea dataOnly="0" labelOnly="1" outline="0" fieldPosition="0">
        <references count="2">
          <reference field="5" count="1">
            <x v="3"/>
          </reference>
          <reference field="23" count="1" selected="0">
            <x v="0"/>
          </reference>
        </references>
      </pivotArea>
    </format>
    <format dxfId="50">
      <pivotArea dataOnly="0" labelOnly="1" outline="0" fieldPosition="0">
        <references count="2">
          <reference field="5" count="1">
            <x v="4"/>
          </reference>
          <reference field="23" count="1" selected="0">
            <x v="0"/>
          </reference>
        </references>
      </pivotArea>
    </format>
    <format dxfId="49">
      <pivotArea dataOnly="0" labelOnly="1" outline="0" fieldPosition="0">
        <references count="2">
          <reference field="5" count="1">
            <x v="5"/>
          </reference>
          <reference field="23" count="1" selected="0">
            <x v="0"/>
          </reference>
        </references>
      </pivotArea>
    </format>
    <format dxfId="48">
      <pivotArea dataOnly="0" labelOnly="1" outline="0" fieldPosition="0">
        <references count="2">
          <reference field="5" count="1">
            <x v="6"/>
          </reference>
          <reference field="23" count="1" selected="0">
            <x v="0"/>
          </reference>
        </references>
      </pivotArea>
    </format>
    <format dxfId="47">
      <pivotArea dataOnly="0" labelOnly="1" outline="0" offset="IV1" fieldPosition="0">
        <references count="2">
          <reference field="5" count="1">
            <x v="5"/>
          </reference>
          <reference field="23" count="1" selected="0">
            <x v="0"/>
          </reference>
        </references>
      </pivotArea>
    </format>
    <format dxfId="46">
      <pivotArea dataOnly="0" labelOnly="1" outline="0" offset="IV1" fieldPosition="0">
        <references count="2">
          <reference field="5" count="1">
            <x v="5"/>
          </reference>
          <reference field="23" count="1" selected="0">
            <x v="0"/>
          </reference>
        </references>
      </pivotArea>
    </format>
    <format dxfId="45">
      <pivotArea dataOnly="0" labelOnly="1" outline="0" offset="IV1" fieldPosition="0">
        <references count="2">
          <reference field="5" count="1">
            <x v="5"/>
          </reference>
          <reference field="23" count="1" selected="0">
            <x v="0"/>
          </reference>
        </references>
      </pivotArea>
    </format>
    <format dxfId="44">
      <pivotArea dataOnly="0" labelOnly="1" outline="0" fieldPosition="0">
        <references count="2">
          <reference field="5" count="1">
            <x v="5"/>
          </reference>
          <reference field="23" count="1" selected="0">
            <x v="0"/>
          </reference>
        </references>
      </pivotArea>
    </format>
    <format dxfId="43">
      <pivotArea dataOnly="0" labelOnly="1" outline="0" fieldPosition="0">
        <references count="2">
          <reference field="5" count="1">
            <x v="5"/>
          </reference>
          <reference field="23" count="1" selected="0">
            <x v="0"/>
          </reference>
        </references>
      </pivotArea>
    </format>
    <format dxfId="42">
      <pivotArea dataOnly="0" labelOnly="1" outline="0" fieldPosition="0">
        <references count="2">
          <reference field="5" count="1">
            <x v="6"/>
          </reference>
          <reference field="23" count="1" selected="0">
            <x v="0"/>
          </reference>
        </references>
      </pivotArea>
    </format>
    <format dxfId="41">
      <pivotArea dataOnly="0" labelOnly="1" outline="0" fieldPosition="0">
        <references count="2">
          <reference field="5" count="0"/>
          <reference field="23" count="1" selected="0">
            <x v="0"/>
          </reference>
        </references>
      </pivotArea>
    </format>
    <format dxfId="40">
      <pivotArea dataOnly="0" labelOnly="1" outline="0" fieldPosition="0">
        <references count="2">
          <reference field="5" count="0"/>
          <reference field="23" count="1" selected="0">
            <x v="0"/>
          </reference>
        </references>
      </pivotArea>
    </format>
  </formats>
  <pivotTableStyleInfo name="PivotStyleLight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15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6:C9" firstHeaderRow="1" firstDataRow="3" firstDataCol="1" rowPageCount="4" colPageCount="1"/>
  <pivotFields count="26"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multipleItemSelectionAllowed="1" showAll="0" defaultSubtotal="0">
      <items count="3">
        <item m="1" x="2"/>
        <item h="1" x="1"/>
        <item h="1" x="0"/>
      </items>
    </pivotField>
    <pivotField axis="axisPage" compact="0" outline="0" multipleItemSelectionAllowed="1" showAll="0" defaultSubtotal="0">
      <items count="4">
        <item h="1" m="1" x="3"/>
        <item h="1" x="1"/>
        <item m="1" x="2"/>
        <item h="1" x="0"/>
      </items>
    </pivotField>
    <pivotField compact="0" outline="0" showAll="0" defaultSubtotal="0"/>
    <pivotField axis="axisRow" compact="0" outline="0" multipleItemSelectionAllowed="1" showAll="0">
      <items count="17">
        <item x="3"/>
        <item x="1"/>
        <item x="0"/>
        <item x="2"/>
        <item x="4"/>
        <item x="5"/>
        <item m="1" x="10"/>
        <item x="8"/>
        <item m="1" x="11"/>
        <item m="1" x="14"/>
        <item m="1" x="15"/>
        <item m="1" x="12"/>
        <item m="1" x="13"/>
        <item x="7"/>
        <item x="9"/>
        <item x="6"/>
        <item t="default"/>
      </items>
    </pivotField>
    <pivotField axis="axisCol" compact="0" outline="0" showAll="0">
      <items count="6">
        <item m="1" x="2"/>
        <item x="1"/>
        <item m="1" x="3"/>
        <item m="1" x="4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>
      <items count="11">
        <item h="1" m="1" x="8"/>
        <item h="1" x="3"/>
        <item h="1" x="1"/>
        <item h="1" x="2"/>
        <item h="1" x="4"/>
        <item h="1" x="6"/>
        <item h="1" x="5"/>
        <item x="0"/>
        <item h="1" m="1" x="9"/>
        <item h="1" x="7"/>
        <item t="default"/>
      </items>
    </pivotField>
    <pivotField compact="0" outline="0" showAll="0"/>
    <pivotField axis="axisPage" compact="0" outline="0" multipleItemSelectionAllowed="1" showAll="0">
      <items count="21">
        <item x="10"/>
        <item x="0"/>
        <item h="1" x="11"/>
        <item x="2"/>
        <item h="1" x="1"/>
        <item h="1" x="4"/>
        <item h="1" x="5"/>
        <item h="1" x="3"/>
        <item h="1" x="6"/>
        <item h="1" m="1" x="17"/>
        <item h="1" m="1" x="18"/>
        <item h="1" m="1" x="14"/>
        <item h="1" x="8"/>
        <item h="1" m="1" x="13"/>
        <item h="1" x="9"/>
        <item h="1" m="1" x="12"/>
        <item h="1" m="1" x="15"/>
        <item h="1" m="1" x="16"/>
        <item h="1" x="7"/>
        <item h="1" m="1" x="19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6">
        <item x="1"/>
        <item x="2"/>
        <item x="3"/>
        <item x="4"/>
        <item x="0"/>
        <item x="5"/>
      </items>
    </pivotField>
    <pivotField compact="0" outline="0" showAll="0" defaultSubtotal="0">
      <items count="3">
        <item x="1"/>
        <item x="0"/>
        <item x="2"/>
      </items>
    </pivotField>
    <pivotField compact="0" outline="0" showAll="0" defaultSubtotal="0">
      <items count="6">
        <item x="1"/>
        <item x="2"/>
        <item x="3"/>
        <item x="4"/>
        <item x="0"/>
        <item x="5"/>
      </items>
    </pivotField>
    <pivotField compact="0" outline="0" showAll="0" defaultSubtotal="0">
      <items count="3">
        <item x="1"/>
        <item x="0"/>
        <item x="2"/>
      </items>
    </pivotField>
  </pivotFields>
  <rowFields count="1">
    <field x="6"/>
  </rowFields>
  <rowItems count="1">
    <i t="grand">
      <x/>
    </i>
  </rowItems>
  <colFields count="2">
    <field x="14"/>
    <field x="7"/>
  </colFields>
  <colItems count="1">
    <i t="grand">
      <x/>
    </i>
  </colItems>
  <pageFields count="4">
    <pageField fld="3" hier="-1"/>
    <pageField fld="4" hier="-1"/>
    <pageField fld="11" hier="-1"/>
    <pageField fld="13" hier="-1"/>
  </pageFields>
  <dataFields count="1">
    <dataField name="합계 : 실중량" fld="16" baseField="4" baseItem="2" numFmtId="3"/>
  </dataFields>
  <formats count="40"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13" type="button" dataOnly="0" labelOnly="1" outline="0" axis="axisPage" fieldPosition="3"/>
    </format>
    <format dxfId="35">
      <pivotArea type="topRight" dataOnly="0" labelOnly="1" outline="0" fieldPosition="0"/>
    </format>
    <format dxfId="34">
      <pivotArea dataOnly="0" labelOnly="1" grandRow="1" outline="0" fieldPosition="0"/>
    </format>
    <format dxfId="33">
      <pivotArea dataOnly="0" labelOnly="1" outline="0" fieldPosition="0">
        <references count="1">
          <reference field="13" count="0"/>
        </references>
      </pivotArea>
    </format>
    <format dxfId="32">
      <pivotArea dataOnly="0" labelOnly="1" grandCol="1" outline="0" fieldPosition="0"/>
    </format>
    <format dxfId="31">
      <pivotArea outline="0" fieldPosition="0">
        <references count="1">
          <reference field="4294967294" count="1">
            <x v="0"/>
          </reference>
        </references>
      </pivotArea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type="origin" dataOnly="0" labelOnly="1" outline="0" fieldPosition="0"/>
    </format>
    <format dxfId="27">
      <pivotArea field="7" type="button" dataOnly="0" labelOnly="1" outline="0" axis="axisCol" fieldPosition="1"/>
    </format>
    <format dxfId="26">
      <pivotArea type="topRight" dataOnly="0" labelOnly="1" outline="0" fieldPosition="0"/>
    </format>
    <format dxfId="25">
      <pivotArea field="6" type="button" dataOnly="0" labelOnly="1" outline="0" axis="axisRow" fieldPosition="0"/>
    </format>
    <format dxfId="24">
      <pivotArea field="14" type="button" dataOnly="0" labelOnly="1" outline="0" axis="axisCol" fieldPosition="0"/>
    </format>
    <format dxfId="23">
      <pivotArea dataOnly="0" labelOnly="1" outline="0" fieldPosition="0">
        <references count="1">
          <reference field="6" count="5">
            <x v="0"/>
            <x v="1"/>
            <x v="2"/>
            <x v="11"/>
            <x v="12"/>
          </reference>
        </references>
      </pivotArea>
    </format>
    <format dxfId="22">
      <pivotArea dataOnly="0" labelOnly="1" outline="0" fieldPosition="0">
        <references count="1">
          <reference field="6" count="5" defaultSubtotal="1">
            <x v="0"/>
            <x v="1"/>
            <x v="2"/>
            <x v="11"/>
            <x v="12"/>
          </reference>
        </references>
      </pivotArea>
    </format>
    <format dxfId="21">
      <pivotArea dataOnly="0" labelOnly="1" grandRow="1" outline="0" fieldPosition="0"/>
    </format>
    <format dxfId="20">
      <pivotArea dataOnly="0" labelOnly="1" outline="0" fieldPosition="0">
        <references count="2">
          <reference field="6" count="1" selected="0">
            <x v="0"/>
          </reference>
          <reference field="14" count="2">
            <x v="0"/>
            <x v="1"/>
          </reference>
        </references>
      </pivotArea>
    </format>
    <format dxfId="19">
      <pivotArea dataOnly="0" labelOnly="1" outline="0" fieldPosition="0">
        <references count="2">
          <reference field="6" count="1" selected="0">
            <x v="1"/>
          </reference>
          <reference field="14" count="2">
            <x v="0"/>
            <x v="1"/>
          </reference>
        </references>
      </pivotArea>
    </format>
    <format dxfId="18">
      <pivotArea dataOnly="0" labelOnly="1" outline="0" fieldPosition="0">
        <references count="2">
          <reference field="6" count="1" selected="0">
            <x v="2"/>
          </reference>
          <reference field="14" count="2">
            <x v="0"/>
            <x v="1"/>
          </reference>
        </references>
      </pivotArea>
    </format>
    <format dxfId="17">
      <pivotArea dataOnly="0" labelOnly="1" outline="0" fieldPosition="0">
        <references count="2">
          <reference field="6" count="1" selected="0">
            <x v="11"/>
          </reference>
          <reference field="14" count="1">
            <x v="0"/>
          </reference>
        </references>
      </pivotArea>
    </format>
    <format dxfId="16">
      <pivotArea dataOnly="0" labelOnly="1" outline="0" fieldPosition="0">
        <references count="2">
          <reference field="6" count="1" selected="0">
            <x v="12"/>
          </reference>
          <reference field="14" count="1">
            <x v="0"/>
          </reference>
        </references>
      </pivotArea>
    </format>
    <format dxfId="15">
      <pivotArea dataOnly="0" labelOnly="1" outline="0" fieldPosition="0">
        <references count="1">
          <reference field="7" count="3">
            <x v="0"/>
            <x v="1"/>
            <x v="4"/>
          </reference>
        </references>
      </pivotArea>
    </format>
    <format dxfId="14">
      <pivotArea dataOnly="0" labelOnly="1" grandCol="1" outline="0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type="origin" dataOnly="0" labelOnly="1" outline="0" fieldPosition="0"/>
    </format>
    <format dxfId="10">
      <pivotArea field="14" type="button" dataOnly="0" labelOnly="1" outline="0" axis="axisCol" fieldPosition="0"/>
    </format>
    <format dxfId="9">
      <pivotArea field="7" type="button" dataOnly="0" labelOnly="1" outline="0" axis="axisCol" fieldPosition="1"/>
    </format>
    <format dxfId="8">
      <pivotArea type="topRight" dataOnly="0" labelOnly="1" outline="0" fieldPosition="0"/>
    </format>
    <format dxfId="7">
      <pivotArea field="6" type="button" dataOnly="0" labelOnly="1" outline="0" axis="axisRow" fieldPosition="0"/>
    </format>
    <format dxfId="6">
      <pivotArea dataOnly="0" labelOnly="1" outline="0" fieldPosition="0">
        <references count="1">
          <reference field="6" count="4">
            <x v="0"/>
            <x v="1"/>
            <x v="2"/>
            <x v="11"/>
          </reference>
        </references>
      </pivotArea>
    </format>
    <format dxfId="5">
      <pivotArea dataOnly="0" labelOnly="1" grandRow="1" outline="0" fieldPosition="0"/>
    </format>
    <format dxfId="4">
      <pivotArea dataOnly="0" labelOnly="1" outline="0" fieldPosition="0">
        <references count="1">
          <reference field="14" count="2">
            <x v="0"/>
            <x v="1"/>
          </reference>
        </references>
      </pivotArea>
    </format>
    <format dxfId="3">
      <pivotArea dataOnly="0" labelOnly="1" outline="0" fieldPosition="0">
        <references count="1">
          <reference field="14" count="2" defaultSubtotal="1">
            <x v="0"/>
            <x v="1"/>
          </reference>
        </references>
      </pivotArea>
    </format>
    <format dxfId="2">
      <pivotArea dataOnly="0" labelOnly="1" grandCol="1" outline="0" fieldPosition="0"/>
    </format>
    <format dxfId="1">
      <pivotArea dataOnly="0" labelOnly="1" outline="0" fieldPosition="0">
        <references count="2">
          <reference field="7" count="2">
            <x v="1"/>
            <x v="4"/>
          </reference>
          <reference field="14" count="1" selected="0">
            <x v="0"/>
          </reference>
        </references>
      </pivotArea>
    </format>
    <format dxfId="0">
      <pivotArea dataOnly="0" labelOnly="1" outline="0" fieldPosition="0">
        <references count="2">
          <reference field="7" count="3">
            <x v="0"/>
            <x v="1"/>
            <x v="4"/>
          </reference>
          <reference field="1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3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3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4.xml><?xml version="1.0" encoding="utf-8"?>
<queryTable xmlns="http://schemas.openxmlformats.org/spreadsheetml/2006/main" name="JWLee_2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5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6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7.xml><?xml version="1.0" encoding="utf-8"?>
<queryTable xmlns="http://schemas.openxmlformats.org/spreadsheetml/2006/main" name="JWLee_2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9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0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1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2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3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14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5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16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7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8.xml><?xml version="1.0" encoding="utf-8"?>
<queryTable xmlns="http://schemas.openxmlformats.org/spreadsheetml/2006/main" name="JWLee_2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9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20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1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2.xml><?xml version="1.0" encoding="utf-8"?>
<queryTable xmlns="http://schemas.openxmlformats.org/spreadsheetml/2006/main" name="JWLee_2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3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_2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5.xml><?xml version="1.0" encoding="utf-8"?>
<queryTable xmlns="http://schemas.openxmlformats.org/spreadsheetml/2006/main" name="JWLee_2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6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7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8.xml><?xml version="1.0" encoding="utf-8"?>
<queryTable xmlns="http://schemas.openxmlformats.org/spreadsheetml/2006/main" name="JWLee_2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9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30.xml><?xml version="1.0" encoding="utf-8"?>
<queryTable xmlns="http://schemas.openxmlformats.org/spreadsheetml/2006/main" name="JWLee_2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1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8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910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G2" sqref="G2"/>
    </sheetView>
  </sheetViews>
  <sheetFormatPr defaultRowHeight="13.5" x14ac:dyDescent="0.25"/>
  <cols>
    <col min="1" max="1" width="5" style="1" bestFit="1" customWidth="1"/>
    <col min="2" max="3" width="10" style="1" bestFit="1" customWidth="1"/>
    <col min="4" max="6" width="8.375" style="1" bestFit="1" customWidth="1"/>
    <col min="7" max="7" width="13.125" style="1" bestFit="1" customWidth="1"/>
    <col min="8" max="8" width="6.75" style="1" bestFit="1" customWidth="1"/>
    <col min="9" max="9" width="10" style="1" bestFit="1" customWidth="1"/>
    <col min="10" max="10" width="9.625" style="1" bestFit="1" customWidth="1"/>
    <col min="11" max="11" width="5" style="1" bestFit="1" customWidth="1"/>
    <col min="12" max="12" width="13.125" style="1" bestFit="1" customWidth="1"/>
    <col min="13" max="13" width="7.75" style="1" bestFit="1" customWidth="1"/>
    <col min="14" max="14" width="9.62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1" width="8.375" style="1" bestFit="1" customWidth="1"/>
    <col min="22" max="22" width="8.875" style="1" bestFit="1" customWidth="1"/>
    <col min="23" max="16384" width="9" style="1"/>
  </cols>
  <sheetData>
    <row r="1" spans="1:22" x14ac:dyDescent="0.25">
      <c r="A1" s="7" t="s">
        <v>7</v>
      </c>
      <c r="B1" s="7" t="s">
        <v>8</v>
      </c>
      <c r="C1" s="7" t="s">
        <v>16</v>
      </c>
      <c r="D1" s="7" t="s">
        <v>43</v>
      </c>
      <c r="E1" s="7" t="s">
        <v>44</v>
      </c>
      <c r="F1" s="7" t="s">
        <v>45</v>
      </c>
      <c r="G1" s="7" t="s">
        <v>17</v>
      </c>
      <c r="H1" s="7" t="s">
        <v>18</v>
      </c>
      <c r="I1" s="7" t="s">
        <v>24</v>
      </c>
      <c r="J1" s="7" t="s">
        <v>26</v>
      </c>
      <c r="K1" s="7" t="s">
        <v>27</v>
      </c>
      <c r="L1" s="7" t="s">
        <v>19</v>
      </c>
      <c r="M1" s="7" t="s">
        <v>20</v>
      </c>
      <c r="N1" s="7" t="s">
        <v>9</v>
      </c>
      <c r="O1" s="7" t="s">
        <v>0</v>
      </c>
      <c r="P1" s="7" t="s">
        <v>10</v>
      </c>
      <c r="Q1" s="7" t="s">
        <v>11</v>
      </c>
      <c r="R1" s="7" t="s">
        <v>12</v>
      </c>
      <c r="S1" s="7" t="s">
        <v>13</v>
      </c>
      <c r="T1" s="7" t="s">
        <v>14</v>
      </c>
      <c r="U1" s="7" t="s">
        <v>15</v>
      </c>
      <c r="V1" s="7" t="s">
        <v>1</v>
      </c>
    </row>
    <row r="2" spans="1:22" x14ac:dyDescent="0.25">
      <c r="A2" s="1">
        <v>1</v>
      </c>
      <c r="B2" s="2">
        <v>45292</v>
      </c>
      <c r="C2" s="2">
        <v>45292</v>
      </c>
      <c r="D2" s="4">
        <v>2024</v>
      </c>
      <c r="E2" s="4">
        <v>1</v>
      </c>
      <c r="F2" s="4">
        <v>1</v>
      </c>
      <c r="G2" s="1" t="s">
        <v>30</v>
      </c>
      <c r="I2" s="1" t="s">
        <v>107</v>
      </c>
      <c r="J2" s="1" t="s">
        <v>108</v>
      </c>
      <c r="K2" s="3" t="s">
        <v>28</v>
      </c>
      <c r="L2" s="3" t="s">
        <v>6</v>
      </c>
      <c r="M2" s="3" t="s">
        <v>23</v>
      </c>
      <c r="N2" s="3" t="s">
        <v>4</v>
      </c>
      <c r="O2" s="3" t="s">
        <v>5</v>
      </c>
      <c r="P2" s="3" t="s">
        <v>3</v>
      </c>
      <c r="Q2" s="3">
        <v>110</v>
      </c>
      <c r="R2" s="3">
        <v>95</v>
      </c>
      <c r="S2" s="3">
        <v>10450</v>
      </c>
      <c r="T2" s="3">
        <v>1045</v>
      </c>
      <c r="U2" s="3">
        <v>11495.000000000002</v>
      </c>
    </row>
    <row r="3" spans="1:22" x14ac:dyDescent="0.25">
      <c r="A3" s="1">
        <v>2</v>
      </c>
      <c r="B3" s="2">
        <v>45292</v>
      </c>
      <c r="C3" s="2">
        <v>45292</v>
      </c>
      <c r="D3" s="4">
        <v>2024</v>
      </c>
      <c r="E3" s="4">
        <v>1</v>
      </c>
      <c r="F3" s="4">
        <v>1</v>
      </c>
      <c r="G3" s="1" t="s">
        <v>30</v>
      </c>
      <c r="I3" s="1" t="s">
        <v>86</v>
      </c>
      <c r="J3" s="1" t="s">
        <v>87</v>
      </c>
      <c r="K3" s="3" t="s">
        <v>28</v>
      </c>
      <c r="L3" s="3" t="s">
        <v>6</v>
      </c>
      <c r="M3" s="3" t="s">
        <v>23</v>
      </c>
      <c r="N3" s="3" t="s">
        <v>4</v>
      </c>
      <c r="O3" s="3" t="s">
        <v>5</v>
      </c>
      <c r="P3" s="3" t="s">
        <v>3</v>
      </c>
      <c r="Q3" s="3">
        <v>230</v>
      </c>
      <c r="R3" s="3">
        <v>95</v>
      </c>
      <c r="S3" s="3">
        <v>21850</v>
      </c>
      <c r="T3" s="3">
        <v>2185</v>
      </c>
      <c r="U3" s="3">
        <v>24035.000000000004</v>
      </c>
    </row>
    <row r="4" spans="1:22" x14ac:dyDescent="0.25">
      <c r="A4" s="1">
        <v>3</v>
      </c>
      <c r="B4" s="2">
        <v>45292</v>
      </c>
      <c r="C4" s="2">
        <v>45292</v>
      </c>
      <c r="D4" s="4">
        <v>2024</v>
      </c>
      <c r="E4" s="4">
        <v>1</v>
      </c>
      <c r="F4" s="4">
        <v>1</v>
      </c>
      <c r="G4" s="1" t="s">
        <v>30</v>
      </c>
      <c r="I4" s="1" t="s">
        <v>86</v>
      </c>
      <c r="J4" s="1" t="s">
        <v>87</v>
      </c>
      <c r="K4" s="3" t="s">
        <v>28</v>
      </c>
      <c r="L4" s="3" t="s">
        <v>6</v>
      </c>
      <c r="M4" s="3" t="s">
        <v>23</v>
      </c>
      <c r="N4" s="3" t="s">
        <v>4</v>
      </c>
      <c r="O4" s="3" t="s">
        <v>5</v>
      </c>
      <c r="P4" s="3" t="s">
        <v>3</v>
      </c>
      <c r="Q4" s="3">
        <v>210</v>
      </c>
      <c r="R4" s="3">
        <v>95</v>
      </c>
      <c r="S4" s="3">
        <v>19950</v>
      </c>
      <c r="T4" s="3">
        <v>1995</v>
      </c>
      <c r="U4" s="3">
        <v>21945</v>
      </c>
    </row>
    <row r="5" spans="1:22" x14ac:dyDescent="0.25">
      <c r="A5" s="1">
        <v>4</v>
      </c>
      <c r="B5" s="2">
        <v>45292</v>
      </c>
      <c r="C5" s="2">
        <v>45292</v>
      </c>
      <c r="D5" s="4">
        <v>2024</v>
      </c>
      <c r="E5" s="4">
        <v>1</v>
      </c>
      <c r="F5" s="4">
        <v>1</v>
      </c>
      <c r="G5" s="1" t="s">
        <v>30</v>
      </c>
      <c r="I5" s="1" t="s">
        <v>94</v>
      </c>
      <c r="J5" s="1" t="s">
        <v>95</v>
      </c>
      <c r="K5" s="3" t="s">
        <v>28</v>
      </c>
      <c r="L5" s="3" t="s">
        <v>6</v>
      </c>
      <c r="M5" s="3" t="s">
        <v>23</v>
      </c>
      <c r="N5" s="3" t="s">
        <v>4</v>
      </c>
      <c r="O5" s="3" t="s">
        <v>5</v>
      </c>
      <c r="P5" s="3" t="s">
        <v>3</v>
      </c>
      <c r="Q5" s="3">
        <v>220</v>
      </c>
      <c r="R5" s="3">
        <v>95</v>
      </c>
      <c r="S5" s="3">
        <v>20900</v>
      </c>
      <c r="T5" s="3">
        <v>2090</v>
      </c>
      <c r="U5" s="3">
        <v>22990.000000000004</v>
      </c>
    </row>
    <row r="6" spans="1:22" x14ac:dyDescent="0.25">
      <c r="A6" s="1">
        <v>5</v>
      </c>
      <c r="B6" s="2">
        <v>45292</v>
      </c>
      <c r="C6" s="2">
        <v>45292</v>
      </c>
      <c r="D6" s="4">
        <v>2024</v>
      </c>
      <c r="E6" s="4">
        <v>1</v>
      </c>
      <c r="F6" s="4">
        <v>1</v>
      </c>
      <c r="G6" s="1" t="s">
        <v>30</v>
      </c>
      <c r="I6" s="1" t="s">
        <v>92</v>
      </c>
      <c r="J6" s="1" t="s">
        <v>93</v>
      </c>
      <c r="K6" s="3" t="s">
        <v>28</v>
      </c>
      <c r="L6" s="3" t="s">
        <v>6</v>
      </c>
      <c r="M6" s="3" t="s">
        <v>23</v>
      </c>
      <c r="N6" s="3" t="s">
        <v>4</v>
      </c>
      <c r="O6" s="3" t="s">
        <v>5</v>
      </c>
      <c r="P6" s="3" t="s">
        <v>3</v>
      </c>
      <c r="Q6" s="3">
        <v>290</v>
      </c>
      <c r="R6" s="3">
        <v>95</v>
      </c>
      <c r="S6" s="3">
        <v>27550</v>
      </c>
      <c r="T6" s="3">
        <v>2755</v>
      </c>
      <c r="U6" s="3">
        <v>30305.000000000004</v>
      </c>
    </row>
    <row r="7" spans="1:22" x14ac:dyDescent="0.25">
      <c r="A7" s="1">
        <v>6</v>
      </c>
      <c r="B7" s="2">
        <v>45292</v>
      </c>
      <c r="C7" s="2">
        <v>45292</v>
      </c>
      <c r="D7" s="4">
        <v>2024</v>
      </c>
      <c r="E7" s="4">
        <v>1</v>
      </c>
      <c r="F7" s="4">
        <v>1</v>
      </c>
      <c r="G7" s="1" t="s">
        <v>30</v>
      </c>
      <c r="I7" s="1" t="s">
        <v>86</v>
      </c>
      <c r="J7" s="1" t="s">
        <v>87</v>
      </c>
      <c r="K7" s="3" t="s">
        <v>28</v>
      </c>
      <c r="L7" s="3" t="s">
        <v>6</v>
      </c>
      <c r="M7" s="3" t="s">
        <v>23</v>
      </c>
      <c r="N7" s="3" t="s">
        <v>4</v>
      </c>
      <c r="O7" s="3" t="s">
        <v>5</v>
      </c>
      <c r="P7" s="3" t="s">
        <v>3</v>
      </c>
      <c r="Q7" s="3">
        <v>170</v>
      </c>
      <c r="R7" s="3">
        <v>95</v>
      </c>
      <c r="S7" s="3">
        <v>16150</v>
      </c>
      <c r="T7" s="3">
        <v>1615</v>
      </c>
      <c r="U7" s="3">
        <v>17765</v>
      </c>
    </row>
    <row r="8" spans="1:22" x14ac:dyDescent="0.25">
      <c r="A8" s="1">
        <v>7</v>
      </c>
      <c r="B8" s="2">
        <v>45292</v>
      </c>
      <c r="C8" s="2">
        <v>45292</v>
      </c>
      <c r="D8" s="4">
        <v>2024</v>
      </c>
      <c r="E8" s="4">
        <v>1</v>
      </c>
      <c r="F8" s="4">
        <v>1</v>
      </c>
      <c r="G8" s="1" t="s">
        <v>30</v>
      </c>
      <c r="I8" s="1" t="s">
        <v>110</v>
      </c>
      <c r="J8" s="1" t="s">
        <v>111</v>
      </c>
      <c r="K8" s="3" t="s">
        <v>28</v>
      </c>
      <c r="L8" s="3" t="s">
        <v>6</v>
      </c>
      <c r="M8" s="3" t="s">
        <v>23</v>
      </c>
      <c r="N8" s="3" t="s">
        <v>4</v>
      </c>
      <c r="O8" s="3" t="s">
        <v>5</v>
      </c>
      <c r="P8" s="3" t="s">
        <v>3</v>
      </c>
      <c r="Q8" s="3">
        <v>210</v>
      </c>
      <c r="R8" s="3">
        <v>95</v>
      </c>
      <c r="S8" s="3">
        <v>19950</v>
      </c>
      <c r="T8" s="3">
        <v>1995</v>
      </c>
      <c r="U8" s="3">
        <v>21945</v>
      </c>
    </row>
    <row r="9" spans="1:22" x14ac:dyDescent="0.25">
      <c r="A9" s="1">
        <v>8</v>
      </c>
      <c r="B9" s="2">
        <v>45292</v>
      </c>
      <c r="C9" s="2">
        <v>45292</v>
      </c>
      <c r="D9" s="4">
        <v>2024</v>
      </c>
      <c r="E9" s="4">
        <v>1</v>
      </c>
      <c r="F9" s="4">
        <v>1</v>
      </c>
      <c r="G9" s="1" t="s">
        <v>30</v>
      </c>
      <c r="I9" s="1" t="s">
        <v>88</v>
      </c>
      <c r="J9" s="1" t="s">
        <v>89</v>
      </c>
      <c r="K9" s="3" t="s">
        <v>28</v>
      </c>
      <c r="L9" s="3" t="s">
        <v>6</v>
      </c>
      <c r="M9" s="3" t="s">
        <v>23</v>
      </c>
      <c r="N9" s="3" t="s">
        <v>4</v>
      </c>
      <c r="O9" s="3" t="s">
        <v>5</v>
      </c>
      <c r="P9" s="3" t="s">
        <v>3</v>
      </c>
      <c r="Q9" s="3">
        <v>160</v>
      </c>
      <c r="R9" s="3">
        <v>95</v>
      </c>
      <c r="S9" s="3">
        <v>15200</v>
      </c>
      <c r="T9" s="3">
        <v>1520</v>
      </c>
      <c r="U9" s="3">
        <v>16720</v>
      </c>
    </row>
    <row r="10" spans="1:22" x14ac:dyDescent="0.25">
      <c r="A10" s="1">
        <v>9</v>
      </c>
      <c r="B10" s="2">
        <v>45292</v>
      </c>
      <c r="C10" s="2">
        <v>45292</v>
      </c>
      <c r="D10" s="4">
        <v>2024</v>
      </c>
      <c r="E10" s="4">
        <v>1</v>
      </c>
      <c r="F10" s="4">
        <v>1</v>
      </c>
      <c r="G10" s="1" t="s">
        <v>30</v>
      </c>
      <c r="I10" s="1" t="s">
        <v>94</v>
      </c>
      <c r="J10" s="1" t="s">
        <v>95</v>
      </c>
      <c r="K10" s="3" t="s">
        <v>28</v>
      </c>
      <c r="L10" s="3" t="s">
        <v>6</v>
      </c>
      <c r="M10" s="3" t="s">
        <v>23</v>
      </c>
      <c r="N10" s="3" t="s">
        <v>4</v>
      </c>
      <c r="O10" s="3" t="s">
        <v>5</v>
      </c>
      <c r="P10" s="3" t="s">
        <v>3</v>
      </c>
      <c r="Q10" s="3">
        <v>360</v>
      </c>
      <c r="R10" s="3">
        <v>95</v>
      </c>
      <c r="S10" s="3">
        <v>34200</v>
      </c>
      <c r="T10" s="3">
        <v>3420</v>
      </c>
      <c r="U10" s="3">
        <v>37620</v>
      </c>
    </row>
    <row r="11" spans="1:22" x14ac:dyDescent="0.25">
      <c r="A11" s="1">
        <v>10</v>
      </c>
      <c r="B11" s="2">
        <v>45292</v>
      </c>
      <c r="C11" s="2">
        <v>45292</v>
      </c>
      <c r="D11" s="4">
        <v>2024</v>
      </c>
      <c r="E11" s="4">
        <v>1</v>
      </c>
      <c r="F11" s="4">
        <v>1</v>
      </c>
      <c r="G11" s="1" t="s">
        <v>30</v>
      </c>
      <c r="I11" s="1" t="s">
        <v>98</v>
      </c>
      <c r="J11" s="1" t="s">
        <v>99</v>
      </c>
      <c r="K11" s="3" t="s">
        <v>28</v>
      </c>
      <c r="L11" s="3" t="s">
        <v>6</v>
      </c>
      <c r="M11" s="3" t="s">
        <v>23</v>
      </c>
      <c r="N11" s="3" t="s">
        <v>4</v>
      </c>
      <c r="O11" s="3" t="s">
        <v>5</v>
      </c>
      <c r="P11" s="3" t="s">
        <v>3</v>
      </c>
      <c r="Q11" s="3">
        <v>120</v>
      </c>
      <c r="R11" s="3">
        <v>95</v>
      </c>
      <c r="S11" s="3">
        <v>11400</v>
      </c>
      <c r="T11" s="3">
        <v>1140</v>
      </c>
      <c r="U11" s="3">
        <v>12540.000000000002</v>
      </c>
    </row>
    <row r="12" spans="1:22" x14ac:dyDescent="0.25">
      <c r="A12" s="1">
        <v>11</v>
      </c>
      <c r="B12" s="2">
        <v>45292</v>
      </c>
      <c r="C12" s="2">
        <v>45292</v>
      </c>
      <c r="D12" s="4">
        <v>2024</v>
      </c>
      <c r="E12" s="4">
        <v>1</v>
      </c>
      <c r="F12" s="4">
        <v>1</v>
      </c>
      <c r="G12" s="1" t="s">
        <v>30</v>
      </c>
      <c r="I12" s="1" t="s">
        <v>82</v>
      </c>
      <c r="J12" s="1" t="s">
        <v>83</v>
      </c>
      <c r="K12" s="3" t="s">
        <v>28</v>
      </c>
      <c r="L12" s="3" t="s">
        <v>6</v>
      </c>
      <c r="M12" s="3" t="s">
        <v>23</v>
      </c>
      <c r="N12" s="3" t="s">
        <v>4</v>
      </c>
      <c r="O12" s="3" t="s">
        <v>5</v>
      </c>
      <c r="P12" s="3" t="s">
        <v>3</v>
      </c>
      <c r="Q12" s="3">
        <v>190</v>
      </c>
      <c r="R12" s="3">
        <v>95</v>
      </c>
      <c r="S12" s="3">
        <v>18050</v>
      </c>
      <c r="T12" s="3">
        <v>1805</v>
      </c>
      <c r="U12" s="3">
        <v>19855</v>
      </c>
    </row>
    <row r="13" spans="1:22" x14ac:dyDescent="0.25">
      <c r="A13" s="1">
        <v>12</v>
      </c>
      <c r="B13" s="2">
        <v>45292</v>
      </c>
      <c r="C13" s="2">
        <v>45292</v>
      </c>
      <c r="D13" s="4">
        <v>2024</v>
      </c>
      <c r="E13" s="4">
        <v>1</v>
      </c>
      <c r="F13" s="4">
        <v>1</v>
      </c>
      <c r="G13" s="1" t="s">
        <v>30</v>
      </c>
      <c r="I13" s="1" t="s">
        <v>88</v>
      </c>
      <c r="J13" s="1" t="s">
        <v>89</v>
      </c>
      <c r="K13" s="3" t="s">
        <v>28</v>
      </c>
      <c r="L13" s="3" t="s">
        <v>6</v>
      </c>
      <c r="M13" s="3" t="s">
        <v>23</v>
      </c>
      <c r="N13" s="3" t="s">
        <v>4</v>
      </c>
      <c r="O13" s="3" t="s">
        <v>5</v>
      </c>
      <c r="P13" s="3" t="s">
        <v>3</v>
      </c>
      <c r="Q13" s="3">
        <v>230</v>
      </c>
      <c r="R13" s="3">
        <v>95</v>
      </c>
      <c r="S13" s="3">
        <v>21850</v>
      </c>
      <c r="T13" s="3">
        <v>2185</v>
      </c>
      <c r="U13" s="3">
        <v>24035.000000000004</v>
      </c>
    </row>
    <row r="14" spans="1:22" x14ac:dyDescent="0.25">
      <c r="A14" s="1">
        <v>13</v>
      </c>
      <c r="B14" s="2">
        <v>45292</v>
      </c>
      <c r="C14" s="2">
        <v>45292</v>
      </c>
      <c r="D14" s="4">
        <v>2024</v>
      </c>
      <c r="E14" s="4">
        <v>1</v>
      </c>
      <c r="F14" s="4">
        <v>1</v>
      </c>
      <c r="G14" s="1" t="s">
        <v>30</v>
      </c>
      <c r="I14" s="1" t="s">
        <v>84</v>
      </c>
      <c r="J14" s="1" t="s">
        <v>85</v>
      </c>
      <c r="K14" s="3" t="s">
        <v>28</v>
      </c>
      <c r="L14" s="3" t="s">
        <v>6</v>
      </c>
      <c r="M14" s="3" t="s">
        <v>23</v>
      </c>
      <c r="N14" s="3" t="s">
        <v>4</v>
      </c>
      <c r="O14" s="3" t="s">
        <v>5</v>
      </c>
      <c r="P14" s="3" t="s">
        <v>3</v>
      </c>
      <c r="Q14" s="3">
        <v>270</v>
      </c>
      <c r="R14" s="3">
        <v>95</v>
      </c>
      <c r="S14" s="3">
        <v>25650</v>
      </c>
      <c r="T14" s="3">
        <v>2565</v>
      </c>
      <c r="U14" s="3">
        <v>28215.000000000004</v>
      </c>
    </row>
    <row r="15" spans="1:22" x14ac:dyDescent="0.25">
      <c r="A15" s="1">
        <v>14</v>
      </c>
      <c r="B15" s="2">
        <v>45292</v>
      </c>
      <c r="C15" s="2">
        <v>45292</v>
      </c>
      <c r="D15" s="4">
        <v>2024</v>
      </c>
      <c r="E15" s="4">
        <v>1</v>
      </c>
      <c r="F15" s="4">
        <v>1</v>
      </c>
      <c r="G15" s="1" t="s">
        <v>30</v>
      </c>
      <c r="I15" s="1" t="s">
        <v>86</v>
      </c>
      <c r="J15" s="1" t="s">
        <v>87</v>
      </c>
      <c r="K15" s="3" t="s">
        <v>28</v>
      </c>
      <c r="L15" s="3" t="s">
        <v>6</v>
      </c>
      <c r="M15" s="3" t="s">
        <v>23</v>
      </c>
      <c r="N15" s="3" t="s">
        <v>4</v>
      </c>
      <c r="O15" s="3" t="s">
        <v>5</v>
      </c>
      <c r="P15" s="3" t="s">
        <v>3</v>
      </c>
      <c r="Q15" s="3">
        <v>250</v>
      </c>
      <c r="R15" s="3">
        <v>95</v>
      </c>
      <c r="S15" s="3">
        <v>23750</v>
      </c>
      <c r="T15" s="3">
        <v>2375</v>
      </c>
      <c r="U15" s="3">
        <v>26125.000000000004</v>
      </c>
    </row>
    <row r="16" spans="1:22" x14ac:dyDescent="0.25">
      <c r="A16" s="1">
        <v>15</v>
      </c>
      <c r="B16" s="2">
        <v>45292</v>
      </c>
      <c r="C16" s="2">
        <v>45292</v>
      </c>
      <c r="D16" s="4">
        <v>2024</v>
      </c>
      <c r="E16" s="4">
        <v>1</v>
      </c>
      <c r="F16" s="4">
        <v>1</v>
      </c>
      <c r="G16" s="1" t="s">
        <v>30</v>
      </c>
      <c r="I16" s="1" t="s">
        <v>98</v>
      </c>
      <c r="J16" s="1" t="s">
        <v>99</v>
      </c>
      <c r="K16" s="3" t="s">
        <v>28</v>
      </c>
      <c r="L16" s="3" t="s">
        <v>6</v>
      </c>
      <c r="M16" s="3" t="s">
        <v>23</v>
      </c>
      <c r="N16" s="3" t="s">
        <v>4</v>
      </c>
      <c r="O16" s="3" t="s">
        <v>5</v>
      </c>
      <c r="P16" s="3" t="s">
        <v>3</v>
      </c>
      <c r="Q16" s="3">
        <v>150</v>
      </c>
      <c r="R16" s="3">
        <v>95</v>
      </c>
      <c r="S16" s="3">
        <v>14250</v>
      </c>
      <c r="T16" s="3">
        <v>1425</v>
      </c>
      <c r="U16" s="3">
        <v>15675.000000000002</v>
      </c>
    </row>
    <row r="17" spans="1:21" x14ac:dyDescent="0.25">
      <c r="A17" s="1">
        <v>16</v>
      </c>
      <c r="B17" s="2">
        <v>45292</v>
      </c>
      <c r="C17" s="2">
        <v>45292</v>
      </c>
      <c r="D17" s="4">
        <v>2024</v>
      </c>
      <c r="E17" s="4">
        <v>1</v>
      </c>
      <c r="F17" s="4">
        <v>1</v>
      </c>
      <c r="G17" s="1" t="s">
        <v>30</v>
      </c>
      <c r="I17" s="1" t="s">
        <v>86</v>
      </c>
      <c r="J17" s="1" t="s">
        <v>87</v>
      </c>
      <c r="K17" s="3" t="s">
        <v>28</v>
      </c>
      <c r="L17" s="3" t="s">
        <v>6</v>
      </c>
      <c r="M17" s="3" t="s">
        <v>23</v>
      </c>
      <c r="N17" s="3" t="s">
        <v>4</v>
      </c>
      <c r="O17" s="3" t="s">
        <v>5</v>
      </c>
      <c r="P17" s="3" t="s">
        <v>3</v>
      </c>
      <c r="Q17" s="3">
        <v>250</v>
      </c>
      <c r="R17" s="3">
        <v>95</v>
      </c>
      <c r="S17" s="3">
        <v>23750</v>
      </c>
      <c r="T17" s="3">
        <v>2375</v>
      </c>
      <c r="U17" s="3">
        <v>26125.000000000004</v>
      </c>
    </row>
    <row r="18" spans="1:21" x14ac:dyDescent="0.25">
      <c r="A18" s="1">
        <v>17</v>
      </c>
      <c r="B18" s="2">
        <v>45292</v>
      </c>
      <c r="C18" s="2">
        <v>45292</v>
      </c>
      <c r="D18" s="4">
        <v>2024</v>
      </c>
      <c r="E18" s="4">
        <v>1</v>
      </c>
      <c r="F18" s="4">
        <v>1</v>
      </c>
      <c r="G18" s="1" t="s">
        <v>30</v>
      </c>
      <c r="I18" s="1" t="s">
        <v>98</v>
      </c>
      <c r="J18" s="1" t="s">
        <v>99</v>
      </c>
      <c r="K18" s="3" t="s">
        <v>28</v>
      </c>
      <c r="L18" s="3" t="s">
        <v>6</v>
      </c>
      <c r="M18" s="3" t="s">
        <v>23</v>
      </c>
      <c r="N18" s="3" t="s">
        <v>4</v>
      </c>
      <c r="O18" s="3" t="s">
        <v>5</v>
      </c>
      <c r="P18" s="3" t="s">
        <v>3</v>
      </c>
      <c r="Q18" s="3">
        <v>270</v>
      </c>
      <c r="R18" s="3">
        <v>95</v>
      </c>
      <c r="S18" s="3">
        <v>25650</v>
      </c>
      <c r="T18" s="3">
        <v>2565</v>
      </c>
      <c r="U18" s="3">
        <v>28215.000000000004</v>
      </c>
    </row>
    <row r="19" spans="1:21" x14ac:dyDescent="0.25">
      <c r="A19" s="1">
        <v>18</v>
      </c>
      <c r="B19" s="2">
        <v>45292</v>
      </c>
      <c r="C19" s="2">
        <v>45292</v>
      </c>
      <c r="D19" s="4">
        <v>2024</v>
      </c>
      <c r="E19" s="4">
        <v>1</v>
      </c>
      <c r="F19" s="4">
        <v>1</v>
      </c>
      <c r="G19" s="1" t="s">
        <v>32</v>
      </c>
      <c r="I19" s="1" t="s">
        <v>41</v>
      </c>
      <c r="J19" s="1" t="s">
        <v>32</v>
      </c>
      <c r="K19" s="3" t="s">
        <v>119</v>
      </c>
      <c r="L19" s="3" t="s">
        <v>6</v>
      </c>
      <c r="M19" s="3" t="s">
        <v>23</v>
      </c>
      <c r="N19" s="3" t="s">
        <v>4</v>
      </c>
      <c r="O19" s="3" t="s">
        <v>2</v>
      </c>
      <c r="P19" s="3" t="s">
        <v>3</v>
      </c>
      <c r="Q19" s="3">
        <v>5260</v>
      </c>
      <c r="R19" s="3">
        <v>90</v>
      </c>
      <c r="S19" s="3">
        <v>473400</v>
      </c>
      <c r="T19" s="3">
        <v>47340</v>
      </c>
      <c r="U19" s="3">
        <v>520740.00000000006</v>
      </c>
    </row>
    <row r="20" spans="1:21" x14ac:dyDescent="0.25">
      <c r="A20" s="1">
        <v>19</v>
      </c>
      <c r="B20" s="2">
        <v>45292</v>
      </c>
      <c r="C20" s="2">
        <v>45292</v>
      </c>
      <c r="D20" s="4">
        <v>2024</v>
      </c>
      <c r="E20" s="4">
        <v>1</v>
      </c>
      <c r="F20" s="4">
        <v>1</v>
      </c>
      <c r="G20" s="1" t="s">
        <v>32</v>
      </c>
      <c r="I20" s="1" t="s">
        <v>41</v>
      </c>
      <c r="J20" s="1" t="s">
        <v>32</v>
      </c>
      <c r="K20" s="3" t="s">
        <v>119</v>
      </c>
      <c r="L20" s="3" t="s">
        <v>6</v>
      </c>
      <c r="M20" s="3" t="s">
        <v>23</v>
      </c>
      <c r="N20" s="3" t="s">
        <v>4</v>
      </c>
      <c r="O20" s="3" t="s">
        <v>2</v>
      </c>
      <c r="P20" s="3" t="s">
        <v>3</v>
      </c>
      <c r="Q20" s="3">
        <v>5275</v>
      </c>
      <c r="R20" s="3">
        <v>90</v>
      </c>
      <c r="S20" s="3">
        <v>474750</v>
      </c>
      <c r="T20" s="3">
        <v>47475</v>
      </c>
      <c r="U20" s="3">
        <v>522225.00000000006</v>
      </c>
    </row>
    <row r="21" spans="1:21" x14ac:dyDescent="0.25">
      <c r="A21" s="1">
        <v>20</v>
      </c>
      <c r="B21" s="2">
        <v>45292</v>
      </c>
      <c r="C21" s="2">
        <v>45292</v>
      </c>
      <c r="D21" s="4">
        <v>2024</v>
      </c>
      <c r="E21" s="4">
        <v>1</v>
      </c>
      <c r="F21" s="4">
        <v>1</v>
      </c>
      <c r="G21" s="1" t="s">
        <v>32</v>
      </c>
      <c r="I21" s="1" t="s">
        <v>41</v>
      </c>
      <c r="J21" s="1" t="s">
        <v>32</v>
      </c>
      <c r="K21" s="3" t="s">
        <v>119</v>
      </c>
      <c r="L21" s="3" t="s">
        <v>6</v>
      </c>
      <c r="M21" s="3" t="s">
        <v>23</v>
      </c>
      <c r="N21" s="3" t="s">
        <v>4</v>
      </c>
      <c r="O21" s="3" t="s">
        <v>2</v>
      </c>
      <c r="P21" s="3" t="s">
        <v>3</v>
      </c>
      <c r="Q21" s="3">
        <v>5470</v>
      </c>
      <c r="R21" s="3">
        <v>90</v>
      </c>
      <c r="S21" s="3">
        <v>492300</v>
      </c>
      <c r="T21" s="3">
        <v>49230</v>
      </c>
      <c r="U21" s="3">
        <v>541530</v>
      </c>
    </row>
    <row r="22" spans="1:21" x14ac:dyDescent="0.25">
      <c r="A22" s="1">
        <v>21</v>
      </c>
      <c r="B22" s="2">
        <v>45292</v>
      </c>
      <c r="C22" s="2">
        <v>45292</v>
      </c>
      <c r="D22" s="4">
        <v>2024</v>
      </c>
      <c r="E22" s="4">
        <v>1</v>
      </c>
      <c r="F22" s="4">
        <v>1</v>
      </c>
      <c r="G22" s="1" t="s">
        <v>36</v>
      </c>
      <c r="I22" s="1" t="s">
        <v>50</v>
      </c>
      <c r="J22" s="1" t="s">
        <v>36</v>
      </c>
      <c r="K22" s="3" t="s">
        <v>119</v>
      </c>
      <c r="L22" s="3" t="s">
        <v>46</v>
      </c>
      <c r="M22" s="3" t="s">
        <v>23</v>
      </c>
      <c r="N22" s="3" t="s">
        <v>47</v>
      </c>
      <c r="O22" s="3" t="s">
        <v>2</v>
      </c>
      <c r="P22" s="3" t="s">
        <v>3</v>
      </c>
      <c r="Q22" s="3">
        <v>2910</v>
      </c>
      <c r="R22" s="3">
        <v>0</v>
      </c>
      <c r="S22" s="3">
        <v>0</v>
      </c>
      <c r="T22" s="3">
        <v>0</v>
      </c>
      <c r="U22" s="3">
        <v>0</v>
      </c>
    </row>
    <row r="23" spans="1:21" x14ac:dyDescent="0.25">
      <c r="A23" s="1">
        <v>22</v>
      </c>
      <c r="B23" s="2">
        <v>45292</v>
      </c>
      <c r="C23" s="2">
        <v>45292</v>
      </c>
      <c r="D23" s="4">
        <v>2024</v>
      </c>
      <c r="E23" s="4">
        <v>1</v>
      </c>
      <c r="F23" s="4">
        <v>1</v>
      </c>
      <c r="G23" s="1" t="s">
        <v>36</v>
      </c>
      <c r="I23" s="1" t="s">
        <v>112</v>
      </c>
      <c r="J23" s="1" t="s">
        <v>36</v>
      </c>
      <c r="K23" s="3" t="s">
        <v>119</v>
      </c>
      <c r="L23" s="3" t="s">
        <v>46</v>
      </c>
      <c r="M23" s="3" t="s">
        <v>23</v>
      </c>
      <c r="N23" s="3" t="s">
        <v>47</v>
      </c>
      <c r="O23" s="3" t="s">
        <v>2</v>
      </c>
      <c r="P23" s="3" t="s">
        <v>3</v>
      </c>
      <c r="Q23" s="3">
        <v>3060</v>
      </c>
      <c r="R23" s="3">
        <v>0</v>
      </c>
      <c r="S23" s="3">
        <v>0</v>
      </c>
      <c r="T23" s="3">
        <v>0</v>
      </c>
      <c r="U23" s="3">
        <v>0</v>
      </c>
    </row>
    <row r="24" spans="1:21" x14ac:dyDescent="0.25">
      <c r="A24" s="1">
        <v>23</v>
      </c>
      <c r="B24" s="2">
        <v>45292</v>
      </c>
      <c r="C24" s="2">
        <v>45292</v>
      </c>
      <c r="D24" s="4">
        <v>2024</v>
      </c>
      <c r="E24" s="4">
        <v>1</v>
      </c>
      <c r="F24" s="4">
        <v>1</v>
      </c>
      <c r="G24" s="1" t="s">
        <v>32</v>
      </c>
      <c r="I24" s="1" t="s">
        <v>39</v>
      </c>
      <c r="J24" s="1" t="s">
        <v>32</v>
      </c>
      <c r="K24" s="3" t="s">
        <v>119</v>
      </c>
      <c r="L24" s="3" t="s">
        <v>6</v>
      </c>
      <c r="M24" s="3" t="s">
        <v>23</v>
      </c>
      <c r="N24" s="3" t="s">
        <v>4</v>
      </c>
      <c r="O24" s="3" t="s">
        <v>2</v>
      </c>
      <c r="P24" s="3" t="s">
        <v>3</v>
      </c>
      <c r="Q24" s="3">
        <v>4855</v>
      </c>
      <c r="R24" s="3">
        <v>90</v>
      </c>
      <c r="S24" s="3">
        <v>436950</v>
      </c>
      <c r="T24" s="3">
        <v>43695</v>
      </c>
      <c r="U24" s="3">
        <v>480645.00000000006</v>
      </c>
    </row>
    <row r="25" spans="1:21" x14ac:dyDescent="0.25">
      <c r="A25" s="1">
        <v>24</v>
      </c>
      <c r="B25" s="2">
        <v>45292</v>
      </c>
      <c r="C25" s="2">
        <v>45292</v>
      </c>
      <c r="D25" s="4">
        <v>2024</v>
      </c>
      <c r="E25" s="4">
        <v>1</v>
      </c>
      <c r="F25" s="4">
        <v>1</v>
      </c>
      <c r="G25" s="1" t="s">
        <v>31</v>
      </c>
      <c r="H25" s="1" t="s">
        <v>52</v>
      </c>
      <c r="I25" s="1" t="s">
        <v>53</v>
      </c>
      <c r="J25" s="1" t="s">
        <v>54</v>
      </c>
      <c r="K25" s="3" t="s">
        <v>28</v>
      </c>
      <c r="L25" s="3" t="s">
        <v>6</v>
      </c>
      <c r="M25" s="3" t="s">
        <v>23</v>
      </c>
      <c r="N25" s="3" t="s">
        <v>4</v>
      </c>
      <c r="O25" s="3" t="s">
        <v>5</v>
      </c>
      <c r="P25" s="3" t="s">
        <v>3</v>
      </c>
      <c r="Q25" s="3">
        <v>360</v>
      </c>
      <c r="R25" s="3">
        <v>85</v>
      </c>
      <c r="S25" s="3">
        <v>30600</v>
      </c>
      <c r="T25" s="3">
        <v>3060</v>
      </c>
      <c r="U25" s="3">
        <v>33660</v>
      </c>
    </row>
    <row r="26" spans="1:21" x14ac:dyDescent="0.25">
      <c r="A26" s="1">
        <v>25</v>
      </c>
      <c r="B26" s="2">
        <v>45292</v>
      </c>
      <c r="C26" s="2">
        <v>45292</v>
      </c>
      <c r="D26" s="4">
        <v>2024</v>
      </c>
      <c r="E26" s="4">
        <v>1</v>
      </c>
      <c r="F26" s="4">
        <v>1</v>
      </c>
      <c r="G26" s="1" t="s">
        <v>31</v>
      </c>
      <c r="H26" s="1" t="s">
        <v>52</v>
      </c>
      <c r="I26" s="1" t="s">
        <v>53</v>
      </c>
      <c r="J26" s="1" t="s">
        <v>54</v>
      </c>
      <c r="K26" s="3" t="s">
        <v>28</v>
      </c>
      <c r="L26" s="3" t="s">
        <v>6</v>
      </c>
      <c r="M26" s="3" t="s">
        <v>23</v>
      </c>
      <c r="N26" s="3" t="s">
        <v>4</v>
      </c>
      <c r="O26" s="3" t="s">
        <v>5</v>
      </c>
      <c r="P26" s="3" t="s">
        <v>3</v>
      </c>
      <c r="Q26" s="3">
        <v>160</v>
      </c>
      <c r="R26" s="3">
        <v>85</v>
      </c>
      <c r="S26" s="3">
        <v>13600</v>
      </c>
      <c r="T26" s="3">
        <v>1360</v>
      </c>
      <c r="U26" s="3">
        <v>14960.000000000002</v>
      </c>
    </row>
    <row r="27" spans="1:21" x14ac:dyDescent="0.25">
      <c r="A27" s="1">
        <v>26</v>
      </c>
      <c r="B27" s="2">
        <v>45292</v>
      </c>
      <c r="C27" s="2">
        <v>45292</v>
      </c>
      <c r="D27" s="4">
        <v>2024</v>
      </c>
      <c r="E27" s="4">
        <v>1</v>
      </c>
      <c r="F27" s="4">
        <v>1</v>
      </c>
      <c r="G27" s="1" t="s">
        <v>31</v>
      </c>
      <c r="H27" s="1" t="s">
        <v>52</v>
      </c>
      <c r="I27" s="1" t="s">
        <v>53</v>
      </c>
      <c r="J27" s="1" t="s">
        <v>54</v>
      </c>
      <c r="K27" s="3" t="s">
        <v>28</v>
      </c>
      <c r="L27" s="3" t="s">
        <v>6</v>
      </c>
      <c r="M27" s="3" t="s">
        <v>23</v>
      </c>
      <c r="N27" s="3" t="s">
        <v>4</v>
      </c>
      <c r="O27" s="3" t="s">
        <v>5</v>
      </c>
      <c r="P27" s="3" t="s">
        <v>3</v>
      </c>
      <c r="Q27" s="3">
        <v>90</v>
      </c>
      <c r="R27" s="3">
        <v>85</v>
      </c>
      <c r="S27" s="3">
        <v>7650</v>
      </c>
      <c r="T27" s="3">
        <v>765</v>
      </c>
      <c r="U27" s="3">
        <v>8415</v>
      </c>
    </row>
    <row r="28" spans="1:21" x14ac:dyDescent="0.25">
      <c r="A28" s="1">
        <v>27</v>
      </c>
      <c r="B28" s="2">
        <v>45292</v>
      </c>
      <c r="C28" s="2">
        <v>45292</v>
      </c>
      <c r="D28" s="4">
        <v>2024</v>
      </c>
      <c r="E28" s="4">
        <v>1</v>
      </c>
      <c r="F28" s="4">
        <v>1</v>
      </c>
      <c r="G28" s="1" t="s">
        <v>31</v>
      </c>
      <c r="H28" s="1" t="s">
        <v>52</v>
      </c>
      <c r="I28" s="1" t="s">
        <v>53</v>
      </c>
      <c r="J28" s="1" t="s">
        <v>54</v>
      </c>
      <c r="K28" s="3" t="s">
        <v>28</v>
      </c>
      <c r="L28" s="3" t="s">
        <v>6</v>
      </c>
      <c r="M28" s="3" t="s">
        <v>23</v>
      </c>
      <c r="N28" s="3" t="s">
        <v>4</v>
      </c>
      <c r="O28" s="3" t="s">
        <v>5</v>
      </c>
      <c r="P28" s="3" t="s">
        <v>3</v>
      </c>
      <c r="Q28" s="3">
        <v>270</v>
      </c>
      <c r="R28" s="3">
        <v>85</v>
      </c>
      <c r="S28" s="3">
        <v>22950</v>
      </c>
      <c r="T28" s="3">
        <v>2295</v>
      </c>
      <c r="U28" s="3">
        <v>25245.000000000004</v>
      </c>
    </row>
    <row r="29" spans="1:21" x14ac:dyDescent="0.25">
      <c r="A29" s="1">
        <v>28</v>
      </c>
      <c r="B29" s="2">
        <v>45292</v>
      </c>
      <c r="C29" s="2">
        <v>45292</v>
      </c>
      <c r="D29" s="4">
        <v>2024</v>
      </c>
      <c r="E29" s="4">
        <v>1</v>
      </c>
      <c r="F29" s="4">
        <v>1</v>
      </c>
      <c r="G29" s="1" t="s">
        <v>31</v>
      </c>
      <c r="H29" s="1" t="s">
        <v>52</v>
      </c>
      <c r="I29" s="1" t="s">
        <v>53</v>
      </c>
      <c r="J29" s="1" t="s">
        <v>54</v>
      </c>
      <c r="K29" s="3" t="s">
        <v>28</v>
      </c>
      <c r="L29" s="3" t="s">
        <v>6</v>
      </c>
      <c r="M29" s="3" t="s">
        <v>23</v>
      </c>
      <c r="N29" s="3" t="s">
        <v>4</v>
      </c>
      <c r="O29" s="3" t="s">
        <v>5</v>
      </c>
      <c r="P29" s="3" t="s">
        <v>3</v>
      </c>
      <c r="Q29" s="3">
        <v>290</v>
      </c>
      <c r="R29" s="3">
        <v>85</v>
      </c>
      <c r="S29" s="3">
        <v>24650</v>
      </c>
      <c r="T29" s="3">
        <v>2465</v>
      </c>
      <c r="U29" s="3">
        <v>27115.000000000004</v>
      </c>
    </row>
    <row r="30" spans="1:21" x14ac:dyDescent="0.25">
      <c r="A30" s="1">
        <v>29</v>
      </c>
      <c r="B30" s="2">
        <v>45292</v>
      </c>
      <c r="C30" s="2">
        <v>45292</v>
      </c>
      <c r="D30" s="4">
        <v>2024</v>
      </c>
      <c r="E30" s="4">
        <v>1</v>
      </c>
      <c r="F30" s="4">
        <v>1</v>
      </c>
      <c r="G30" s="1" t="s">
        <v>31</v>
      </c>
      <c r="I30" s="1" t="s">
        <v>65</v>
      </c>
      <c r="J30" s="1" t="s">
        <v>66</v>
      </c>
      <c r="K30" s="3" t="s">
        <v>28</v>
      </c>
      <c r="L30" s="3" t="s">
        <v>6</v>
      </c>
      <c r="M30" s="3" t="s">
        <v>23</v>
      </c>
      <c r="N30" s="3" t="s">
        <v>4</v>
      </c>
      <c r="O30" s="3" t="s">
        <v>5</v>
      </c>
      <c r="P30" s="3" t="s">
        <v>3</v>
      </c>
      <c r="Q30" s="3">
        <v>260</v>
      </c>
      <c r="R30" s="3">
        <v>85</v>
      </c>
      <c r="S30" s="3">
        <v>22100</v>
      </c>
      <c r="T30" s="3">
        <v>2210</v>
      </c>
      <c r="U30" s="3">
        <v>24310.000000000004</v>
      </c>
    </row>
    <row r="31" spans="1:21" x14ac:dyDescent="0.25">
      <c r="A31" s="1">
        <v>30</v>
      </c>
      <c r="B31" s="2">
        <v>45292</v>
      </c>
      <c r="C31" s="2">
        <v>45292</v>
      </c>
      <c r="D31" s="4">
        <v>2024</v>
      </c>
      <c r="E31" s="4">
        <v>1</v>
      </c>
      <c r="F31" s="4">
        <v>1</v>
      </c>
      <c r="G31" s="1" t="s">
        <v>31</v>
      </c>
      <c r="I31" s="1" t="s">
        <v>59</v>
      </c>
      <c r="J31" s="1" t="s">
        <v>60</v>
      </c>
      <c r="K31" s="3" t="s">
        <v>28</v>
      </c>
      <c r="L31" s="3" t="s">
        <v>6</v>
      </c>
      <c r="M31" s="3" t="s">
        <v>23</v>
      </c>
      <c r="N31" s="3" t="s">
        <v>4</v>
      </c>
      <c r="O31" s="3" t="s">
        <v>5</v>
      </c>
      <c r="P31" s="3" t="s">
        <v>3</v>
      </c>
      <c r="Q31" s="3">
        <v>290</v>
      </c>
      <c r="R31" s="3">
        <v>85</v>
      </c>
      <c r="S31" s="3">
        <v>24650</v>
      </c>
      <c r="T31" s="3">
        <v>2465</v>
      </c>
      <c r="U31" s="3">
        <v>27115.000000000004</v>
      </c>
    </row>
    <row r="32" spans="1:21" x14ac:dyDescent="0.25">
      <c r="A32" s="1">
        <v>31</v>
      </c>
      <c r="B32" s="2">
        <v>45292</v>
      </c>
      <c r="C32" s="2">
        <v>45292</v>
      </c>
      <c r="D32" s="4">
        <v>2024</v>
      </c>
      <c r="E32" s="4">
        <v>1</v>
      </c>
      <c r="F32" s="4">
        <v>1</v>
      </c>
      <c r="G32" s="1" t="s">
        <v>31</v>
      </c>
      <c r="I32" s="1" t="s">
        <v>25</v>
      </c>
      <c r="J32" s="1" t="s">
        <v>29</v>
      </c>
      <c r="K32" s="3" t="s">
        <v>28</v>
      </c>
      <c r="L32" s="3" t="s">
        <v>6</v>
      </c>
      <c r="M32" s="3" t="s">
        <v>23</v>
      </c>
      <c r="N32" s="3" t="s">
        <v>4</v>
      </c>
      <c r="O32" s="3" t="s">
        <v>5</v>
      </c>
      <c r="P32" s="3" t="s">
        <v>3</v>
      </c>
      <c r="Q32" s="3">
        <v>180</v>
      </c>
      <c r="R32" s="3">
        <v>85</v>
      </c>
      <c r="S32" s="3">
        <v>15300</v>
      </c>
      <c r="T32" s="3">
        <v>1530</v>
      </c>
      <c r="U32" s="3">
        <v>16830</v>
      </c>
    </row>
    <row r="33" spans="1:21" x14ac:dyDescent="0.25">
      <c r="A33" s="1">
        <v>32</v>
      </c>
      <c r="B33" s="2">
        <v>45292</v>
      </c>
      <c r="C33" s="2">
        <v>45292</v>
      </c>
      <c r="D33" s="4">
        <v>2024</v>
      </c>
      <c r="E33" s="4">
        <v>1</v>
      </c>
      <c r="F33" s="4">
        <v>1</v>
      </c>
      <c r="G33" s="1" t="s">
        <v>31</v>
      </c>
      <c r="I33" s="1" t="s">
        <v>57</v>
      </c>
      <c r="J33" s="1" t="s">
        <v>58</v>
      </c>
      <c r="K33" s="3" t="s">
        <v>28</v>
      </c>
      <c r="L33" s="3" t="s">
        <v>6</v>
      </c>
      <c r="M33" s="3" t="s">
        <v>23</v>
      </c>
      <c r="N33" s="3" t="s">
        <v>4</v>
      </c>
      <c r="O33" s="3" t="s">
        <v>5</v>
      </c>
      <c r="P33" s="3" t="s">
        <v>3</v>
      </c>
      <c r="Q33" s="3">
        <v>260</v>
      </c>
      <c r="R33" s="3">
        <v>85</v>
      </c>
      <c r="S33" s="3">
        <v>22100</v>
      </c>
      <c r="T33" s="3">
        <v>2210</v>
      </c>
      <c r="U33" s="3">
        <v>24310.000000000004</v>
      </c>
    </row>
    <row r="34" spans="1:21" x14ac:dyDescent="0.25">
      <c r="A34" s="1">
        <v>33</v>
      </c>
      <c r="B34" s="2">
        <v>45292</v>
      </c>
      <c r="C34" s="2">
        <v>45292</v>
      </c>
      <c r="D34" s="4">
        <v>2024</v>
      </c>
      <c r="E34" s="4">
        <v>1</v>
      </c>
      <c r="F34" s="4">
        <v>1</v>
      </c>
      <c r="G34" s="1" t="s">
        <v>31</v>
      </c>
      <c r="I34" s="1" t="s">
        <v>63</v>
      </c>
      <c r="J34" s="1" t="s">
        <v>64</v>
      </c>
      <c r="K34" s="3" t="s">
        <v>28</v>
      </c>
      <c r="L34" s="3" t="s">
        <v>6</v>
      </c>
      <c r="M34" s="3" t="s">
        <v>23</v>
      </c>
      <c r="N34" s="3" t="s">
        <v>4</v>
      </c>
      <c r="O34" s="3" t="s">
        <v>5</v>
      </c>
      <c r="P34" s="3" t="s">
        <v>3</v>
      </c>
      <c r="Q34" s="3">
        <v>110</v>
      </c>
      <c r="R34" s="3">
        <v>85</v>
      </c>
      <c r="S34" s="3">
        <v>9350</v>
      </c>
      <c r="T34" s="3">
        <v>935</v>
      </c>
      <c r="U34" s="3">
        <v>10285</v>
      </c>
    </row>
    <row r="35" spans="1:21" x14ac:dyDescent="0.25">
      <c r="A35" s="1">
        <v>34</v>
      </c>
      <c r="B35" s="2">
        <v>45292</v>
      </c>
      <c r="C35" s="2">
        <v>45292</v>
      </c>
      <c r="D35" s="4">
        <v>2024</v>
      </c>
      <c r="E35" s="4">
        <v>1</v>
      </c>
      <c r="F35" s="4">
        <v>1</v>
      </c>
      <c r="G35" s="1" t="s">
        <v>31</v>
      </c>
      <c r="I35" s="1" t="s">
        <v>61</v>
      </c>
      <c r="J35" s="1" t="s">
        <v>62</v>
      </c>
      <c r="K35" s="3" t="s">
        <v>28</v>
      </c>
      <c r="L35" s="3" t="s">
        <v>6</v>
      </c>
      <c r="M35" s="3" t="s">
        <v>23</v>
      </c>
      <c r="N35" s="3" t="s">
        <v>4</v>
      </c>
      <c r="O35" s="3" t="s">
        <v>5</v>
      </c>
      <c r="P35" s="3" t="s">
        <v>3</v>
      </c>
      <c r="Q35" s="3">
        <v>250</v>
      </c>
      <c r="R35" s="3">
        <v>85</v>
      </c>
      <c r="S35" s="3">
        <v>21250</v>
      </c>
      <c r="T35" s="3">
        <v>2125</v>
      </c>
      <c r="U35" s="3">
        <v>23375.000000000004</v>
      </c>
    </row>
    <row r="36" spans="1:21" x14ac:dyDescent="0.25">
      <c r="A36" s="1">
        <v>35</v>
      </c>
      <c r="B36" s="2">
        <v>45292</v>
      </c>
      <c r="C36" s="2">
        <v>45292</v>
      </c>
      <c r="D36" s="4">
        <v>2024</v>
      </c>
      <c r="E36" s="4">
        <v>1</v>
      </c>
      <c r="F36" s="4">
        <v>1</v>
      </c>
      <c r="G36" s="1" t="s">
        <v>31</v>
      </c>
      <c r="I36" s="1" t="s">
        <v>59</v>
      </c>
      <c r="J36" s="1" t="s">
        <v>60</v>
      </c>
      <c r="K36" s="3" t="s">
        <v>28</v>
      </c>
      <c r="L36" s="3" t="s">
        <v>6</v>
      </c>
      <c r="M36" s="3" t="s">
        <v>23</v>
      </c>
      <c r="N36" s="3" t="s">
        <v>4</v>
      </c>
      <c r="O36" s="3" t="s">
        <v>5</v>
      </c>
      <c r="P36" s="3" t="s">
        <v>3</v>
      </c>
      <c r="Q36" s="3">
        <v>180</v>
      </c>
      <c r="R36" s="3">
        <v>85</v>
      </c>
      <c r="S36" s="3">
        <v>15300</v>
      </c>
      <c r="T36" s="3">
        <v>1530</v>
      </c>
      <c r="U36" s="3">
        <v>16830</v>
      </c>
    </row>
    <row r="37" spans="1:21" x14ac:dyDescent="0.25">
      <c r="A37" s="1">
        <v>36</v>
      </c>
      <c r="B37" s="2">
        <v>45292</v>
      </c>
      <c r="C37" s="2">
        <v>45292</v>
      </c>
      <c r="D37" s="4">
        <v>2024</v>
      </c>
      <c r="E37" s="4">
        <v>1</v>
      </c>
      <c r="F37" s="4">
        <v>1</v>
      </c>
      <c r="G37" s="1" t="s">
        <v>31</v>
      </c>
      <c r="I37" s="1" t="s">
        <v>65</v>
      </c>
      <c r="J37" s="1" t="s">
        <v>66</v>
      </c>
      <c r="K37" s="3" t="s">
        <v>28</v>
      </c>
      <c r="L37" s="3" t="s">
        <v>6</v>
      </c>
      <c r="M37" s="3" t="s">
        <v>23</v>
      </c>
      <c r="N37" s="3" t="s">
        <v>4</v>
      </c>
      <c r="O37" s="3" t="s">
        <v>5</v>
      </c>
      <c r="P37" s="3" t="s">
        <v>3</v>
      </c>
      <c r="Q37" s="3">
        <v>240</v>
      </c>
      <c r="R37" s="3">
        <v>85</v>
      </c>
      <c r="S37" s="3">
        <v>20400</v>
      </c>
      <c r="T37" s="3">
        <v>2040</v>
      </c>
      <c r="U37" s="3">
        <v>22440</v>
      </c>
    </row>
    <row r="38" spans="1:21" x14ac:dyDescent="0.25">
      <c r="A38" s="1">
        <v>37</v>
      </c>
      <c r="B38" s="2">
        <v>45292</v>
      </c>
      <c r="C38" s="2">
        <v>45292</v>
      </c>
      <c r="D38" s="4">
        <v>2024</v>
      </c>
      <c r="E38" s="4">
        <v>1</v>
      </c>
      <c r="F38" s="4">
        <v>1</v>
      </c>
      <c r="G38" s="1" t="s">
        <v>31</v>
      </c>
      <c r="I38" s="1" t="s">
        <v>55</v>
      </c>
      <c r="J38" s="1" t="s">
        <v>31</v>
      </c>
      <c r="K38" s="3" t="s">
        <v>119</v>
      </c>
      <c r="L38" s="3" t="s">
        <v>6</v>
      </c>
      <c r="M38" s="3" t="s">
        <v>23</v>
      </c>
      <c r="N38" s="3" t="s">
        <v>4</v>
      </c>
      <c r="O38" s="3" t="s">
        <v>2</v>
      </c>
      <c r="P38" s="3" t="s">
        <v>3</v>
      </c>
      <c r="Q38" s="3">
        <v>4070</v>
      </c>
      <c r="R38" s="3">
        <v>85</v>
      </c>
      <c r="S38" s="3">
        <v>345950</v>
      </c>
      <c r="T38" s="3">
        <v>34595</v>
      </c>
      <c r="U38" s="3">
        <v>380545.00000000006</v>
      </c>
    </row>
    <row r="39" spans="1:21" x14ac:dyDescent="0.25">
      <c r="A39" s="1">
        <v>38</v>
      </c>
      <c r="B39" s="2">
        <v>45292</v>
      </c>
      <c r="C39" s="2">
        <v>45292</v>
      </c>
      <c r="D39" s="4">
        <v>2024</v>
      </c>
      <c r="E39" s="4">
        <v>1</v>
      </c>
      <c r="F39" s="4">
        <v>1</v>
      </c>
      <c r="G39" s="1" t="s">
        <v>31</v>
      </c>
      <c r="I39" s="1" t="s">
        <v>25</v>
      </c>
      <c r="J39" s="1" t="s">
        <v>29</v>
      </c>
      <c r="K39" s="3" t="s">
        <v>28</v>
      </c>
      <c r="L39" s="3" t="s">
        <v>6</v>
      </c>
      <c r="M39" s="3" t="s">
        <v>23</v>
      </c>
      <c r="N39" s="3" t="s">
        <v>4</v>
      </c>
      <c r="O39" s="3" t="s">
        <v>5</v>
      </c>
      <c r="P39" s="3" t="s">
        <v>3</v>
      </c>
      <c r="Q39" s="3">
        <v>370</v>
      </c>
      <c r="R39" s="3">
        <v>85</v>
      </c>
      <c r="S39" s="3">
        <v>31450</v>
      </c>
      <c r="T39" s="3">
        <v>3145</v>
      </c>
      <c r="U39" s="3">
        <v>34595</v>
      </c>
    </row>
    <row r="40" spans="1:21" x14ac:dyDescent="0.25">
      <c r="A40" s="1">
        <v>39</v>
      </c>
      <c r="B40" s="2">
        <v>45292</v>
      </c>
      <c r="C40" s="2">
        <v>45292</v>
      </c>
      <c r="D40" s="4">
        <v>2024</v>
      </c>
      <c r="E40" s="4">
        <v>1</v>
      </c>
      <c r="F40" s="4">
        <v>1</v>
      </c>
      <c r="G40" s="1" t="s">
        <v>31</v>
      </c>
      <c r="I40" s="1" t="s">
        <v>100</v>
      </c>
      <c r="J40" s="1" t="s">
        <v>101</v>
      </c>
      <c r="K40" s="3" t="s">
        <v>28</v>
      </c>
      <c r="L40" s="3" t="s">
        <v>6</v>
      </c>
      <c r="M40" s="3" t="s">
        <v>23</v>
      </c>
      <c r="N40" s="3" t="s">
        <v>4</v>
      </c>
      <c r="O40" s="3" t="s">
        <v>5</v>
      </c>
      <c r="P40" s="3" t="s">
        <v>3</v>
      </c>
      <c r="Q40" s="3">
        <v>280</v>
      </c>
      <c r="R40" s="3">
        <v>85</v>
      </c>
      <c r="S40" s="3">
        <v>23800</v>
      </c>
      <c r="T40" s="3">
        <v>2380</v>
      </c>
      <c r="U40" s="3">
        <v>26180.000000000004</v>
      </c>
    </row>
    <row r="41" spans="1:21" x14ac:dyDescent="0.25">
      <c r="A41" s="1">
        <v>40</v>
      </c>
      <c r="B41" s="2">
        <v>45292</v>
      </c>
      <c r="C41" s="2">
        <v>45292</v>
      </c>
      <c r="D41" s="4">
        <v>2024</v>
      </c>
      <c r="E41" s="4">
        <v>1</v>
      </c>
      <c r="F41" s="4">
        <v>1</v>
      </c>
      <c r="G41" s="1" t="s">
        <v>31</v>
      </c>
      <c r="I41" s="1" t="s">
        <v>63</v>
      </c>
      <c r="J41" s="1" t="s">
        <v>64</v>
      </c>
      <c r="K41" s="3" t="s">
        <v>28</v>
      </c>
      <c r="L41" s="3" t="s">
        <v>6</v>
      </c>
      <c r="M41" s="3" t="s">
        <v>23</v>
      </c>
      <c r="N41" s="3" t="s">
        <v>4</v>
      </c>
      <c r="O41" s="3" t="s">
        <v>5</v>
      </c>
      <c r="P41" s="3" t="s">
        <v>3</v>
      </c>
      <c r="Q41" s="3">
        <v>290</v>
      </c>
      <c r="R41" s="3">
        <v>85</v>
      </c>
      <c r="S41" s="3">
        <v>24650</v>
      </c>
      <c r="T41" s="3">
        <v>2465</v>
      </c>
      <c r="U41" s="3">
        <v>27115.000000000004</v>
      </c>
    </row>
    <row r="42" spans="1:21" x14ac:dyDescent="0.25">
      <c r="A42" s="1">
        <v>41</v>
      </c>
      <c r="B42" s="2">
        <v>45292</v>
      </c>
      <c r="C42" s="2">
        <v>45292</v>
      </c>
      <c r="D42" s="4">
        <v>2024</v>
      </c>
      <c r="E42" s="4">
        <v>1</v>
      </c>
      <c r="F42" s="4">
        <v>1</v>
      </c>
      <c r="G42" s="1" t="s">
        <v>31</v>
      </c>
      <c r="I42" s="1" t="s">
        <v>61</v>
      </c>
      <c r="J42" s="1" t="s">
        <v>62</v>
      </c>
      <c r="K42" s="3" t="s">
        <v>28</v>
      </c>
      <c r="L42" s="3" t="s">
        <v>6</v>
      </c>
      <c r="M42" s="3" t="s">
        <v>23</v>
      </c>
      <c r="N42" s="3" t="s">
        <v>4</v>
      </c>
      <c r="O42" s="3" t="s">
        <v>5</v>
      </c>
      <c r="P42" s="3" t="s">
        <v>3</v>
      </c>
      <c r="Q42" s="3">
        <v>120</v>
      </c>
      <c r="R42" s="3">
        <v>85</v>
      </c>
      <c r="S42" s="3">
        <v>10200</v>
      </c>
      <c r="T42" s="3">
        <v>1020</v>
      </c>
      <c r="U42" s="3">
        <v>11220</v>
      </c>
    </row>
    <row r="43" spans="1:21" x14ac:dyDescent="0.25">
      <c r="A43" s="1">
        <v>42</v>
      </c>
      <c r="B43" s="2">
        <v>45292</v>
      </c>
      <c r="C43" s="2">
        <v>45292</v>
      </c>
      <c r="D43" s="4">
        <v>2024</v>
      </c>
      <c r="E43" s="4">
        <v>1</v>
      </c>
      <c r="F43" s="4">
        <v>1</v>
      </c>
      <c r="G43" s="1" t="s">
        <v>31</v>
      </c>
      <c r="I43" s="1" t="s">
        <v>25</v>
      </c>
      <c r="J43" s="1" t="s">
        <v>29</v>
      </c>
      <c r="K43" s="3" t="s">
        <v>28</v>
      </c>
      <c r="L43" s="3" t="s">
        <v>6</v>
      </c>
      <c r="M43" s="3" t="s">
        <v>23</v>
      </c>
      <c r="N43" s="3" t="s">
        <v>4</v>
      </c>
      <c r="O43" s="3" t="s">
        <v>5</v>
      </c>
      <c r="P43" s="3" t="s">
        <v>3</v>
      </c>
      <c r="Q43" s="3">
        <v>160</v>
      </c>
      <c r="R43" s="3">
        <v>85</v>
      </c>
      <c r="S43" s="3">
        <v>13600</v>
      </c>
      <c r="T43" s="3">
        <v>1360</v>
      </c>
      <c r="U43" s="3">
        <v>14960.000000000002</v>
      </c>
    </row>
    <row r="44" spans="1:21" x14ac:dyDescent="0.25">
      <c r="A44" s="1">
        <v>43</v>
      </c>
      <c r="B44" s="2">
        <v>45292</v>
      </c>
      <c r="C44" s="2">
        <v>45292</v>
      </c>
      <c r="D44" s="4">
        <v>2024</v>
      </c>
      <c r="E44" s="4">
        <v>1</v>
      </c>
      <c r="F44" s="4">
        <v>1</v>
      </c>
      <c r="G44" s="1" t="s">
        <v>31</v>
      </c>
      <c r="I44" s="1" t="s">
        <v>69</v>
      </c>
      <c r="J44" s="1" t="s">
        <v>70</v>
      </c>
      <c r="K44" s="3" t="s">
        <v>28</v>
      </c>
      <c r="L44" s="3" t="s">
        <v>6</v>
      </c>
      <c r="M44" s="3" t="s">
        <v>23</v>
      </c>
      <c r="N44" s="3" t="s">
        <v>4</v>
      </c>
      <c r="O44" s="3" t="s">
        <v>5</v>
      </c>
      <c r="P44" s="3" t="s">
        <v>3</v>
      </c>
      <c r="Q44" s="3">
        <v>260</v>
      </c>
      <c r="R44" s="3">
        <v>85</v>
      </c>
      <c r="S44" s="3">
        <v>22100</v>
      </c>
      <c r="T44" s="3">
        <v>2210</v>
      </c>
      <c r="U44" s="3">
        <v>24310.000000000004</v>
      </c>
    </row>
    <row r="45" spans="1:21" x14ac:dyDescent="0.25">
      <c r="A45" s="1">
        <v>44</v>
      </c>
      <c r="B45" s="2">
        <v>45292</v>
      </c>
      <c r="C45" s="2">
        <v>45292</v>
      </c>
      <c r="D45" s="4">
        <v>2024</v>
      </c>
      <c r="E45" s="4">
        <v>1</v>
      </c>
      <c r="F45" s="4">
        <v>1</v>
      </c>
      <c r="G45" s="1" t="s">
        <v>31</v>
      </c>
      <c r="I45" s="1" t="s">
        <v>57</v>
      </c>
      <c r="J45" s="1" t="s">
        <v>58</v>
      </c>
      <c r="K45" s="3" t="s">
        <v>28</v>
      </c>
      <c r="L45" s="3" t="s">
        <v>6</v>
      </c>
      <c r="M45" s="3" t="s">
        <v>23</v>
      </c>
      <c r="N45" s="3" t="s">
        <v>4</v>
      </c>
      <c r="O45" s="3" t="s">
        <v>5</v>
      </c>
      <c r="P45" s="3" t="s">
        <v>3</v>
      </c>
      <c r="Q45" s="3">
        <v>140</v>
      </c>
      <c r="R45" s="3">
        <v>85</v>
      </c>
      <c r="S45" s="3">
        <v>11900</v>
      </c>
      <c r="T45" s="3">
        <v>1190</v>
      </c>
      <c r="U45" s="3">
        <v>13090.000000000002</v>
      </c>
    </row>
    <row r="46" spans="1:21" x14ac:dyDescent="0.25">
      <c r="A46" s="1">
        <v>45</v>
      </c>
      <c r="B46" s="2">
        <v>45292</v>
      </c>
      <c r="C46" s="2">
        <v>45292</v>
      </c>
      <c r="D46" s="4">
        <v>2024</v>
      </c>
      <c r="E46" s="4">
        <v>1</v>
      </c>
      <c r="F46" s="4">
        <v>1</v>
      </c>
      <c r="G46" s="1" t="s">
        <v>31</v>
      </c>
      <c r="I46" s="1" t="s">
        <v>56</v>
      </c>
      <c r="J46" s="1" t="s">
        <v>31</v>
      </c>
      <c r="K46" s="3" t="s">
        <v>119</v>
      </c>
      <c r="L46" s="3" t="s">
        <v>6</v>
      </c>
      <c r="M46" s="3" t="s">
        <v>23</v>
      </c>
      <c r="N46" s="3" t="s">
        <v>4</v>
      </c>
      <c r="O46" s="3" t="s">
        <v>2</v>
      </c>
      <c r="P46" s="3" t="s">
        <v>3</v>
      </c>
      <c r="Q46" s="3">
        <v>3810</v>
      </c>
      <c r="R46" s="3">
        <v>85</v>
      </c>
      <c r="S46" s="3">
        <v>323850</v>
      </c>
      <c r="T46" s="3">
        <v>32385</v>
      </c>
      <c r="U46" s="3">
        <v>356235</v>
      </c>
    </row>
    <row r="47" spans="1:21" x14ac:dyDescent="0.25">
      <c r="A47" s="1">
        <v>46</v>
      </c>
      <c r="B47" s="2">
        <v>45292</v>
      </c>
      <c r="C47" s="2">
        <v>45292</v>
      </c>
      <c r="D47" s="4">
        <v>2024</v>
      </c>
      <c r="E47" s="4">
        <v>1</v>
      </c>
      <c r="F47" s="4">
        <v>1</v>
      </c>
      <c r="G47" s="1" t="s">
        <v>31</v>
      </c>
      <c r="I47" s="1" t="s">
        <v>100</v>
      </c>
      <c r="J47" s="1" t="s">
        <v>101</v>
      </c>
      <c r="K47" s="3" t="s">
        <v>28</v>
      </c>
      <c r="L47" s="3" t="s">
        <v>6</v>
      </c>
      <c r="M47" s="3" t="s">
        <v>23</v>
      </c>
      <c r="N47" s="3" t="s">
        <v>4</v>
      </c>
      <c r="O47" s="3" t="s">
        <v>5</v>
      </c>
      <c r="P47" s="3" t="s">
        <v>3</v>
      </c>
      <c r="Q47" s="3">
        <v>150</v>
      </c>
      <c r="R47" s="3">
        <v>85</v>
      </c>
      <c r="S47" s="3">
        <v>12750</v>
      </c>
      <c r="T47" s="3">
        <v>1275</v>
      </c>
      <c r="U47" s="3">
        <v>14025.000000000002</v>
      </c>
    </row>
    <row r="48" spans="1:21" x14ac:dyDescent="0.25">
      <c r="A48" s="1">
        <v>47</v>
      </c>
      <c r="B48" s="2">
        <v>45292</v>
      </c>
      <c r="C48" s="2">
        <v>45292</v>
      </c>
      <c r="D48" s="4">
        <v>2024</v>
      </c>
      <c r="E48" s="4">
        <v>1</v>
      </c>
      <c r="F48" s="4">
        <v>1</v>
      </c>
      <c r="G48" s="1" t="s">
        <v>31</v>
      </c>
      <c r="I48" s="1" t="s">
        <v>67</v>
      </c>
      <c r="J48" s="1" t="s">
        <v>68</v>
      </c>
      <c r="K48" s="3" t="s">
        <v>28</v>
      </c>
      <c r="L48" s="3" t="s">
        <v>6</v>
      </c>
      <c r="M48" s="3" t="s">
        <v>23</v>
      </c>
      <c r="N48" s="3" t="s">
        <v>4</v>
      </c>
      <c r="O48" s="3" t="s">
        <v>5</v>
      </c>
      <c r="P48" s="3" t="s">
        <v>3</v>
      </c>
      <c r="Q48" s="3">
        <v>150</v>
      </c>
      <c r="R48" s="3">
        <v>85</v>
      </c>
      <c r="S48" s="3">
        <v>12750</v>
      </c>
      <c r="T48" s="3">
        <v>1275</v>
      </c>
      <c r="U48" s="3">
        <v>14025.000000000002</v>
      </c>
    </row>
    <row r="49" spans="1:21" x14ac:dyDescent="0.25">
      <c r="A49" s="1">
        <v>48</v>
      </c>
      <c r="B49" s="2">
        <v>45292</v>
      </c>
      <c r="C49" s="2">
        <v>45292</v>
      </c>
      <c r="D49" s="4">
        <v>2024</v>
      </c>
      <c r="E49" s="4">
        <v>1</v>
      </c>
      <c r="F49" s="4">
        <v>1</v>
      </c>
      <c r="G49" s="1" t="s">
        <v>31</v>
      </c>
      <c r="I49" s="1" t="s">
        <v>69</v>
      </c>
      <c r="J49" s="1" t="s">
        <v>70</v>
      </c>
      <c r="K49" s="3" t="s">
        <v>28</v>
      </c>
      <c r="L49" s="3" t="s">
        <v>6</v>
      </c>
      <c r="M49" s="3" t="s">
        <v>23</v>
      </c>
      <c r="N49" s="3" t="s">
        <v>4</v>
      </c>
      <c r="O49" s="3" t="s">
        <v>5</v>
      </c>
      <c r="P49" s="3" t="s">
        <v>3</v>
      </c>
      <c r="Q49" s="3">
        <v>240</v>
      </c>
      <c r="R49" s="3">
        <v>85</v>
      </c>
      <c r="S49" s="3">
        <v>20400</v>
      </c>
      <c r="T49" s="3">
        <v>2040</v>
      </c>
      <c r="U49" s="3">
        <v>22440</v>
      </c>
    </row>
    <row r="50" spans="1:21" x14ac:dyDescent="0.25">
      <c r="A50" s="1">
        <v>49</v>
      </c>
      <c r="B50" s="2">
        <v>45292</v>
      </c>
      <c r="C50" s="2">
        <v>45292</v>
      </c>
      <c r="D50" s="4">
        <v>2024</v>
      </c>
      <c r="E50" s="4">
        <v>1</v>
      </c>
      <c r="F50" s="4">
        <v>1</v>
      </c>
      <c r="G50" s="1" t="s">
        <v>31</v>
      </c>
      <c r="I50" s="1" t="s">
        <v>67</v>
      </c>
      <c r="J50" s="1" t="s">
        <v>68</v>
      </c>
      <c r="K50" s="3" t="s">
        <v>28</v>
      </c>
      <c r="L50" s="3" t="s">
        <v>6</v>
      </c>
      <c r="M50" s="3" t="s">
        <v>23</v>
      </c>
      <c r="N50" s="3" t="s">
        <v>4</v>
      </c>
      <c r="O50" s="3" t="s">
        <v>5</v>
      </c>
      <c r="P50" s="3" t="s">
        <v>3</v>
      </c>
      <c r="Q50" s="3">
        <v>160</v>
      </c>
      <c r="R50" s="3">
        <v>85</v>
      </c>
      <c r="S50" s="3">
        <v>13600</v>
      </c>
      <c r="T50" s="3">
        <v>1360</v>
      </c>
      <c r="U50" s="3">
        <v>14960.000000000002</v>
      </c>
    </row>
    <row r="51" spans="1:21" x14ac:dyDescent="0.25">
      <c r="A51" s="1">
        <v>50</v>
      </c>
      <c r="B51" s="2">
        <v>45292</v>
      </c>
      <c r="C51" s="2">
        <v>45292</v>
      </c>
      <c r="D51" s="4">
        <v>2024</v>
      </c>
      <c r="E51" s="4">
        <v>1</v>
      </c>
      <c r="F51" s="4">
        <v>1</v>
      </c>
      <c r="G51" s="1" t="s">
        <v>31</v>
      </c>
      <c r="I51" s="1" t="s">
        <v>61</v>
      </c>
      <c r="J51" s="1" t="s">
        <v>62</v>
      </c>
      <c r="K51" s="3" t="s">
        <v>28</v>
      </c>
      <c r="L51" s="3" t="s">
        <v>6</v>
      </c>
      <c r="M51" s="3" t="s">
        <v>23</v>
      </c>
      <c r="N51" s="3" t="s">
        <v>4</v>
      </c>
      <c r="O51" s="3" t="s">
        <v>5</v>
      </c>
      <c r="P51" s="3" t="s">
        <v>3</v>
      </c>
      <c r="Q51" s="3">
        <v>80</v>
      </c>
      <c r="R51" s="3">
        <v>85</v>
      </c>
      <c r="S51" s="3">
        <v>6800</v>
      </c>
      <c r="T51" s="3">
        <v>680</v>
      </c>
      <c r="U51" s="3">
        <v>7480.0000000000009</v>
      </c>
    </row>
    <row r="52" spans="1:21" x14ac:dyDescent="0.25">
      <c r="A52" s="1">
        <v>51</v>
      </c>
      <c r="B52" s="2">
        <v>45292</v>
      </c>
      <c r="C52" s="2">
        <v>45292</v>
      </c>
      <c r="D52" s="4">
        <v>2024</v>
      </c>
      <c r="E52" s="4">
        <v>1</v>
      </c>
      <c r="F52" s="4">
        <v>1</v>
      </c>
      <c r="G52" s="1" t="s">
        <v>31</v>
      </c>
      <c r="I52" s="1" t="s">
        <v>67</v>
      </c>
      <c r="J52" s="1" t="s">
        <v>68</v>
      </c>
      <c r="K52" s="3" t="s">
        <v>28</v>
      </c>
      <c r="L52" s="3" t="s">
        <v>6</v>
      </c>
      <c r="M52" s="3" t="s">
        <v>23</v>
      </c>
      <c r="N52" s="3" t="s">
        <v>4</v>
      </c>
      <c r="O52" s="3" t="s">
        <v>5</v>
      </c>
      <c r="P52" s="3" t="s">
        <v>3</v>
      </c>
      <c r="Q52" s="3">
        <v>90</v>
      </c>
      <c r="R52" s="3">
        <v>85</v>
      </c>
      <c r="S52" s="3">
        <v>7650</v>
      </c>
      <c r="T52" s="3">
        <v>765</v>
      </c>
      <c r="U52" s="3">
        <v>8415</v>
      </c>
    </row>
    <row r="53" spans="1:21" x14ac:dyDescent="0.25">
      <c r="A53" s="1">
        <v>52</v>
      </c>
      <c r="B53" s="2">
        <v>45292</v>
      </c>
      <c r="C53" s="2">
        <v>45292</v>
      </c>
      <c r="D53" s="4">
        <v>2024</v>
      </c>
      <c r="E53" s="4">
        <v>1</v>
      </c>
      <c r="F53" s="4">
        <v>1</v>
      </c>
      <c r="G53" s="1" t="s">
        <v>31</v>
      </c>
      <c r="I53" s="1" t="s">
        <v>61</v>
      </c>
      <c r="J53" s="1" t="s">
        <v>62</v>
      </c>
      <c r="K53" s="3" t="s">
        <v>28</v>
      </c>
      <c r="L53" s="3" t="s">
        <v>6</v>
      </c>
      <c r="M53" s="3" t="s">
        <v>23</v>
      </c>
      <c r="N53" s="3" t="s">
        <v>4</v>
      </c>
      <c r="O53" s="3" t="s">
        <v>5</v>
      </c>
      <c r="P53" s="3" t="s">
        <v>3</v>
      </c>
      <c r="Q53" s="3">
        <v>200</v>
      </c>
      <c r="R53" s="3">
        <v>85</v>
      </c>
      <c r="S53" s="3">
        <v>17000</v>
      </c>
      <c r="T53" s="3">
        <v>1700</v>
      </c>
      <c r="U53" s="3">
        <v>18700</v>
      </c>
    </row>
    <row r="54" spans="1:21" x14ac:dyDescent="0.25">
      <c r="A54" s="1">
        <v>53</v>
      </c>
      <c r="B54" s="2">
        <v>45293</v>
      </c>
      <c r="C54" s="2">
        <v>45293</v>
      </c>
      <c r="D54" s="4">
        <v>2024</v>
      </c>
      <c r="E54" s="4">
        <v>1</v>
      </c>
      <c r="F54" s="4">
        <v>2</v>
      </c>
      <c r="G54" s="1" t="s">
        <v>32</v>
      </c>
      <c r="I54" s="1" t="s">
        <v>41</v>
      </c>
      <c r="J54" s="1" t="s">
        <v>32</v>
      </c>
      <c r="K54" s="3" t="s">
        <v>119</v>
      </c>
      <c r="L54" s="3" t="s">
        <v>6</v>
      </c>
      <c r="M54" s="3" t="s">
        <v>23</v>
      </c>
      <c r="N54" s="3" t="s">
        <v>4</v>
      </c>
      <c r="O54" s="3" t="s">
        <v>2</v>
      </c>
      <c r="P54" s="3" t="s">
        <v>3</v>
      </c>
      <c r="Q54" s="3">
        <v>5550</v>
      </c>
      <c r="R54" s="3">
        <v>90</v>
      </c>
      <c r="S54" s="3">
        <v>499500</v>
      </c>
      <c r="T54" s="3">
        <v>49950</v>
      </c>
      <c r="U54" s="3">
        <v>549450</v>
      </c>
    </row>
    <row r="55" spans="1:21" x14ac:dyDescent="0.25">
      <c r="A55" s="1">
        <v>54</v>
      </c>
      <c r="B55" s="2">
        <v>45293</v>
      </c>
      <c r="C55" s="2">
        <v>45293</v>
      </c>
      <c r="D55" s="4">
        <v>2024</v>
      </c>
      <c r="E55" s="4">
        <v>1</v>
      </c>
      <c r="F55" s="4">
        <v>2</v>
      </c>
      <c r="G55" s="1" t="s">
        <v>36</v>
      </c>
      <c r="I55" s="1" t="s">
        <v>48</v>
      </c>
      <c r="J55" s="1" t="s">
        <v>36</v>
      </c>
      <c r="K55" s="3" t="s">
        <v>119</v>
      </c>
      <c r="L55" s="3" t="s">
        <v>46</v>
      </c>
      <c r="M55" s="3" t="s">
        <v>23</v>
      </c>
      <c r="N55" s="3" t="s">
        <v>47</v>
      </c>
      <c r="O55" s="3" t="s">
        <v>2</v>
      </c>
      <c r="P55" s="3" t="s">
        <v>3</v>
      </c>
      <c r="Q55" s="3">
        <v>3030</v>
      </c>
      <c r="R55" s="3">
        <v>0</v>
      </c>
      <c r="S55" s="3">
        <v>0</v>
      </c>
      <c r="T55" s="3">
        <v>0</v>
      </c>
      <c r="U55" s="3">
        <v>0</v>
      </c>
    </row>
    <row r="56" spans="1:21" x14ac:dyDescent="0.25">
      <c r="A56" s="1">
        <v>55</v>
      </c>
      <c r="B56" s="2">
        <v>45293</v>
      </c>
      <c r="C56" s="2">
        <v>45293</v>
      </c>
      <c r="D56" s="4">
        <v>2024</v>
      </c>
      <c r="E56" s="4">
        <v>1</v>
      </c>
      <c r="F56" s="4">
        <v>2</v>
      </c>
      <c r="G56" s="1" t="s">
        <v>36</v>
      </c>
      <c r="I56" s="1" t="s">
        <v>120</v>
      </c>
      <c r="J56" s="1" t="s">
        <v>36</v>
      </c>
      <c r="K56" s="3" t="s">
        <v>119</v>
      </c>
      <c r="L56" s="3" t="s">
        <v>46</v>
      </c>
      <c r="M56" s="3" t="s">
        <v>23</v>
      </c>
      <c r="N56" s="3" t="s">
        <v>47</v>
      </c>
      <c r="O56" s="3" t="s">
        <v>2</v>
      </c>
      <c r="P56" s="3" t="s">
        <v>3</v>
      </c>
      <c r="Q56" s="3">
        <v>3530</v>
      </c>
      <c r="R56" s="3">
        <v>0</v>
      </c>
      <c r="S56" s="3">
        <v>0</v>
      </c>
      <c r="T56" s="3">
        <v>0</v>
      </c>
      <c r="U56" s="3">
        <v>0</v>
      </c>
    </row>
    <row r="57" spans="1:21" x14ac:dyDescent="0.25">
      <c r="A57" s="1">
        <v>56</v>
      </c>
      <c r="B57" s="2">
        <v>45293</v>
      </c>
      <c r="C57" s="2">
        <v>45293</v>
      </c>
      <c r="D57" s="4">
        <v>2024</v>
      </c>
      <c r="E57" s="4">
        <v>1</v>
      </c>
      <c r="F57" s="4">
        <v>2</v>
      </c>
      <c r="G57" s="1" t="s">
        <v>32</v>
      </c>
      <c r="I57" s="1" t="s">
        <v>40</v>
      </c>
      <c r="J57" s="1" t="s">
        <v>32</v>
      </c>
      <c r="K57" s="3" t="s">
        <v>119</v>
      </c>
      <c r="L57" s="3" t="s">
        <v>6</v>
      </c>
      <c r="M57" s="3" t="s">
        <v>23</v>
      </c>
      <c r="N57" s="3" t="s">
        <v>42</v>
      </c>
      <c r="O57" s="3" t="s">
        <v>2</v>
      </c>
      <c r="P57" s="3" t="s">
        <v>3</v>
      </c>
      <c r="Q57" s="3">
        <v>15965</v>
      </c>
      <c r="R57" s="3">
        <v>165</v>
      </c>
      <c r="S57" s="3">
        <v>2634225</v>
      </c>
      <c r="T57" s="3">
        <v>263422.5</v>
      </c>
      <c r="U57" s="3">
        <v>2897647.5000000005</v>
      </c>
    </row>
    <row r="58" spans="1:21" x14ac:dyDescent="0.25">
      <c r="A58" s="1">
        <v>57</v>
      </c>
      <c r="B58" s="2">
        <v>45293</v>
      </c>
      <c r="C58" s="2">
        <v>45293</v>
      </c>
      <c r="D58" s="4">
        <v>2024</v>
      </c>
      <c r="E58" s="4">
        <v>1</v>
      </c>
      <c r="F58" s="4">
        <v>2</v>
      </c>
      <c r="G58" s="1" t="s">
        <v>36</v>
      </c>
      <c r="I58" s="1" t="s">
        <v>118</v>
      </c>
      <c r="J58" s="1" t="s">
        <v>36</v>
      </c>
      <c r="K58" s="3" t="s">
        <v>119</v>
      </c>
      <c r="L58" s="3" t="s">
        <v>77</v>
      </c>
      <c r="M58" s="3" t="s">
        <v>23</v>
      </c>
      <c r="N58" s="3" t="s">
        <v>78</v>
      </c>
      <c r="O58" s="3" t="s">
        <v>2</v>
      </c>
      <c r="P58" s="3" t="s">
        <v>3</v>
      </c>
      <c r="Q58" s="3">
        <v>3965</v>
      </c>
      <c r="R58" s="3">
        <v>0</v>
      </c>
      <c r="S58" s="3">
        <v>0</v>
      </c>
      <c r="T58" s="3">
        <v>0</v>
      </c>
      <c r="U58" s="3">
        <v>0</v>
      </c>
    </row>
    <row r="59" spans="1:21" x14ac:dyDescent="0.25">
      <c r="A59" s="1">
        <v>58</v>
      </c>
      <c r="B59" s="2">
        <v>45293</v>
      </c>
      <c r="C59" s="2">
        <v>45293</v>
      </c>
      <c r="D59" s="4">
        <v>2024</v>
      </c>
      <c r="E59" s="4">
        <v>1</v>
      </c>
      <c r="F59" s="4">
        <v>2</v>
      </c>
      <c r="G59" s="1" t="s">
        <v>32</v>
      </c>
      <c r="I59" s="1" t="s">
        <v>41</v>
      </c>
      <c r="J59" s="1" t="s">
        <v>32</v>
      </c>
      <c r="K59" s="3" t="s">
        <v>119</v>
      </c>
      <c r="L59" s="3" t="s">
        <v>6</v>
      </c>
      <c r="M59" s="3" t="s">
        <v>23</v>
      </c>
      <c r="N59" s="3" t="s">
        <v>4</v>
      </c>
      <c r="O59" s="3" t="s">
        <v>2</v>
      </c>
      <c r="P59" s="3" t="s">
        <v>3</v>
      </c>
      <c r="Q59" s="3">
        <v>5860</v>
      </c>
      <c r="R59" s="3">
        <v>90</v>
      </c>
      <c r="S59" s="3">
        <v>527400</v>
      </c>
      <c r="T59" s="3">
        <v>52740</v>
      </c>
      <c r="U59" s="3">
        <v>580140</v>
      </c>
    </row>
    <row r="60" spans="1:21" x14ac:dyDescent="0.25">
      <c r="A60" s="1">
        <v>59</v>
      </c>
      <c r="B60" s="2">
        <v>45293</v>
      </c>
      <c r="C60" s="2">
        <v>45293</v>
      </c>
      <c r="D60" s="4">
        <v>2024</v>
      </c>
      <c r="E60" s="4">
        <v>1</v>
      </c>
      <c r="F60" s="4">
        <v>2</v>
      </c>
      <c r="G60" s="1" t="s">
        <v>36</v>
      </c>
      <c r="I60" s="1" t="s">
        <v>81</v>
      </c>
      <c r="J60" s="1" t="s">
        <v>36</v>
      </c>
      <c r="K60" s="3" t="s">
        <v>119</v>
      </c>
      <c r="L60" s="3" t="s">
        <v>77</v>
      </c>
      <c r="M60" s="3" t="s">
        <v>23</v>
      </c>
      <c r="N60" s="3" t="s">
        <v>78</v>
      </c>
      <c r="O60" s="3" t="s">
        <v>2</v>
      </c>
      <c r="P60" s="3" t="s">
        <v>3</v>
      </c>
      <c r="Q60" s="3">
        <v>4005</v>
      </c>
      <c r="R60" s="3">
        <v>0</v>
      </c>
      <c r="S60" s="3">
        <v>0</v>
      </c>
      <c r="T60" s="3">
        <v>0</v>
      </c>
      <c r="U60" s="3">
        <v>0</v>
      </c>
    </row>
    <row r="61" spans="1:21" x14ac:dyDescent="0.25">
      <c r="A61" s="1">
        <v>60</v>
      </c>
      <c r="B61" s="2">
        <v>45293</v>
      </c>
      <c r="C61" s="2">
        <v>45293</v>
      </c>
      <c r="D61" s="4">
        <v>2024</v>
      </c>
      <c r="E61" s="4">
        <v>1</v>
      </c>
      <c r="F61" s="4">
        <v>2</v>
      </c>
      <c r="G61" s="1" t="s">
        <v>34</v>
      </c>
      <c r="I61" s="1" t="s">
        <v>71</v>
      </c>
      <c r="J61" s="1" t="s">
        <v>34</v>
      </c>
      <c r="K61" s="3" t="s">
        <v>119</v>
      </c>
      <c r="L61" s="3" t="s">
        <v>72</v>
      </c>
      <c r="M61" s="3" t="s">
        <v>73</v>
      </c>
      <c r="N61" s="3" t="s">
        <v>74</v>
      </c>
      <c r="O61" s="3" t="s">
        <v>2</v>
      </c>
      <c r="P61" s="3" t="s">
        <v>3</v>
      </c>
      <c r="Q61" s="3">
        <v>1785</v>
      </c>
      <c r="R61" s="3">
        <v>1450</v>
      </c>
      <c r="S61" s="3">
        <v>2588250</v>
      </c>
      <c r="T61" s="3">
        <v>258825</v>
      </c>
      <c r="U61" s="3">
        <v>2847075</v>
      </c>
    </row>
    <row r="62" spans="1:21" x14ac:dyDescent="0.25">
      <c r="A62" s="1">
        <v>61</v>
      </c>
      <c r="B62" s="2">
        <v>45293</v>
      </c>
      <c r="C62" s="2">
        <v>45293</v>
      </c>
      <c r="D62" s="4">
        <v>2024</v>
      </c>
      <c r="E62" s="4">
        <v>1</v>
      </c>
      <c r="F62" s="4">
        <v>2</v>
      </c>
      <c r="G62" s="1" t="s">
        <v>36</v>
      </c>
      <c r="I62" s="1" t="s">
        <v>80</v>
      </c>
      <c r="J62" s="1" t="s">
        <v>36</v>
      </c>
      <c r="K62" s="3" t="s">
        <v>119</v>
      </c>
      <c r="L62" s="3" t="s">
        <v>46</v>
      </c>
      <c r="M62" s="3" t="s">
        <v>23</v>
      </c>
      <c r="N62" s="3" t="s">
        <v>47</v>
      </c>
      <c r="O62" s="3" t="s">
        <v>2</v>
      </c>
      <c r="P62" s="3" t="s">
        <v>3</v>
      </c>
      <c r="Q62" s="3">
        <v>2940</v>
      </c>
      <c r="R62" s="3">
        <v>0</v>
      </c>
      <c r="S62" s="3">
        <v>0</v>
      </c>
      <c r="T62" s="3">
        <v>0</v>
      </c>
      <c r="U62" s="3">
        <v>0</v>
      </c>
    </row>
    <row r="63" spans="1:21" x14ac:dyDescent="0.25">
      <c r="A63" s="1">
        <v>62</v>
      </c>
      <c r="B63" s="2">
        <v>45293</v>
      </c>
      <c r="C63" s="2">
        <v>45293</v>
      </c>
      <c r="D63" s="4">
        <v>2024</v>
      </c>
      <c r="E63" s="4">
        <v>1</v>
      </c>
      <c r="F63" s="4">
        <v>2</v>
      </c>
      <c r="G63" s="1" t="s">
        <v>36</v>
      </c>
      <c r="I63" s="1" t="s">
        <v>51</v>
      </c>
      <c r="J63" s="1" t="s">
        <v>36</v>
      </c>
      <c r="K63" s="3" t="s">
        <v>119</v>
      </c>
      <c r="L63" s="3" t="s">
        <v>46</v>
      </c>
      <c r="M63" s="3" t="s">
        <v>23</v>
      </c>
      <c r="N63" s="3" t="s">
        <v>47</v>
      </c>
      <c r="O63" s="3" t="s">
        <v>2</v>
      </c>
      <c r="P63" s="3" t="s">
        <v>3</v>
      </c>
      <c r="Q63" s="3">
        <v>3155</v>
      </c>
      <c r="R63" s="3">
        <v>0</v>
      </c>
      <c r="S63" s="3">
        <v>0</v>
      </c>
      <c r="T63" s="3">
        <v>0</v>
      </c>
      <c r="U63" s="3">
        <v>0</v>
      </c>
    </row>
    <row r="64" spans="1:21" x14ac:dyDescent="0.25">
      <c r="A64" s="1">
        <v>63</v>
      </c>
      <c r="B64" s="2">
        <v>45293</v>
      </c>
      <c r="C64" s="2">
        <v>45293</v>
      </c>
      <c r="D64" s="4">
        <v>2024</v>
      </c>
      <c r="E64" s="4">
        <v>1</v>
      </c>
      <c r="F64" s="4">
        <v>2</v>
      </c>
      <c r="G64" s="1" t="s">
        <v>33</v>
      </c>
      <c r="I64" s="1" t="s">
        <v>109</v>
      </c>
      <c r="J64" s="1" t="s">
        <v>33</v>
      </c>
      <c r="K64" s="3" t="s">
        <v>119</v>
      </c>
      <c r="L64" s="3" t="s">
        <v>75</v>
      </c>
      <c r="M64" s="3" t="s">
        <v>76</v>
      </c>
      <c r="N64" s="3" t="s">
        <v>76</v>
      </c>
      <c r="O64" s="3" t="s">
        <v>2</v>
      </c>
      <c r="P64" s="3" t="s">
        <v>3</v>
      </c>
      <c r="Q64" s="3">
        <v>2775</v>
      </c>
      <c r="R64" s="3">
        <v>220</v>
      </c>
      <c r="S64" s="3">
        <v>610500</v>
      </c>
      <c r="T64" s="3">
        <v>61050</v>
      </c>
      <c r="U64" s="3">
        <v>671550</v>
      </c>
    </row>
    <row r="65" spans="1:21" x14ac:dyDescent="0.25">
      <c r="A65" s="1">
        <v>64</v>
      </c>
      <c r="B65" s="2">
        <v>45293</v>
      </c>
      <c r="C65" s="2">
        <v>45293</v>
      </c>
      <c r="D65" s="4">
        <v>2024</v>
      </c>
      <c r="E65" s="4">
        <v>1</v>
      </c>
      <c r="F65" s="4">
        <v>2</v>
      </c>
      <c r="G65" s="1" t="s">
        <v>31</v>
      </c>
      <c r="I65" s="1" t="s">
        <v>57</v>
      </c>
      <c r="J65" s="1" t="s">
        <v>58</v>
      </c>
      <c r="K65" s="3" t="s">
        <v>28</v>
      </c>
      <c r="L65" s="3" t="s">
        <v>6</v>
      </c>
      <c r="M65" s="3" t="s">
        <v>23</v>
      </c>
      <c r="N65" s="3" t="s">
        <v>4</v>
      </c>
      <c r="O65" s="3" t="s">
        <v>5</v>
      </c>
      <c r="P65" s="3" t="s">
        <v>3</v>
      </c>
      <c r="Q65" s="3">
        <v>150</v>
      </c>
      <c r="R65" s="3">
        <v>85</v>
      </c>
      <c r="S65" s="3">
        <v>12750</v>
      </c>
      <c r="T65" s="3">
        <v>1275</v>
      </c>
      <c r="U65" s="3">
        <v>14025.000000000002</v>
      </c>
    </row>
    <row r="66" spans="1:21" x14ac:dyDescent="0.25">
      <c r="A66" s="1">
        <v>65</v>
      </c>
      <c r="B66" s="2">
        <v>45293</v>
      </c>
      <c r="C66" s="2">
        <v>45293</v>
      </c>
      <c r="D66" s="4">
        <v>2024</v>
      </c>
      <c r="E66" s="4">
        <v>1</v>
      </c>
      <c r="F66" s="4">
        <v>2</v>
      </c>
      <c r="G66" s="1" t="s">
        <v>31</v>
      </c>
      <c r="I66" s="1" t="s">
        <v>59</v>
      </c>
      <c r="J66" s="1" t="s">
        <v>60</v>
      </c>
      <c r="K66" s="3" t="s">
        <v>28</v>
      </c>
      <c r="L66" s="3" t="s">
        <v>6</v>
      </c>
      <c r="M66" s="3" t="s">
        <v>23</v>
      </c>
      <c r="N66" s="3" t="s">
        <v>4</v>
      </c>
      <c r="O66" s="3" t="s">
        <v>5</v>
      </c>
      <c r="P66" s="3" t="s">
        <v>3</v>
      </c>
      <c r="Q66" s="3">
        <v>170</v>
      </c>
      <c r="R66" s="3">
        <v>85</v>
      </c>
      <c r="S66" s="3">
        <v>14450</v>
      </c>
      <c r="T66" s="3">
        <v>1445</v>
      </c>
      <c r="U66" s="3">
        <v>15895.000000000002</v>
      </c>
    </row>
    <row r="67" spans="1:21" x14ac:dyDescent="0.25">
      <c r="A67" s="1">
        <v>66</v>
      </c>
      <c r="B67" s="2">
        <v>45293</v>
      </c>
      <c r="C67" s="2">
        <v>45293</v>
      </c>
      <c r="D67" s="4">
        <v>2024</v>
      </c>
      <c r="E67" s="4">
        <v>1</v>
      </c>
      <c r="F67" s="4">
        <v>2</v>
      </c>
      <c r="G67" s="1" t="s">
        <v>31</v>
      </c>
      <c r="I67" s="1" t="s">
        <v>57</v>
      </c>
      <c r="J67" s="1" t="s">
        <v>58</v>
      </c>
      <c r="K67" s="3" t="s">
        <v>28</v>
      </c>
      <c r="L67" s="3" t="s">
        <v>6</v>
      </c>
      <c r="M67" s="3" t="s">
        <v>23</v>
      </c>
      <c r="N67" s="3" t="s">
        <v>4</v>
      </c>
      <c r="O67" s="3" t="s">
        <v>5</v>
      </c>
      <c r="P67" s="3" t="s">
        <v>3</v>
      </c>
      <c r="Q67" s="3">
        <v>210</v>
      </c>
      <c r="R67" s="3">
        <v>85</v>
      </c>
      <c r="S67" s="3">
        <v>17850</v>
      </c>
      <c r="T67" s="3">
        <v>1785</v>
      </c>
      <c r="U67" s="3">
        <v>19635</v>
      </c>
    </row>
    <row r="68" spans="1:21" x14ac:dyDescent="0.25">
      <c r="A68" s="1">
        <v>67</v>
      </c>
      <c r="B68" s="2">
        <v>45293</v>
      </c>
      <c r="C68" s="2">
        <v>45293</v>
      </c>
      <c r="D68" s="4">
        <v>2024</v>
      </c>
      <c r="E68" s="4">
        <v>1</v>
      </c>
      <c r="F68" s="4">
        <v>2</v>
      </c>
      <c r="G68" s="1" t="s">
        <v>31</v>
      </c>
      <c r="I68" s="1" t="s">
        <v>59</v>
      </c>
      <c r="J68" s="1" t="s">
        <v>60</v>
      </c>
      <c r="K68" s="3" t="s">
        <v>28</v>
      </c>
      <c r="L68" s="3" t="s">
        <v>6</v>
      </c>
      <c r="M68" s="3" t="s">
        <v>23</v>
      </c>
      <c r="N68" s="3" t="s">
        <v>4</v>
      </c>
      <c r="O68" s="3" t="s">
        <v>5</v>
      </c>
      <c r="P68" s="3" t="s">
        <v>3</v>
      </c>
      <c r="Q68" s="3">
        <v>260</v>
      </c>
      <c r="R68" s="3">
        <v>85</v>
      </c>
      <c r="S68" s="3">
        <v>22100</v>
      </c>
      <c r="T68" s="3">
        <v>2210</v>
      </c>
      <c r="U68" s="3">
        <v>24310.000000000004</v>
      </c>
    </row>
    <row r="69" spans="1:21" x14ac:dyDescent="0.25">
      <c r="A69" s="1">
        <v>68</v>
      </c>
      <c r="B69" s="2">
        <v>45293</v>
      </c>
      <c r="C69" s="2">
        <v>45293</v>
      </c>
      <c r="D69" s="4">
        <v>2024</v>
      </c>
      <c r="E69" s="4">
        <v>1</v>
      </c>
      <c r="F69" s="4">
        <v>2</v>
      </c>
      <c r="G69" s="1" t="s">
        <v>31</v>
      </c>
      <c r="I69" s="1" t="s">
        <v>61</v>
      </c>
      <c r="J69" s="1" t="s">
        <v>62</v>
      </c>
      <c r="K69" s="3" t="s">
        <v>28</v>
      </c>
      <c r="L69" s="3" t="s">
        <v>6</v>
      </c>
      <c r="M69" s="3" t="s">
        <v>23</v>
      </c>
      <c r="N69" s="3" t="s">
        <v>4</v>
      </c>
      <c r="O69" s="3" t="s">
        <v>5</v>
      </c>
      <c r="P69" s="3" t="s">
        <v>3</v>
      </c>
      <c r="Q69" s="3">
        <v>140</v>
      </c>
      <c r="R69" s="3">
        <v>85</v>
      </c>
      <c r="S69" s="3">
        <v>11900</v>
      </c>
      <c r="T69" s="3">
        <v>1190</v>
      </c>
      <c r="U69" s="3">
        <v>13090.000000000002</v>
      </c>
    </row>
    <row r="70" spans="1:21" x14ac:dyDescent="0.25">
      <c r="A70" s="1">
        <v>69</v>
      </c>
      <c r="B70" s="2">
        <v>45293</v>
      </c>
      <c r="C70" s="2">
        <v>45293</v>
      </c>
      <c r="D70" s="4">
        <v>2024</v>
      </c>
      <c r="E70" s="4">
        <v>1</v>
      </c>
      <c r="F70" s="4">
        <v>2</v>
      </c>
      <c r="G70" s="1" t="s">
        <v>31</v>
      </c>
      <c r="I70" s="1" t="s">
        <v>63</v>
      </c>
      <c r="J70" s="1" t="s">
        <v>64</v>
      </c>
      <c r="K70" s="3" t="s">
        <v>28</v>
      </c>
      <c r="L70" s="3" t="s">
        <v>6</v>
      </c>
      <c r="M70" s="3" t="s">
        <v>23</v>
      </c>
      <c r="N70" s="3" t="s">
        <v>4</v>
      </c>
      <c r="O70" s="3" t="s">
        <v>5</v>
      </c>
      <c r="P70" s="3" t="s">
        <v>3</v>
      </c>
      <c r="Q70" s="3">
        <v>260</v>
      </c>
      <c r="R70" s="3">
        <v>85</v>
      </c>
      <c r="S70" s="3">
        <v>22100</v>
      </c>
      <c r="T70" s="3">
        <v>2210</v>
      </c>
      <c r="U70" s="3">
        <v>24310.000000000004</v>
      </c>
    </row>
    <row r="71" spans="1:21" x14ac:dyDescent="0.25">
      <c r="A71" s="1">
        <v>70</v>
      </c>
      <c r="B71" s="2">
        <v>45293</v>
      </c>
      <c r="C71" s="2">
        <v>45293</v>
      </c>
      <c r="D71" s="4">
        <v>2024</v>
      </c>
      <c r="E71" s="4">
        <v>1</v>
      </c>
      <c r="F71" s="4">
        <v>2</v>
      </c>
      <c r="G71" s="1" t="s">
        <v>31</v>
      </c>
      <c r="I71" s="1" t="s">
        <v>37</v>
      </c>
      <c r="J71" s="1" t="s">
        <v>38</v>
      </c>
      <c r="K71" s="3" t="s">
        <v>28</v>
      </c>
      <c r="L71" s="3" t="s">
        <v>6</v>
      </c>
      <c r="M71" s="3" t="s">
        <v>23</v>
      </c>
      <c r="N71" s="3" t="s">
        <v>4</v>
      </c>
      <c r="O71" s="3" t="s">
        <v>5</v>
      </c>
      <c r="P71" s="3" t="s">
        <v>3</v>
      </c>
      <c r="Q71" s="3">
        <v>160</v>
      </c>
      <c r="R71" s="3">
        <v>85</v>
      </c>
      <c r="S71" s="3">
        <v>13600</v>
      </c>
      <c r="T71" s="3">
        <v>1360</v>
      </c>
      <c r="U71" s="3">
        <v>14960.000000000002</v>
      </c>
    </row>
    <row r="72" spans="1:21" x14ac:dyDescent="0.25">
      <c r="A72" s="1">
        <v>71</v>
      </c>
      <c r="B72" s="2">
        <v>45293</v>
      </c>
      <c r="C72" s="2">
        <v>45293</v>
      </c>
      <c r="D72" s="4">
        <v>2024</v>
      </c>
      <c r="E72" s="4">
        <v>1</v>
      </c>
      <c r="F72" s="4">
        <v>2</v>
      </c>
      <c r="G72" s="1" t="s">
        <v>31</v>
      </c>
      <c r="I72" s="1" t="s">
        <v>55</v>
      </c>
      <c r="J72" s="1" t="s">
        <v>31</v>
      </c>
      <c r="K72" s="3" t="s">
        <v>119</v>
      </c>
      <c r="L72" s="3" t="s">
        <v>6</v>
      </c>
      <c r="M72" s="3" t="s">
        <v>23</v>
      </c>
      <c r="N72" s="3" t="s">
        <v>4</v>
      </c>
      <c r="O72" s="3" t="s">
        <v>2</v>
      </c>
      <c r="P72" s="3" t="s">
        <v>3</v>
      </c>
      <c r="Q72" s="3">
        <v>4030</v>
      </c>
      <c r="R72" s="3">
        <v>85</v>
      </c>
      <c r="S72" s="3">
        <v>342550</v>
      </c>
      <c r="T72" s="3">
        <v>34255</v>
      </c>
      <c r="U72" s="3">
        <v>376805.00000000006</v>
      </c>
    </row>
    <row r="73" spans="1:21" x14ac:dyDescent="0.25">
      <c r="A73" s="1">
        <v>72</v>
      </c>
      <c r="B73" s="2">
        <v>45293</v>
      </c>
      <c r="C73" s="2">
        <v>45293</v>
      </c>
      <c r="D73" s="4">
        <v>2024</v>
      </c>
      <c r="E73" s="4">
        <v>1</v>
      </c>
      <c r="F73" s="4">
        <v>2</v>
      </c>
      <c r="G73" s="1" t="s">
        <v>31</v>
      </c>
      <c r="I73" s="1" t="s">
        <v>59</v>
      </c>
      <c r="J73" s="1" t="s">
        <v>60</v>
      </c>
      <c r="K73" s="3" t="s">
        <v>28</v>
      </c>
      <c r="L73" s="3" t="s">
        <v>6</v>
      </c>
      <c r="M73" s="3" t="s">
        <v>23</v>
      </c>
      <c r="N73" s="3" t="s">
        <v>4</v>
      </c>
      <c r="O73" s="3" t="s">
        <v>5</v>
      </c>
      <c r="P73" s="3" t="s">
        <v>3</v>
      </c>
      <c r="Q73" s="3">
        <v>200</v>
      </c>
      <c r="R73" s="3">
        <v>85</v>
      </c>
      <c r="S73" s="3">
        <v>17000</v>
      </c>
      <c r="T73" s="3">
        <v>1700</v>
      </c>
      <c r="U73" s="3">
        <v>18700</v>
      </c>
    </row>
    <row r="74" spans="1:21" x14ac:dyDescent="0.25">
      <c r="A74" s="1">
        <v>73</v>
      </c>
      <c r="B74" s="2">
        <v>45293</v>
      </c>
      <c r="C74" s="2">
        <v>45293</v>
      </c>
      <c r="D74" s="4">
        <v>2024</v>
      </c>
      <c r="E74" s="4">
        <v>1</v>
      </c>
      <c r="F74" s="4">
        <v>2</v>
      </c>
      <c r="G74" s="1" t="s">
        <v>31</v>
      </c>
      <c r="I74" s="1" t="s">
        <v>65</v>
      </c>
      <c r="J74" s="1" t="s">
        <v>66</v>
      </c>
      <c r="K74" s="3" t="s">
        <v>28</v>
      </c>
      <c r="L74" s="3" t="s">
        <v>6</v>
      </c>
      <c r="M74" s="3" t="s">
        <v>23</v>
      </c>
      <c r="N74" s="3" t="s">
        <v>4</v>
      </c>
      <c r="O74" s="3" t="s">
        <v>5</v>
      </c>
      <c r="P74" s="3" t="s">
        <v>3</v>
      </c>
      <c r="Q74" s="3">
        <v>550</v>
      </c>
      <c r="R74" s="3">
        <v>85</v>
      </c>
      <c r="S74" s="3">
        <v>46750</v>
      </c>
      <c r="T74" s="3">
        <v>4675</v>
      </c>
      <c r="U74" s="3">
        <v>51425.000000000007</v>
      </c>
    </row>
    <row r="75" spans="1:21" x14ac:dyDescent="0.25">
      <c r="A75" s="1">
        <v>74</v>
      </c>
      <c r="B75" s="2">
        <v>45293</v>
      </c>
      <c r="C75" s="2">
        <v>45293</v>
      </c>
      <c r="D75" s="4">
        <v>2024</v>
      </c>
      <c r="E75" s="4">
        <v>1</v>
      </c>
      <c r="F75" s="4">
        <v>2</v>
      </c>
      <c r="G75" s="1" t="s">
        <v>31</v>
      </c>
      <c r="I75" s="1" t="s">
        <v>63</v>
      </c>
      <c r="J75" s="1" t="s">
        <v>64</v>
      </c>
      <c r="K75" s="3" t="s">
        <v>28</v>
      </c>
      <c r="L75" s="3" t="s">
        <v>6</v>
      </c>
      <c r="M75" s="3" t="s">
        <v>23</v>
      </c>
      <c r="N75" s="3" t="s">
        <v>4</v>
      </c>
      <c r="O75" s="3" t="s">
        <v>5</v>
      </c>
      <c r="P75" s="3" t="s">
        <v>3</v>
      </c>
      <c r="Q75" s="3">
        <v>220</v>
      </c>
      <c r="R75" s="3">
        <v>85</v>
      </c>
      <c r="S75" s="3">
        <v>18700</v>
      </c>
      <c r="T75" s="3">
        <v>1870</v>
      </c>
      <c r="U75" s="3">
        <v>20570</v>
      </c>
    </row>
    <row r="76" spans="1:21" x14ac:dyDescent="0.25">
      <c r="A76" s="1">
        <v>75</v>
      </c>
      <c r="B76" s="2">
        <v>45293</v>
      </c>
      <c r="C76" s="2">
        <v>45293</v>
      </c>
      <c r="D76" s="4">
        <v>2024</v>
      </c>
      <c r="E76" s="4">
        <v>1</v>
      </c>
      <c r="F76" s="4">
        <v>2</v>
      </c>
      <c r="G76" s="1" t="s">
        <v>31</v>
      </c>
      <c r="I76" s="1" t="s">
        <v>61</v>
      </c>
      <c r="J76" s="1" t="s">
        <v>62</v>
      </c>
      <c r="K76" s="3" t="s">
        <v>28</v>
      </c>
      <c r="L76" s="3" t="s">
        <v>6</v>
      </c>
      <c r="M76" s="3" t="s">
        <v>23</v>
      </c>
      <c r="N76" s="3" t="s">
        <v>4</v>
      </c>
      <c r="O76" s="3" t="s">
        <v>5</v>
      </c>
      <c r="P76" s="3" t="s">
        <v>3</v>
      </c>
      <c r="Q76" s="3">
        <v>150</v>
      </c>
      <c r="R76" s="3">
        <v>85</v>
      </c>
      <c r="S76" s="3">
        <v>12750</v>
      </c>
      <c r="T76" s="3">
        <v>1275</v>
      </c>
      <c r="U76" s="3">
        <v>14025.000000000002</v>
      </c>
    </row>
    <row r="77" spans="1:21" x14ac:dyDescent="0.25">
      <c r="A77" s="1">
        <v>76</v>
      </c>
      <c r="B77" s="2">
        <v>45293</v>
      </c>
      <c r="C77" s="2">
        <v>45293</v>
      </c>
      <c r="D77" s="4">
        <v>2024</v>
      </c>
      <c r="E77" s="4">
        <v>1</v>
      </c>
      <c r="F77" s="4">
        <v>2</v>
      </c>
      <c r="G77" s="1" t="s">
        <v>31</v>
      </c>
      <c r="I77" s="1" t="s">
        <v>25</v>
      </c>
      <c r="J77" s="1" t="s">
        <v>29</v>
      </c>
      <c r="K77" s="3" t="s">
        <v>28</v>
      </c>
      <c r="L77" s="3" t="s">
        <v>6</v>
      </c>
      <c r="M77" s="3" t="s">
        <v>23</v>
      </c>
      <c r="N77" s="3" t="s">
        <v>4</v>
      </c>
      <c r="O77" s="3" t="s">
        <v>5</v>
      </c>
      <c r="P77" s="3" t="s">
        <v>3</v>
      </c>
      <c r="Q77" s="3">
        <v>540</v>
      </c>
      <c r="R77" s="3">
        <v>85</v>
      </c>
      <c r="S77" s="3">
        <v>45900</v>
      </c>
      <c r="T77" s="3">
        <v>4590</v>
      </c>
      <c r="U77" s="3">
        <v>50490.000000000007</v>
      </c>
    </row>
    <row r="78" spans="1:21" x14ac:dyDescent="0.25">
      <c r="A78" s="1">
        <v>77</v>
      </c>
      <c r="B78" s="2">
        <v>45293</v>
      </c>
      <c r="C78" s="2">
        <v>45293</v>
      </c>
      <c r="D78" s="4">
        <v>2024</v>
      </c>
      <c r="E78" s="4">
        <v>1</v>
      </c>
      <c r="F78" s="4">
        <v>2</v>
      </c>
      <c r="G78" s="1" t="s">
        <v>31</v>
      </c>
      <c r="I78" s="1" t="s">
        <v>100</v>
      </c>
      <c r="J78" s="1" t="s">
        <v>101</v>
      </c>
      <c r="K78" s="3" t="s">
        <v>28</v>
      </c>
      <c r="L78" s="3" t="s">
        <v>6</v>
      </c>
      <c r="M78" s="3" t="s">
        <v>23</v>
      </c>
      <c r="N78" s="3" t="s">
        <v>4</v>
      </c>
      <c r="O78" s="3" t="s">
        <v>5</v>
      </c>
      <c r="P78" s="3" t="s">
        <v>3</v>
      </c>
      <c r="Q78" s="3">
        <v>310</v>
      </c>
      <c r="R78" s="3">
        <v>85</v>
      </c>
      <c r="S78" s="3">
        <v>26350</v>
      </c>
      <c r="T78" s="3">
        <v>2635</v>
      </c>
      <c r="U78" s="3">
        <v>28985.000000000004</v>
      </c>
    </row>
    <row r="79" spans="1:21" x14ac:dyDescent="0.25">
      <c r="A79" s="1">
        <v>78</v>
      </c>
      <c r="B79" s="2">
        <v>45293</v>
      </c>
      <c r="C79" s="2">
        <v>45293</v>
      </c>
      <c r="D79" s="4">
        <v>2024</v>
      </c>
      <c r="E79" s="4">
        <v>1</v>
      </c>
      <c r="F79" s="4">
        <v>2</v>
      </c>
      <c r="G79" s="1" t="s">
        <v>31</v>
      </c>
      <c r="I79" s="1" t="s">
        <v>69</v>
      </c>
      <c r="J79" s="1" t="s">
        <v>70</v>
      </c>
      <c r="K79" s="3" t="s">
        <v>28</v>
      </c>
      <c r="L79" s="3" t="s">
        <v>6</v>
      </c>
      <c r="M79" s="3" t="s">
        <v>23</v>
      </c>
      <c r="N79" s="3" t="s">
        <v>4</v>
      </c>
      <c r="O79" s="3" t="s">
        <v>5</v>
      </c>
      <c r="P79" s="3" t="s">
        <v>3</v>
      </c>
      <c r="Q79" s="3">
        <v>290</v>
      </c>
      <c r="R79" s="3">
        <v>85</v>
      </c>
      <c r="S79" s="3">
        <v>24650</v>
      </c>
      <c r="T79" s="3">
        <v>2465</v>
      </c>
      <c r="U79" s="3">
        <v>27115.000000000004</v>
      </c>
    </row>
    <row r="80" spans="1:21" x14ac:dyDescent="0.25">
      <c r="A80" s="1">
        <v>79</v>
      </c>
      <c r="B80" s="2">
        <v>45293</v>
      </c>
      <c r="C80" s="2">
        <v>45293</v>
      </c>
      <c r="D80" s="4">
        <v>2024</v>
      </c>
      <c r="E80" s="4">
        <v>1</v>
      </c>
      <c r="F80" s="4">
        <v>2</v>
      </c>
      <c r="G80" s="1" t="s">
        <v>31</v>
      </c>
      <c r="I80" s="1" t="s">
        <v>67</v>
      </c>
      <c r="J80" s="1" t="s">
        <v>68</v>
      </c>
      <c r="K80" s="3" t="s">
        <v>28</v>
      </c>
      <c r="L80" s="3" t="s">
        <v>6</v>
      </c>
      <c r="M80" s="3" t="s">
        <v>23</v>
      </c>
      <c r="N80" s="3" t="s">
        <v>4</v>
      </c>
      <c r="O80" s="3" t="s">
        <v>5</v>
      </c>
      <c r="P80" s="3" t="s">
        <v>3</v>
      </c>
      <c r="Q80" s="3">
        <v>150</v>
      </c>
      <c r="R80" s="3">
        <v>85</v>
      </c>
      <c r="S80" s="3">
        <v>12750</v>
      </c>
      <c r="T80" s="3">
        <v>1275</v>
      </c>
      <c r="U80" s="3">
        <v>14025.000000000002</v>
      </c>
    </row>
    <row r="81" spans="1:21" x14ac:dyDescent="0.25">
      <c r="A81" s="1">
        <v>80</v>
      </c>
      <c r="B81" s="2">
        <v>45293</v>
      </c>
      <c r="C81" s="2">
        <v>45293</v>
      </c>
      <c r="D81" s="4">
        <v>2024</v>
      </c>
      <c r="E81" s="4">
        <v>1</v>
      </c>
      <c r="F81" s="4">
        <v>2</v>
      </c>
      <c r="G81" s="1" t="s">
        <v>31</v>
      </c>
      <c r="I81" s="1" t="s">
        <v>56</v>
      </c>
      <c r="J81" s="1" t="s">
        <v>31</v>
      </c>
      <c r="K81" s="3" t="s">
        <v>119</v>
      </c>
      <c r="L81" s="3" t="s">
        <v>6</v>
      </c>
      <c r="M81" s="3" t="s">
        <v>23</v>
      </c>
      <c r="N81" s="3" t="s">
        <v>4</v>
      </c>
      <c r="O81" s="3" t="s">
        <v>2</v>
      </c>
      <c r="P81" s="3" t="s">
        <v>3</v>
      </c>
      <c r="Q81" s="3">
        <v>3800</v>
      </c>
      <c r="R81" s="3">
        <v>85</v>
      </c>
      <c r="S81" s="3">
        <v>323000</v>
      </c>
      <c r="T81" s="3">
        <v>32300</v>
      </c>
      <c r="U81" s="3">
        <v>355300</v>
      </c>
    </row>
    <row r="82" spans="1:21" x14ac:dyDescent="0.25">
      <c r="A82" s="1">
        <v>81</v>
      </c>
      <c r="B82" s="2">
        <v>45293</v>
      </c>
      <c r="C82" s="2">
        <v>45293</v>
      </c>
      <c r="D82" s="4">
        <v>2024</v>
      </c>
      <c r="E82" s="4">
        <v>1</v>
      </c>
      <c r="F82" s="4">
        <v>2</v>
      </c>
      <c r="G82" s="1" t="s">
        <v>31</v>
      </c>
      <c r="I82" s="1" t="s">
        <v>69</v>
      </c>
      <c r="J82" s="1" t="s">
        <v>70</v>
      </c>
      <c r="K82" s="3" t="s">
        <v>28</v>
      </c>
      <c r="L82" s="3" t="s">
        <v>6</v>
      </c>
      <c r="M82" s="3" t="s">
        <v>23</v>
      </c>
      <c r="N82" s="3" t="s">
        <v>4</v>
      </c>
      <c r="O82" s="3" t="s">
        <v>5</v>
      </c>
      <c r="P82" s="3" t="s">
        <v>3</v>
      </c>
      <c r="Q82" s="3">
        <v>110</v>
      </c>
      <c r="R82" s="3">
        <v>85</v>
      </c>
      <c r="S82" s="3">
        <v>9350</v>
      </c>
      <c r="T82" s="3">
        <v>935</v>
      </c>
      <c r="U82" s="3">
        <v>10285</v>
      </c>
    </row>
    <row r="83" spans="1:21" x14ac:dyDescent="0.25">
      <c r="A83" s="1">
        <v>82</v>
      </c>
      <c r="B83" s="2">
        <v>45293</v>
      </c>
      <c r="C83" s="2">
        <v>45293</v>
      </c>
      <c r="D83" s="4">
        <v>2024</v>
      </c>
      <c r="E83" s="4">
        <v>1</v>
      </c>
      <c r="F83" s="4">
        <v>2</v>
      </c>
      <c r="G83" s="1" t="s">
        <v>31</v>
      </c>
      <c r="I83" s="1" t="s">
        <v>61</v>
      </c>
      <c r="J83" s="1" t="s">
        <v>62</v>
      </c>
      <c r="K83" s="3" t="s">
        <v>28</v>
      </c>
      <c r="L83" s="3" t="s">
        <v>6</v>
      </c>
      <c r="M83" s="3" t="s">
        <v>23</v>
      </c>
      <c r="N83" s="3" t="s">
        <v>4</v>
      </c>
      <c r="O83" s="3" t="s">
        <v>5</v>
      </c>
      <c r="P83" s="3" t="s">
        <v>3</v>
      </c>
      <c r="Q83" s="3">
        <v>130</v>
      </c>
      <c r="R83" s="3">
        <v>85</v>
      </c>
      <c r="S83" s="3">
        <v>11050</v>
      </c>
      <c r="T83" s="3">
        <v>1105</v>
      </c>
      <c r="U83" s="3">
        <v>12155.000000000002</v>
      </c>
    </row>
    <row r="84" spans="1:21" x14ac:dyDescent="0.25">
      <c r="A84" s="1">
        <v>83</v>
      </c>
      <c r="B84" s="2">
        <v>45293</v>
      </c>
      <c r="C84" s="2">
        <v>45293</v>
      </c>
      <c r="D84" s="4">
        <v>2024</v>
      </c>
      <c r="E84" s="4">
        <v>1</v>
      </c>
      <c r="F84" s="4">
        <v>2</v>
      </c>
      <c r="G84" s="1" t="s">
        <v>31</v>
      </c>
      <c r="I84" s="1" t="s">
        <v>57</v>
      </c>
      <c r="J84" s="1" t="s">
        <v>58</v>
      </c>
      <c r="K84" s="3" t="s">
        <v>28</v>
      </c>
      <c r="L84" s="3" t="s">
        <v>6</v>
      </c>
      <c r="M84" s="3" t="s">
        <v>23</v>
      </c>
      <c r="N84" s="3" t="s">
        <v>4</v>
      </c>
      <c r="O84" s="3" t="s">
        <v>5</v>
      </c>
      <c r="P84" s="3" t="s">
        <v>3</v>
      </c>
      <c r="Q84" s="3">
        <v>200</v>
      </c>
      <c r="R84" s="3">
        <v>85</v>
      </c>
      <c r="S84" s="3">
        <v>17000</v>
      </c>
      <c r="T84" s="3">
        <v>1700</v>
      </c>
      <c r="U84" s="3">
        <v>18700</v>
      </c>
    </row>
    <row r="85" spans="1:21" x14ac:dyDescent="0.25">
      <c r="A85" s="1">
        <v>84</v>
      </c>
      <c r="B85" s="2">
        <v>45293</v>
      </c>
      <c r="C85" s="2">
        <v>45293</v>
      </c>
      <c r="D85" s="4">
        <v>2024</v>
      </c>
      <c r="E85" s="4">
        <v>1</v>
      </c>
      <c r="F85" s="4">
        <v>2</v>
      </c>
      <c r="G85" s="1" t="s">
        <v>31</v>
      </c>
      <c r="I85" s="1" t="s">
        <v>25</v>
      </c>
      <c r="J85" s="1" t="s">
        <v>29</v>
      </c>
      <c r="K85" s="3" t="s">
        <v>28</v>
      </c>
      <c r="L85" s="3" t="s">
        <v>6</v>
      </c>
      <c r="M85" s="3" t="s">
        <v>23</v>
      </c>
      <c r="N85" s="3" t="s">
        <v>4</v>
      </c>
      <c r="O85" s="3" t="s">
        <v>5</v>
      </c>
      <c r="P85" s="3" t="s">
        <v>3</v>
      </c>
      <c r="Q85" s="3">
        <v>140</v>
      </c>
      <c r="R85" s="3">
        <v>85</v>
      </c>
      <c r="S85" s="3">
        <v>11900</v>
      </c>
      <c r="T85" s="3">
        <v>1190</v>
      </c>
      <c r="U85" s="3">
        <v>13090.000000000002</v>
      </c>
    </row>
    <row r="86" spans="1:21" x14ac:dyDescent="0.25">
      <c r="A86" s="1">
        <v>85</v>
      </c>
      <c r="B86" s="2">
        <v>45293</v>
      </c>
      <c r="C86" s="2">
        <v>45293</v>
      </c>
      <c r="D86" s="4">
        <v>2024</v>
      </c>
      <c r="E86" s="4">
        <v>1</v>
      </c>
      <c r="F86" s="4">
        <v>2</v>
      </c>
      <c r="G86" s="1" t="s">
        <v>31</v>
      </c>
      <c r="I86" s="1" t="s">
        <v>100</v>
      </c>
      <c r="J86" s="1" t="s">
        <v>101</v>
      </c>
      <c r="K86" s="3" t="s">
        <v>28</v>
      </c>
      <c r="L86" s="3" t="s">
        <v>6</v>
      </c>
      <c r="M86" s="3" t="s">
        <v>23</v>
      </c>
      <c r="N86" s="3" t="s">
        <v>4</v>
      </c>
      <c r="O86" s="3" t="s">
        <v>5</v>
      </c>
      <c r="P86" s="3" t="s">
        <v>3</v>
      </c>
      <c r="Q86" s="3">
        <v>180</v>
      </c>
      <c r="R86" s="3">
        <v>85</v>
      </c>
      <c r="S86" s="3">
        <v>15300</v>
      </c>
      <c r="T86" s="3">
        <v>1530</v>
      </c>
      <c r="U86" s="3">
        <v>16830</v>
      </c>
    </row>
    <row r="87" spans="1:21" x14ac:dyDescent="0.25">
      <c r="A87" s="1">
        <v>86</v>
      </c>
      <c r="B87" s="2">
        <v>45293</v>
      </c>
      <c r="C87" s="2">
        <v>45293</v>
      </c>
      <c r="D87" s="4">
        <v>2024</v>
      </c>
      <c r="E87" s="4">
        <v>1</v>
      </c>
      <c r="F87" s="4">
        <v>2</v>
      </c>
      <c r="G87" s="1" t="s">
        <v>31</v>
      </c>
      <c r="I87" s="1" t="s">
        <v>55</v>
      </c>
      <c r="J87" s="1" t="s">
        <v>31</v>
      </c>
      <c r="K87" s="3" t="s">
        <v>119</v>
      </c>
      <c r="L87" s="3" t="s">
        <v>6</v>
      </c>
      <c r="M87" s="3" t="s">
        <v>23</v>
      </c>
      <c r="N87" s="3" t="s">
        <v>4</v>
      </c>
      <c r="O87" s="3" t="s">
        <v>2</v>
      </c>
      <c r="P87" s="3" t="s">
        <v>3</v>
      </c>
      <c r="Q87" s="3">
        <v>4130</v>
      </c>
      <c r="R87" s="3">
        <v>85</v>
      </c>
      <c r="S87" s="3">
        <v>351050</v>
      </c>
      <c r="T87" s="3">
        <v>35105</v>
      </c>
      <c r="U87" s="3">
        <v>386155.00000000006</v>
      </c>
    </row>
    <row r="88" spans="1:21" x14ac:dyDescent="0.25">
      <c r="A88" s="1">
        <v>87</v>
      </c>
      <c r="B88" s="2">
        <v>45293</v>
      </c>
      <c r="C88" s="2">
        <v>45293</v>
      </c>
      <c r="D88" s="4">
        <v>2024</v>
      </c>
      <c r="E88" s="4">
        <v>1</v>
      </c>
      <c r="F88" s="4">
        <v>2</v>
      </c>
      <c r="G88" s="1" t="s">
        <v>31</v>
      </c>
      <c r="I88" s="1" t="s">
        <v>69</v>
      </c>
      <c r="J88" s="1" t="s">
        <v>70</v>
      </c>
      <c r="K88" s="3" t="s">
        <v>28</v>
      </c>
      <c r="L88" s="3" t="s">
        <v>6</v>
      </c>
      <c r="M88" s="3" t="s">
        <v>23</v>
      </c>
      <c r="N88" s="3" t="s">
        <v>4</v>
      </c>
      <c r="O88" s="3" t="s">
        <v>5</v>
      </c>
      <c r="P88" s="3" t="s">
        <v>3</v>
      </c>
      <c r="Q88" s="3">
        <v>180</v>
      </c>
      <c r="R88" s="3">
        <v>85</v>
      </c>
      <c r="S88" s="3">
        <v>15300</v>
      </c>
      <c r="T88" s="3">
        <v>1530</v>
      </c>
      <c r="U88" s="3">
        <v>16830</v>
      </c>
    </row>
    <row r="89" spans="1:21" x14ac:dyDescent="0.25">
      <c r="A89" s="1">
        <v>88</v>
      </c>
      <c r="B89" s="2">
        <v>45293</v>
      </c>
      <c r="C89" s="2">
        <v>45293</v>
      </c>
      <c r="D89" s="4">
        <v>2024</v>
      </c>
      <c r="E89" s="4">
        <v>1</v>
      </c>
      <c r="F89" s="4">
        <v>2</v>
      </c>
      <c r="G89" s="1" t="s">
        <v>31</v>
      </c>
      <c r="I89" s="1" t="s">
        <v>61</v>
      </c>
      <c r="J89" s="1" t="s">
        <v>62</v>
      </c>
      <c r="K89" s="3" t="s">
        <v>28</v>
      </c>
      <c r="L89" s="3" t="s">
        <v>6</v>
      </c>
      <c r="M89" s="3" t="s">
        <v>23</v>
      </c>
      <c r="N89" s="3" t="s">
        <v>4</v>
      </c>
      <c r="O89" s="3" t="s">
        <v>5</v>
      </c>
      <c r="P89" s="3" t="s">
        <v>3</v>
      </c>
      <c r="Q89" s="3">
        <v>220</v>
      </c>
      <c r="R89" s="3">
        <v>85</v>
      </c>
      <c r="S89" s="3">
        <v>18700</v>
      </c>
      <c r="T89" s="3">
        <v>1870</v>
      </c>
      <c r="U89" s="3">
        <v>20570</v>
      </c>
    </row>
    <row r="90" spans="1:21" x14ac:dyDescent="0.25">
      <c r="A90" s="1">
        <v>89</v>
      </c>
      <c r="B90" s="2">
        <v>45293</v>
      </c>
      <c r="C90" s="2">
        <v>45293</v>
      </c>
      <c r="D90" s="4">
        <v>2024</v>
      </c>
      <c r="E90" s="4">
        <v>1</v>
      </c>
      <c r="F90" s="4">
        <v>2</v>
      </c>
      <c r="G90" s="1" t="s">
        <v>31</v>
      </c>
      <c r="I90" s="1" t="s">
        <v>67</v>
      </c>
      <c r="J90" s="1" t="s">
        <v>68</v>
      </c>
      <c r="K90" s="3" t="s">
        <v>28</v>
      </c>
      <c r="L90" s="3" t="s">
        <v>6</v>
      </c>
      <c r="M90" s="3" t="s">
        <v>23</v>
      </c>
      <c r="N90" s="3" t="s">
        <v>4</v>
      </c>
      <c r="O90" s="3" t="s">
        <v>5</v>
      </c>
      <c r="P90" s="3" t="s">
        <v>3</v>
      </c>
      <c r="Q90" s="3">
        <v>380</v>
      </c>
      <c r="R90" s="3">
        <v>85</v>
      </c>
      <c r="S90" s="3">
        <v>32300</v>
      </c>
      <c r="T90" s="3">
        <v>3230</v>
      </c>
      <c r="U90" s="3">
        <v>35530</v>
      </c>
    </row>
    <row r="91" spans="1:21" x14ac:dyDescent="0.25">
      <c r="A91" s="1">
        <v>90</v>
      </c>
      <c r="B91" s="2">
        <v>45293</v>
      </c>
      <c r="C91" s="2">
        <v>45293</v>
      </c>
      <c r="D91" s="4">
        <v>2024</v>
      </c>
      <c r="E91" s="4">
        <v>1</v>
      </c>
      <c r="F91" s="4">
        <v>2</v>
      </c>
      <c r="G91" s="1" t="s">
        <v>31</v>
      </c>
      <c r="I91" s="1" t="s">
        <v>67</v>
      </c>
      <c r="J91" s="1" t="s">
        <v>68</v>
      </c>
      <c r="K91" s="3" t="s">
        <v>28</v>
      </c>
      <c r="L91" s="3" t="s">
        <v>6</v>
      </c>
      <c r="M91" s="3" t="s">
        <v>23</v>
      </c>
      <c r="N91" s="3" t="s">
        <v>4</v>
      </c>
      <c r="O91" s="3" t="s">
        <v>5</v>
      </c>
      <c r="P91" s="3" t="s">
        <v>3</v>
      </c>
      <c r="Q91" s="3">
        <v>60</v>
      </c>
      <c r="R91" s="3">
        <v>85</v>
      </c>
      <c r="S91" s="3">
        <v>5100</v>
      </c>
      <c r="T91" s="3">
        <v>510</v>
      </c>
      <c r="U91" s="3">
        <v>5610</v>
      </c>
    </row>
    <row r="92" spans="1:21" x14ac:dyDescent="0.25">
      <c r="A92" s="1">
        <v>91</v>
      </c>
      <c r="B92" s="2">
        <v>45293</v>
      </c>
      <c r="C92" s="2">
        <v>45293</v>
      </c>
      <c r="D92" s="4">
        <v>2024</v>
      </c>
      <c r="E92" s="4">
        <v>1</v>
      </c>
      <c r="F92" s="4">
        <v>2</v>
      </c>
      <c r="G92" s="1" t="s">
        <v>31</v>
      </c>
      <c r="H92" s="1" t="s">
        <v>52</v>
      </c>
      <c r="I92" s="1" t="s">
        <v>53</v>
      </c>
      <c r="J92" s="1" t="s">
        <v>54</v>
      </c>
      <c r="K92" s="3" t="s">
        <v>28</v>
      </c>
      <c r="L92" s="3" t="s">
        <v>6</v>
      </c>
      <c r="M92" s="3" t="s">
        <v>23</v>
      </c>
      <c r="N92" s="3" t="s">
        <v>4</v>
      </c>
      <c r="O92" s="3" t="s">
        <v>5</v>
      </c>
      <c r="P92" s="3" t="s">
        <v>3</v>
      </c>
      <c r="Q92" s="3">
        <v>530</v>
      </c>
      <c r="R92" s="3">
        <v>85</v>
      </c>
      <c r="S92" s="3">
        <v>45050</v>
      </c>
      <c r="T92" s="3">
        <v>4505</v>
      </c>
      <c r="U92" s="3">
        <v>49555.000000000007</v>
      </c>
    </row>
    <row r="93" spans="1:21" x14ac:dyDescent="0.25">
      <c r="A93" s="1">
        <v>92</v>
      </c>
      <c r="B93" s="2">
        <v>45293</v>
      </c>
      <c r="C93" s="2">
        <v>45293</v>
      </c>
      <c r="D93" s="4">
        <v>2024</v>
      </c>
      <c r="E93" s="4">
        <v>1</v>
      </c>
      <c r="F93" s="4">
        <v>2</v>
      </c>
      <c r="G93" s="1" t="s">
        <v>31</v>
      </c>
      <c r="H93" s="1" t="s">
        <v>52</v>
      </c>
      <c r="I93" s="1" t="s">
        <v>53</v>
      </c>
      <c r="J93" s="1" t="s">
        <v>54</v>
      </c>
      <c r="K93" s="3" t="s">
        <v>28</v>
      </c>
      <c r="L93" s="3" t="s">
        <v>6</v>
      </c>
      <c r="M93" s="3" t="s">
        <v>23</v>
      </c>
      <c r="N93" s="3" t="s">
        <v>4</v>
      </c>
      <c r="O93" s="3" t="s">
        <v>5</v>
      </c>
      <c r="P93" s="3" t="s">
        <v>3</v>
      </c>
      <c r="Q93" s="3">
        <v>250</v>
      </c>
      <c r="R93" s="3">
        <v>85</v>
      </c>
      <c r="S93" s="3">
        <v>21250</v>
      </c>
      <c r="T93" s="3">
        <v>2125</v>
      </c>
      <c r="U93" s="3">
        <v>23375.000000000004</v>
      </c>
    </row>
    <row r="94" spans="1:21" x14ac:dyDescent="0.25">
      <c r="A94" s="1">
        <v>93</v>
      </c>
      <c r="B94" s="2">
        <v>45293</v>
      </c>
      <c r="C94" s="2">
        <v>45293</v>
      </c>
      <c r="D94" s="4">
        <v>2024</v>
      </c>
      <c r="E94" s="4">
        <v>1</v>
      </c>
      <c r="F94" s="4">
        <v>2</v>
      </c>
      <c r="G94" s="1" t="s">
        <v>31</v>
      </c>
      <c r="H94" s="1" t="s">
        <v>52</v>
      </c>
      <c r="I94" s="1" t="s">
        <v>53</v>
      </c>
      <c r="J94" s="1" t="s">
        <v>54</v>
      </c>
      <c r="K94" s="3" t="s">
        <v>28</v>
      </c>
      <c r="L94" s="3" t="s">
        <v>6</v>
      </c>
      <c r="M94" s="3" t="s">
        <v>23</v>
      </c>
      <c r="N94" s="3" t="s">
        <v>4</v>
      </c>
      <c r="O94" s="3" t="s">
        <v>5</v>
      </c>
      <c r="P94" s="3" t="s">
        <v>3</v>
      </c>
      <c r="Q94" s="3">
        <v>100</v>
      </c>
      <c r="R94" s="3">
        <v>85</v>
      </c>
      <c r="S94" s="3">
        <v>8500</v>
      </c>
      <c r="T94" s="3">
        <v>850</v>
      </c>
      <c r="U94" s="3">
        <v>9350</v>
      </c>
    </row>
    <row r="95" spans="1:21" x14ac:dyDescent="0.25">
      <c r="A95" s="1">
        <v>94</v>
      </c>
      <c r="B95" s="2">
        <v>45293</v>
      </c>
      <c r="C95" s="2">
        <v>45293</v>
      </c>
      <c r="D95" s="4">
        <v>2024</v>
      </c>
      <c r="E95" s="4">
        <v>1</v>
      </c>
      <c r="F95" s="4">
        <v>2</v>
      </c>
      <c r="G95" s="1" t="s">
        <v>31</v>
      </c>
      <c r="H95" s="1" t="s">
        <v>52</v>
      </c>
      <c r="I95" s="1" t="s">
        <v>53</v>
      </c>
      <c r="J95" s="1" t="s">
        <v>54</v>
      </c>
      <c r="K95" s="3" t="s">
        <v>28</v>
      </c>
      <c r="L95" s="3" t="s">
        <v>6</v>
      </c>
      <c r="M95" s="3" t="s">
        <v>23</v>
      </c>
      <c r="N95" s="3" t="s">
        <v>4</v>
      </c>
      <c r="O95" s="3" t="s">
        <v>5</v>
      </c>
      <c r="P95" s="3" t="s">
        <v>3</v>
      </c>
      <c r="Q95" s="3">
        <v>270</v>
      </c>
      <c r="R95" s="3">
        <v>85</v>
      </c>
      <c r="S95" s="3">
        <v>22950</v>
      </c>
      <c r="T95" s="3">
        <v>2295</v>
      </c>
      <c r="U95" s="3">
        <v>25245.000000000004</v>
      </c>
    </row>
    <row r="96" spans="1:21" x14ac:dyDescent="0.25">
      <c r="A96" s="1">
        <v>95</v>
      </c>
      <c r="B96" s="2">
        <v>45293</v>
      </c>
      <c r="C96" s="2">
        <v>45293</v>
      </c>
      <c r="D96" s="4">
        <v>2024</v>
      </c>
      <c r="E96" s="4">
        <v>1</v>
      </c>
      <c r="F96" s="4">
        <v>2</v>
      </c>
      <c r="G96" s="1" t="s">
        <v>30</v>
      </c>
      <c r="I96" s="1" t="s">
        <v>86</v>
      </c>
      <c r="J96" s="1" t="s">
        <v>87</v>
      </c>
      <c r="K96" s="3" t="s">
        <v>28</v>
      </c>
      <c r="L96" s="3" t="s">
        <v>6</v>
      </c>
      <c r="M96" s="3" t="s">
        <v>23</v>
      </c>
      <c r="N96" s="3" t="s">
        <v>4</v>
      </c>
      <c r="O96" s="3" t="s">
        <v>5</v>
      </c>
      <c r="P96" s="3" t="s">
        <v>3</v>
      </c>
      <c r="Q96" s="3">
        <v>220</v>
      </c>
      <c r="R96" s="3">
        <v>95</v>
      </c>
      <c r="S96" s="3">
        <v>20900</v>
      </c>
      <c r="T96" s="3">
        <v>2090</v>
      </c>
      <c r="U96" s="3">
        <v>22990.000000000004</v>
      </c>
    </row>
    <row r="97" spans="1:21" x14ac:dyDescent="0.25">
      <c r="A97" s="1">
        <v>96</v>
      </c>
      <c r="B97" s="2">
        <v>45293</v>
      </c>
      <c r="C97" s="2">
        <v>45293</v>
      </c>
      <c r="D97" s="4">
        <v>2024</v>
      </c>
      <c r="E97" s="4">
        <v>1</v>
      </c>
      <c r="F97" s="4">
        <v>2</v>
      </c>
      <c r="G97" s="1" t="s">
        <v>30</v>
      </c>
      <c r="I97" s="1" t="s">
        <v>107</v>
      </c>
      <c r="J97" s="1" t="s">
        <v>108</v>
      </c>
      <c r="K97" s="3" t="s">
        <v>28</v>
      </c>
      <c r="L97" s="3" t="s">
        <v>6</v>
      </c>
      <c r="M97" s="3" t="s">
        <v>23</v>
      </c>
      <c r="N97" s="3" t="s">
        <v>4</v>
      </c>
      <c r="O97" s="3" t="s">
        <v>5</v>
      </c>
      <c r="P97" s="3" t="s">
        <v>3</v>
      </c>
      <c r="Q97" s="3">
        <v>150</v>
      </c>
      <c r="R97" s="3">
        <v>95</v>
      </c>
      <c r="S97" s="3">
        <v>14250</v>
      </c>
      <c r="T97" s="3">
        <v>1425</v>
      </c>
      <c r="U97" s="3">
        <v>15675.000000000002</v>
      </c>
    </row>
    <row r="98" spans="1:21" x14ac:dyDescent="0.25">
      <c r="A98" s="1">
        <v>97</v>
      </c>
      <c r="B98" s="2">
        <v>45293</v>
      </c>
      <c r="C98" s="2">
        <v>45293</v>
      </c>
      <c r="D98" s="4">
        <v>2024</v>
      </c>
      <c r="E98" s="4">
        <v>1</v>
      </c>
      <c r="F98" s="4">
        <v>2</v>
      </c>
      <c r="G98" s="1" t="s">
        <v>30</v>
      </c>
      <c r="I98" s="1" t="s">
        <v>86</v>
      </c>
      <c r="J98" s="1" t="s">
        <v>87</v>
      </c>
      <c r="K98" s="3" t="s">
        <v>28</v>
      </c>
      <c r="L98" s="3" t="s">
        <v>6</v>
      </c>
      <c r="M98" s="3" t="s">
        <v>23</v>
      </c>
      <c r="N98" s="3" t="s">
        <v>4</v>
      </c>
      <c r="O98" s="3" t="s">
        <v>5</v>
      </c>
      <c r="P98" s="3" t="s">
        <v>3</v>
      </c>
      <c r="Q98" s="3">
        <v>220</v>
      </c>
      <c r="R98" s="3">
        <v>95</v>
      </c>
      <c r="S98" s="3">
        <v>20900</v>
      </c>
      <c r="T98" s="3">
        <v>2090</v>
      </c>
      <c r="U98" s="3">
        <v>22990.000000000004</v>
      </c>
    </row>
    <row r="99" spans="1:21" x14ac:dyDescent="0.25">
      <c r="A99" s="1">
        <v>98</v>
      </c>
      <c r="B99" s="2">
        <v>45293</v>
      </c>
      <c r="C99" s="2">
        <v>45293</v>
      </c>
      <c r="D99" s="4">
        <v>2024</v>
      </c>
      <c r="E99" s="4">
        <v>1</v>
      </c>
      <c r="F99" s="4">
        <v>2</v>
      </c>
      <c r="G99" s="1" t="s">
        <v>30</v>
      </c>
      <c r="I99" s="1" t="s">
        <v>92</v>
      </c>
      <c r="J99" s="1" t="s">
        <v>93</v>
      </c>
      <c r="K99" s="3" t="s">
        <v>28</v>
      </c>
      <c r="L99" s="3" t="s">
        <v>6</v>
      </c>
      <c r="M99" s="3" t="s">
        <v>23</v>
      </c>
      <c r="N99" s="3" t="s">
        <v>4</v>
      </c>
      <c r="O99" s="3" t="s">
        <v>5</v>
      </c>
      <c r="P99" s="3" t="s">
        <v>3</v>
      </c>
      <c r="Q99" s="3">
        <v>210</v>
      </c>
      <c r="R99" s="3">
        <v>95</v>
      </c>
      <c r="S99" s="3">
        <v>19950</v>
      </c>
      <c r="T99" s="3">
        <v>1995</v>
      </c>
      <c r="U99" s="3">
        <v>21945</v>
      </c>
    </row>
    <row r="100" spans="1:21" x14ac:dyDescent="0.25">
      <c r="A100" s="1">
        <v>99</v>
      </c>
      <c r="B100" s="2">
        <v>45293</v>
      </c>
      <c r="C100" s="2">
        <v>45293</v>
      </c>
      <c r="D100" s="4">
        <v>2024</v>
      </c>
      <c r="E100" s="4">
        <v>1</v>
      </c>
      <c r="F100" s="4">
        <v>2</v>
      </c>
      <c r="G100" s="1" t="s">
        <v>30</v>
      </c>
      <c r="I100" s="1" t="s">
        <v>98</v>
      </c>
      <c r="J100" s="1" t="s">
        <v>99</v>
      </c>
      <c r="K100" s="3" t="s">
        <v>28</v>
      </c>
      <c r="L100" s="3" t="s">
        <v>6</v>
      </c>
      <c r="M100" s="3" t="s">
        <v>23</v>
      </c>
      <c r="N100" s="3" t="s">
        <v>4</v>
      </c>
      <c r="O100" s="3" t="s">
        <v>5</v>
      </c>
      <c r="P100" s="3" t="s">
        <v>3</v>
      </c>
      <c r="Q100" s="3">
        <v>160</v>
      </c>
      <c r="R100" s="3">
        <v>95</v>
      </c>
      <c r="S100" s="3">
        <v>15200</v>
      </c>
      <c r="T100" s="3">
        <v>1520</v>
      </c>
      <c r="U100" s="3">
        <v>16720</v>
      </c>
    </row>
    <row r="101" spans="1:21" x14ac:dyDescent="0.25">
      <c r="A101" s="1">
        <v>100</v>
      </c>
      <c r="B101" s="2">
        <v>45293</v>
      </c>
      <c r="C101" s="2">
        <v>45293</v>
      </c>
      <c r="D101" s="4">
        <v>2024</v>
      </c>
      <c r="E101" s="4">
        <v>1</v>
      </c>
      <c r="F101" s="4">
        <v>2</v>
      </c>
      <c r="G101" s="1" t="s">
        <v>30</v>
      </c>
      <c r="I101" s="1" t="s">
        <v>88</v>
      </c>
      <c r="J101" s="1" t="s">
        <v>89</v>
      </c>
      <c r="K101" s="3" t="s">
        <v>28</v>
      </c>
      <c r="L101" s="3" t="s">
        <v>6</v>
      </c>
      <c r="M101" s="3" t="s">
        <v>23</v>
      </c>
      <c r="N101" s="3" t="s">
        <v>4</v>
      </c>
      <c r="O101" s="3" t="s">
        <v>5</v>
      </c>
      <c r="P101" s="3" t="s">
        <v>3</v>
      </c>
      <c r="Q101" s="3">
        <v>190</v>
      </c>
      <c r="R101" s="3">
        <v>95</v>
      </c>
      <c r="S101" s="3">
        <v>18050</v>
      </c>
      <c r="T101" s="3">
        <v>1805</v>
      </c>
      <c r="U101" s="3">
        <v>19855</v>
      </c>
    </row>
    <row r="102" spans="1:21" x14ac:dyDescent="0.25">
      <c r="A102" s="1">
        <v>101</v>
      </c>
      <c r="B102" s="2">
        <v>45293</v>
      </c>
      <c r="C102" s="2">
        <v>45293</v>
      </c>
      <c r="D102" s="4">
        <v>2024</v>
      </c>
      <c r="E102" s="4">
        <v>1</v>
      </c>
      <c r="F102" s="4">
        <v>2</v>
      </c>
      <c r="G102" s="1" t="s">
        <v>30</v>
      </c>
      <c r="I102" s="1" t="s">
        <v>98</v>
      </c>
      <c r="J102" s="1" t="s">
        <v>99</v>
      </c>
      <c r="K102" s="3" t="s">
        <v>28</v>
      </c>
      <c r="L102" s="3" t="s">
        <v>6</v>
      </c>
      <c r="M102" s="3" t="s">
        <v>23</v>
      </c>
      <c r="N102" s="3" t="s">
        <v>4</v>
      </c>
      <c r="O102" s="3" t="s">
        <v>5</v>
      </c>
      <c r="P102" s="3" t="s">
        <v>3</v>
      </c>
      <c r="Q102" s="3">
        <v>110</v>
      </c>
      <c r="R102" s="3">
        <v>95</v>
      </c>
      <c r="S102" s="3">
        <v>10450</v>
      </c>
      <c r="T102" s="3">
        <v>1045</v>
      </c>
      <c r="U102" s="3">
        <v>11495.000000000002</v>
      </c>
    </row>
    <row r="103" spans="1:21" x14ac:dyDescent="0.25">
      <c r="A103" s="1">
        <v>102</v>
      </c>
      <c r="B103" s="2">
        <v>45293</v>
      </c>
      <c r="C103" s="2">
        <v>45293</v>
      </c>
      <c r="D103" s="4">
        <v>2024</v>
      </c>
      <c r="E103" s="4">
        <v>1</v>
      </c>
      <c r="F103" s="4">
        <v>2</v>
      </c>
      <c r="G103" s="1" t="s">
        <v>30</v>
      </c>
      <c r="I103" s="1" t="s">
        <v>94</v>
      </c>
      <c r="J103" s="1" t="s">
        <v>95</v>
      </c>
      <c r="K103" s="3" t="s">
        <v>28</v>
      </c>
      <c r="L103" s="3" t="s">
        <v>6</v>
      </c>
      <c r="M103" s="3" t="s">
        <v>23</v>
      </c>
      <c r="N103" s="3" t="s">
        <v>4</v>
      </c>
      <c r="O103" s="3" t="s">
        <v>5</v>
      </c>
      <c r="P103" s="3" t="s">
        <v>3</v>
      </c>
      <c r="Q103" s="3">
        <v>220</v>
      </c>
      <c r="R103" s="3">
        <v>95</v>
      </c>
      <c r="S103" s="3">
        <v>20900</v>
      </c>
      <c r="T103" s="3">
        <v>2090</v>
      </c>
      <c r="U103" s="3">
        <v>22990.000000000004</v>
      </c>
    </row>
    <row r="104" spans="1:21" x14ac:dyDescent="0.25">
      <c r="A104" s="1">
        <v>103</v>
      </c>
      <c r="B104" s="2">
        <v>45293</v>
      </c>
      <c r="C104" s="2">
        <v>45293</v>
      </c>
      <c r="D104" s="4">
        <v>2024</v>
      </c>
      <c r="E104" s="4">
        <v>1</v>
      </c>
      <c r="F104" s="4">
        <v>2</v>
      </c>
      <c r="G104" s="1" t="s">
        <v>30</v>
      </c>
      <c r="I104" s="1" t="s">
        <v>86</v>
      </c>
      <c r="J104" s="1" t="s">
        <v>87</v>
      </c>
      <c r="K104" s="3" t="s">
        <v>28</v>
      </c>
      <c r="L104" s="3" t="s">
        <v>6</v>
      </c>
      <c r="M104" s="3" t="s">
        <v>23</v>
      </c>
      <c r="N104" s="3" t="s">
        <v>4</v>
      </c>
      <c r="O104" s="3" t="s">
        <v>5</v>
      </c>
      <c r="P104" s="3" t="s">
        <v>3</v>
      </c>
      <c r="Q104" s="3">
        <v>240</v>
      </c>
      <c r="R104" s="3">
        <v>95</v>
      </c>
      <c r="S104" s="3">
        <v>22800</v>
      </c>
      <c r="T104" s="3">
        <v>2280</v>
      </c>
      <c r="U104" s="3">
        <v>25080.000000000004</v>
      </c>
    </row>
    <row r="105" spans="1:21" x14ac:dyDescent="0.25">
      <c r="A105" s="1">
        <v>104</v>
      </c>
      <c r="B105" s="2">
        <v>45293</v>
      </c>
      <c r="C105" s="2">
        <v>45293</v>
      </c>
      <c r="D105" s="4">
        <v>2024</v>
      </c>
      <c r="E105" s="4">
        <v>1</v>
      </c>
      <c r="F105" s="4">
        <v>2</v>
      </c>
      <c r="G105" s="1" t="s">
        <v>30</v>
      </c>
      <c r="I105" s="1" t="s">
        <v>92</v>
      </c>
      <c r="J105" s="1" t="s">
        <v>93</v>
      </c>
      <c r="K105" s="3" t="s">
        <v>28</v>
      </c>
      <c r="L105" s="3" t="s">
        <v>6</v>
      </c>
      <c r="M105" s="3" t="s">
        <v>23</v>
      </c>
      <c r="N105" s="3" t="s">
        <v>4</v>
      </c>
      <c r="O105" s="3" t="s">
        <v>5</v>
      </c>
      <c r="P105" s="3" t="s">
        <v>3</v>
      </c>
      <c r="Q105" s="3">
        <v>220</v>
      </c>
      <c r="R105" s="3">
        <v>95</v>
      </c>
      <c r="S105" s="3">
        <v>20900</v>
      </c>
      <c r="T105" s="3">
        <v>2090</v>
      </c>
      <c r="U105" s="3">
        <v>22990.000000000004</v>
      </c>
    </row>
    <row r="106" spans="1:21" x14ac:dyDescent="0.25">
      <c r="A106" s="1">
        <v>105</v>
      </c>
      <c r="B106" s="2">
        <v>45293</v>
      </c>
      <c r="C106" s="2">
        <v>45293</v>
      </c>
      <c r="D106" s="4">
        <v>2024</v>
      </c>
      <c r="E106" s="4">
        <v>1</v>
      </c>
      <c r="F106" s="4">
        <v>2</v>
      </c>
      <c r="G106" s="1" t="s">
        <v>30</v>
      </c>
      <c r="I106" s="1" t="s">
        <v>88</v>
      </c>
      <c r="J106" s="1" t="s">
        <v>89</v>
      </c>
      <c r="K106" s="3" t="s">
        <v>28</v>
      </c>
      <c r="L106" s="3" t="s">
        <v>6</v>
      </c>
      <c r="M106" s="3" t="s">
        <v>23</v>
      </c>
      <c r="N106" s="3" t="s">
        <v>4</v>
      </c>
      <c r="O106" s="3" t="s">
        <v>5</v>
      </c>
      <c r="P106" s="3" t="s">
        <v>3</v>
      </c>
      <c r="Q106" s="3">
        <v>260</v>
      </c>
      <c r="R106" s="3">
        <v>95</v>
      </c>
      <c r="S106" s="3">
        <v>24700</v>
      </c>
      <c r="T106" s="3">
        <v>2470</v>
      </c>
      <c r="U106" s="3">
        <v>27170.000000000004</v>
      </c>
    </row>
    <row r="107" spans="1:21" x14ac:dyDescent="0.25">
      <c r="A107" s="1">
        <v>106</v>
      </c>
      <c r="B107" s="2">
        <v>45293</v>
      </c>
      <c r="C107" s="2">
        <v>45293</v>
      </c>
      <c r="D107" s="4">
        <v>2024</v>
      </c>
      <c r="E107" s="4">
        <v>1</v>
      </c>
      <c r="F107" s="4">
        <v>2</v>
      </c>
      <c r="G107" s="1" t="s">
        <v>30</v>
      </c>
      <c r="I107" s="1" t="s">
        <v>84</v>
      </c>
      <c r="J107" s="1" t="s">
        <v>85</v>
      </c>
      <c r="K107" s="3" t="s">
        <v>28</v>
      </c>
      <c r="L107" s="3" t="s">
        <v>6</v>
      </c>
      <c r="M107" s="3" t="s">
        <v>23</v>
      </c>
      <c r="N107" s="3" t="s">
        <v>4</v>
      </c>
      <c r="O107" s="3" t="s">
        <v>5</v>
      </c>
      <c r="P107" s="3" t="s">
        <v>3</v>
      </c>
      <c r="Q107" s="3">
        <v>360</v>
      </c>
      <c r="R107" s="3">
        <v>95</v>
      </c>
      <c r="S107" s="3">
        <v>34200</v>
      </c>
      <c r="T107" s="3">
        <v>3420</v>
      </c>
      <c r="U107" s="3">
        <v>37620</v>
      </c>
    </row>
    <row r="108" spans="1:21" x14ac:dyDescent="0.25">
      <c r="A108" s="1">
        <v>107</v>
      </c>
      <c r="B108" s="2">
        <v>45293</v>
      </c>
      <c r="C108" s="2">
        <v>45293</v>
      </c>
      <c r="D108" s="4">
        <v>2024</v>
      </c>
      <c r="E108" s="4">
        <v>1</v>
      </c>
      <c r="F108" s="4">
        <v>2</v>
      </c>
      <c r="G108" s="1" t="s">
        <v>30</v>
      </c>
      <c r="I108" s="1" t="s">
        <v>110</v>
      </c>
      <c r="J108" s="1" t="s">
        <v>111</v>
      </c>
      <c r="K108" s="3" t="s">
        <v>28</v>
      </c>
      <c r="L108" s="3" t="s">
        <v>6</v>
      </c>
      <c r="M108" s="3" t="s">
        <v>23</v>
      </c>
      <c r="N108" s="3" t="s">
        <v>4</v>
      </c>
      <c r="O108" s="3" t="s">
        <v>5</v>
      </c>
      <c r="P108" s="3" t="s">
        <v>3</v>
      </c>
      <c r="Q108" s="3">
        <v>260</v>
      </c>
      <c r="R108" s="3">
        <v>95</v>
      </c>
      <c r="S108" s="3">
        <v>24700</v>
      </c>
      <c r="T108" s="3">
        <v>2470</v>
      </c>
      <c r="U108" s="3">
        <v>27170.000000000004</v>
      </c>
    </row>
    <row r="109" spans="1:21" x14ac:dyDescent="0.25">
      <c r="A109" s="1">
        <v>108</v>
      </c>
      <c r="B109" s="2">
        <v>45293</v>
      </c>
      <c r="C109" s="2">
        <v>45293</v>
      </c>
      <c r="D109" s="4">
        <v>2024</v>
      </c>
      <c r="E109" s="4">
        <v>1</v>
      </c>
      <c r="F109" s="4">
        <v>2</v>
      </c>
      <c r="G109" s="1" t="s">
        <v>30</v>
      </c>
      <c r="I109" s="1" t="s">
        <v>86</v>
      </c>
      <c r="J109" s="1" t="s">
        <v>87</v>
      </c>
      <c r="K109" s="3" t="s">
        <v>28</v>
      </c>
      <c r="L109" s="3" t="s">
        <v>6</v>
      </c>
      <c r="M109" s="3" t="s">
        <v>23</v>
      </c>
      <c r="N109" s="3" t="s">
        <v>4</v>
      </c>
      <c r="O109" s="3" t="s">
        <v>5</v>
      </c>
      <c r="P109" s="3" t="s">
        <v>3</v>
      </c>
      <c r="Q109" s="3">
        <v>240</v>
      </c>
      <c r="R109" s="3">
        <v>95</v>
      </c>
      <c r="S109" s="3">
        <v>22800</v>
      </c>
      <c r="T109" s="3">
        <v>2280</v>
      </c>
      <c r="U109" s="3">
        <v>25080.000000000004</v>
      </c>
    </row>
    <row r="110" spans="1:21" x14ac:dyDescent="0.25">
      <c r="A110" s="1">
        <v>109</v>
      </c>
      <c r="B110" s="2">
        <v>45293</v>
      </c>
      <c r="C110" s="2">
        <v>45293</v>
      </c>
      <c r="D110" s="4">
        <v>2024</v>
      </c>
      <c r="E110" s="4">
        <v>1</v>
      </c>
      <c r="F110" s="4">
        <v>2</v>
      </c>
      <c r="G110" s="1" t="s">
        <v>30</v>
      </c>
      <c r="I110" s="1" t="s">
        <v>102</v>
      </c>
      <c r="J110" s="1" t="s">
        <v>103</v>
      </c>
      <c r="K110" s="3" t="s">
        <v>28</v>
      </c>
      <c r="L110" s="3" t="s">
        <v>6</v>
      </c>
      <c r="M110" s="3" t="s">
        <v>23</v>
      </c>
      <c r="N110" s="3" t="s">
        <v>4</v>
      </c>
      <c r="O110" s="3" t="s">
        <v>5</v>
      </c>
      <c r="P110" s="3" t="s">
        <v>3</v>
      </c>
      <c r="Q110" s="3">
        <v>420</v>
      </c>
      <c r="R110" s="3">
        <v>95</v>
      </c>
      <c r="S110" s="3">
        <v>39900</v>
      </c>
      <c r="T110" s="3">
        <v>3990</v>
      </c>
      <c r="U110" s="3">
        <v>43890</v>
      </c>
    </row>
    <row r="111" spans="1:21" x14ac:dyDescent="0.25">
      <c r="A111" s="1">
        <v>110</v>
      </c>
      <c r="B111" s="2">
        <v>45293</v>
      </c>
      <c r="C111" s="2">
        <v>45293</v>
      </c>
      <c r="D111" s="4">
        <v>2024</v>
      </c>
      <c r="E111" s="4">
        <v>1</v>
      </c>
      <c r="F111" s="4">
        <v>2</v>
      </c>
      <c r="G111" s="1" t="s">
        <v>30</v>
      </c>
      <c r="I111" s="1" t="s">
        <v>94</v>
      </c>
      <c r="J111" s="1" t="s">
        <v>95</v>
      </c>
      <c r="K111" s="3" t="s">
        <v>28</v>
      </c>
      <c r="L111" s="3" t="s">
        <v>6</v>
      </c>
      <c r="M111" s="3" t="s">
        <v>23</v>
      </c>
      <c r="N111" s="3" t="s">
        <v>4</v>
      </c>
      <c r="O111" s="3" t="s">
        <v>5</v>
      </c>
      <c r="P111" s="3" t="s">
        <v>3</v>
      </c>
      <c r="Q111" s="3">
        <v>260</v>
      </c>
      <c r="R111" s="3">
        <v>95</v>
      </c>
      <c r="S111" s="3">
        <v>24700</v>
      </c>
      <c r="T111" s="3">
        <v>2470</v>
      </c>
      <c r="U111" s="3">
        <v>27170.000000000004</v>
      </c>
    </row>
    <row r="112" spans="1:21" x14ac:dyDescent="0.25">
      <c r="A112" s="1">
        <v>111</v>
      </c>
      <c r="B112" s="2">
        <v>45293</v>
      </c>
      <c r="C112" s="2">
        <v>45293</v>
      </c>
      <c r="D112" s="4">
        <v>2024</v>
      </c>
      <c r="E112" s="4">
        <v>1</v>
      </c>
      <c r="F112" s="4">
        <v>2</v>
      </c>
      <c r="G112" s="1" t="s">
        <v>30</v>
      </c>
      <c r="I112" s="1" t="s">
        <v>96</v>
      </c>
      <c r="J112" s="1" t="s">
        <v>97</v>
      </c>
      <c r="K112" s="3" t="s">
        <v>28</v>
      </c>
      <c r="L112" s="3" t="s">
        <v>6</v>
      </c>
      <c r="M112" s="3" t="s">
        <v>23</v>
      </c>
      <c r="N112" s="3" t="s">
        <v>4</v>
      </c>
      <c r="O112" s="3" t="s">
        <v>5</v>
      </c>
      <c r="P112" s="3" t="s">
        <v>3</v>
      </c>
      <c r="Q112" s="3">
        <v>180</v>
      </c>
      <c r="R112" s="3">
        <v>95</v>
      </c>
      <c r="S112" s="3">
        <v>17100</v>
      </c>
      <c r="T112" s="3">
        <v>1710</v>
      </c>
      <c r="U112" s="3">
        <v>18810</v>
      </c>
    </row>
    <row r="113" spans="1:21" x14ac:dyDescent="0.25">
      <c r="A113" s="1">
        <v>112</v>
      </c>
      <c r="B113" s="2">
        <v>45293</v>
      </c>
      <c r="C113" s="2">
        <v>45293</v>
      </c>
      <c r="D113" s="4">
        <v>2024</v>
      </c>
      <c r="E113" s="4">
        <v>1</v>
      </c>
      <c r="F113" s="4">
        <v>2</v>
      </c>
      <c r="G113" s="1" t="s">
        <v>30</v>
      </c>
      <c r="I113" s="1" t="s">
        <v>25</v>
      </c>
      <c r="J113" s="1" t="s">
        <v>29</v>
      </c>
      <c r="K113" s="3" t="s">
        <v>28</v>
      </c>
      <c r="L113" s="3" t="s">
        <v>6</v>
      </c>
      <c r="M113" s="3" t="s">
        <v>23</v>
      </c>
      <c r="N113" s="3" t="s">
        <v>4</v>
      </c>
      <c r="O113" s="3" t="s">
        <v>5</v>
      </c>
      <c r="P113" s="3" t="s">
        <v>3</v>
      </c>
      <c r="Q113" s="3">
        <v>170</v>
      </c>
      <c r="R113" s="3">
        <v>95</v>
      </c>
      <c r="S113" s="3">
        <v>16150</v>
      </c>
      <c r="T113" s="3">
        <v>1615</v>
      </c>
      <c r="U113" s="3">
        <v>17765</v>
      </c>
    </row>
    <row r="114" spans="1:21" x14ac:dyDescent="0.25">
      <c r="A114" s="1">
        <v>113</v>
      </c>
      <c r="B114" s="2">
        <v>45293</v>
      </c>
      <c r="C114" s="2">
        <v>45293</v>
      </c>
      <c r="D114" s="4">
        <v>2024</v>
      </c>
      <c r="E114" s="4">
        <v>1</v>
      </c>
      <c r="F114" s="4">
        <v>2</v>
      </c>
      <c r="G114" s="1" t="s">
        <v>30</v>
      </c>
      <c r="I114" s="1" t="s">
        <v>94</v>
      </c>
      <c r="J114" s="1" t="s">
        <v>95</v>
      </c>
      <c r="K114" s="3" t="s">
        <v>28</v>
      </c>
      <c r="L114" s="3" t="s">
        <v>6</v>
      </c>
      <c r="M114" s="3" t="s">
        <v>23</v>
      </c>
      <c r="N114" s="3" t="s">
        <v>4</v>
      </c>
      <c r="O114" s="3" t="s">
        <v>5</v>
      </c>
      <c r="P114" s="3" t="s">
        <v>3</v>
      </c>
      <c r="Q114" s="3">
        <v>220</v>
      </c>
      <c r="R114" s="3">
        <v>95</v>
      </c>
      <c r="S114" s="3">
        <v>20900</v>
      </c>
      <c r="T114" s="3">
        <v>2090</v>
      </c>
      <c r="U114" s="3">
        <v>22990.000000000004</v>
      </c>
    </row>
    <row r="115" spans="1:21" x14ac:dyDescent="0.25">
      <c r="A115" s="1">
        <v>114</v>
      </c>
      <c r="B115" s="2">
        <v>45293</v>
      </c>
      <c r="C115" s="2">
        <v>45293</v>
      </c>
      <c r="D115" s="4">
        <v>2024</v>
      </c>
      <c r="E115" s="4">
        <v>1</v>
      </c>
      <c r="F115" s="4">
        <v>2</v>
      </c>
      <c r="G115" s="1" t="s">
        <v>30</v>
      </c>
      <c r="I115" s="1" t="s">
        <v>82</v>
      </c>
      <c r="J115" s="1" t="s">
        <v>83</v>
      </c>
      <c r="K115" s="3" t="s">
        <v>28</v>
      </c>
      <c r="L115" s="3" t="s">
        <v>6</v>
      </c>
      <c r="M115" s="3" t="s">
        <v>23</v>
      </c>
      <c r="N115" s="3" t="s">
        <v>4</v>
      </c>
      <c r="O115" s="3" t="s">
        <v>5</v>
      </c>
      <c r="P115" s="3" t="s">
        <v>3</v>
      </c>
      <c r="Q115" s="3">
        <v>260</v>
      </c>
      <c r="R115" s="3">
        <v>95</v>
      </c>
      <c r="S115" s="3">
        <v>24700</v>
      </c>
      <c r="T115" s="3">
        <v>2470</v>
      </c>
      <c r="U115" s="3">
        <v>27170.000000000004</v>
      </c>
    </row>
    <row r="116" spans="1:21" x14ac:dyDescent="0.25">
      <c r="A116" s="1">
        <v>115</v>
      </c>
      <c r="B116" s="2">
        <v>45293</v>
      </c>
      <c r="C116" s="2">
        <v>45293</v>
      </c>
      <c r="D116" s="4">
        <v>2024</v>
      </c>
      <c r="E116" s="4">
        <v>1</v>
      </c>
      <c r="F116" s="4">
        <v>2</v>
      </c>
      <c r="G116" s="1" t="s">
        <v>30</v>
      </c>
      <c r="I116" s="1" t="s">
        <v>84</v>
      </c>
      <c r="J116" s="1" t="s">
        <v>85</v>
      </c>
      <c r="K116" s="3" t="s">
        <v>28</v>
      </c>
      <c r="L116" s="3" t="s">
        <v>6</v>
      </c>
      <c r="M116" s="3" t="s">
        <v>23</v>
      </c>
      <c r="N116" s="3" t="s">
        <v>4</v>
      </c>
      <c r="O116" s="3" t="s">
        <v>5</v>
      </c>
      <c r="P116" s="3" t="s">
        <v>3</v>
      </c>
      <c r="Q116" s="3">
        <v>560</v>
      </c>
      <c r="R116" s="3">
        <v>95</v>
      </c>
      <c r="S116" s="3">
        <v>53200</v>
      </c>
      <c r="T116" s="3">
        <v>5320</v>
      </c>
      <c r="U116" s="3">
        <v>58520.000000000007</v>
      </c>
    </row>
    <row r="117" spans="1:21" x14ac:dyDescent="0.25">
      <c r="A117" s="1">
        <v>116</v>
      </c>
      <c r="B117" s="2">
        <v>45293</v>
      </c>
      <c r="C117" s="2">
        <v>45293</v>
      </c>
      <c r="D117" s="4">
        <v>2024</v>
      </c>
      <c r="E117" s="4">
        <v>1</v>
      </c>
      <c r="F117" s="4">
        <v>2</v>
      </c>
      <c r="G117" s="1" t="s">
        <v>30</v>
      </c>
      <c r="I117" s="1" t="s">
        <v>84</v>
      </c>
      <c r="J117" s="1" t="s">
        <v>85</v>
      </c>
      <c r="K117" s="3" t="s">
        <v>28</v>
      </c>
      <c r="L117" s="3" t="s">
        <v>6</v>
      </c>
      <c r="M117" s="3" t="s">
        <v>23</v>
      </c>
      <c r="N117" s="3" t="s">
        <v>4</v>
      </c>
      <c r="O117" s="3" t="s">
        <v>5</v>
      </c>
      <c r="P117" s="3" t="s">
        <v>3</v>
      </c>
      <c r="Q117" s="3">
        <v>250</v>
      </c>
      <c r="R117" s="3">
        <v>95</v>
      </c>
      <c r="S117" s="3">
        <v>23750</v>
      </c>
      <c r="T117" s="3">
        <v>2375</v>
      </c>
      <c r="U117" s="3">
        <v>26125.000000000004</v>
      </c>
    </row>
    <row r="118" spans="1:21" x14ac:dyDescent="0.25">
      <c r="A118" s="1">
        <v>117</v>
      </c>
      <c r="B118" s="2">
        <v>45293</v>
      </c>
      <c r="C118" s="2">
        <v>45293</v>
      </c>
      <c r="D118" s="4">
        <v>2024</v>
      </c>
      <c r="E118" s="4">
        <v>1</v>
      </c>
      <c r="F118" s="4">
        <v>2</v>
      </c>
      <c r="G118" s="1" t="s">
        <v>30</v>
      </c>
      <c r="I118" s="1" t="s">
        <v>98</v>
      </c>
      <c r="J118" s="1" t="s">
        <v>99</v>
      </c>
      <c r="K118" s="3" t="s">
        <v>28</v>
      </c>
      <c r="L118" s="3" t="s">
        <v>6</v>
      </c>
      <c r="M118" s="3" t="s">
        <v>23</v>
      </c>
      <c r="N118" s="3" t="s">
        <v>4</v>
      </c>
      <c r="O118" s="3" t="s">
        <v>5</v>
      </c>
      <c r="P118" s="3" t="s">
        <v>3</v>
      </c>
      <c r="Q118" s="3">
        <v>290</v>
      </c>
      <c r="R118" s="3">
        <v>95</v>
      </c>
      <c r="S118" s="3">
        <v>27550</v>
      </c>
      <c r="T118" s="3">
        <v>2755</v>
      </c>
      <c r="U118" s="3">
        <v>30305.000000000004</v>
      </c>
    </row>
    <row r="119" spans="1:21" x14ac:dyDescent="0.25">
      <c r="A119" s="1">
        <v>118</v>
      </c>
      <c r="B119" s="2">
        <v>45293</v>
      </c>
      <c r="C119" s="2">
        <v>45293</v>
      </c>
      <c r="D119" s="4">
        <v>2024</v>
      </c>
      <c r="E119" s="4">
        <v>1</v>
      </c>
      <c r="F119" s="4">
        <v>2</v>
      </c>
      <c r="G119" s="1" t="s">
        <v>30</v>
      </c>
      <c r="I119" s="1" t="s">
        <v>82</v>
      </c>
      <c r="J119" s="1" t="s">
        <v>83</v>
      </c>
      <c r="K119" s="3" t="s">
        <v>28</v>
      </c>
      <c r="L119" s="3" t="s">
        <v>6</v>
      </c>
      <c r="M119" s="3" t="s">
        <v>23</v>
      </c>
      <c r="N119" s="3" t="s">
        <v>4</v>
      </c>
      <c r="O119" s="3" t="s">
        <v>5</v>
      </c>
      <c r="P119" s="3" t="s">
        <v>3</v>
      </c>
      <c r="Q119" s="3">
        <v>350</v>
      </c>
      <c r="R119" s="3">
        <v>95</v>
      </c>
      <c r="S119" s="3">
        <v>33250</v>
      </c>
      <c r="T119" s="3">
        <v>3325</v>
      </c>
      <c r="U119" s="3">
        <v>36575</v>
      </c>
    </row>
    <row r="120" spans="1:21" x14ac:dyDescent="0.25">
      <c r="A120" s="1">
        <v>119</v>
      </c>
      <c r="B120" s="2">
        <v>45293</v>
      </c>
      <c r="C120" s="2">
        <v>45293</v>
      </c>
      <c r="D120" s="4">
        <v>2024</v>
      </c>
      <c r="E120" s="4">
        <v>1</v>
      </c>
      <c r="F120" s="4">
        <v>2</v>
      </c>
      <c r="G120" s="1" t="s">
        <v>30</v>
      </c>
      <c r="I120" s="1" t="s">
        <v>86</v>
      </c>
      <c r="J120" s="1" t="s">
        <v>87</v>
      </c>
      <c r="K120" s="3" t="s">
        <v>28</v>
      </c>
      <c r="L120" s="3" t="s">
        <v>6</v>
      </c>
      <c r="M120" s="3" t="s">
        <v>23</v>
      </c>
      <c r="N120" s="3" t="s">
        <v>4</v>
      </c>
      <c r="O120" s="3" t="s">
        <v>5</v>
      </c>
      <c r="P120" s="3" t="s">
        <v>3</v>
      </c>
      <c r="Q120" s="3">
        <v>130</v>
      </c>
      <c r="R120" s="3">
        <v>95</v>
      </c>
      <c r="S120" s="3">
        <v>12350</v>
      </c>
      <c r="T120" s="3">
        <v>1235</v>
      </c>
      <c r="U120" s="3">
        <v>13585.000000000002</v>
      </c>
    </row>
    <row r="121" spans="1:21" x14ac:dyDescent="0.25">
      <c r="A121" s="1">
        <v>120</v>
      </c>
      <c r="B121" s="2">
        <v>45293</v>
      </c>
      <c r="C121" s="2">
        <v>45293</v>
      </c>
      <c r="D121" s="4">
        <v>2024</v>
      </c>
      <c r="E121" s="4">
        <v>1</v>
      </c>
      <c r="F121" s="4">
        <v>2</v>
      </c>
      <c r="G121" s="1" t="s">
        <v>30</v>
      </c>
      <c r="I121" s="1" t="s">
        <v>88</v>
      </c>
      <c r="J121" s="1" t="s">
        <v>89</v>
      </c>
      <c r="K121" s="3" t="s">
        <v>28</v>
      </c>
      <c r="L121" s="3" t="s">
        <v>6</v>
      </c>
      <c r="M121" s="3" t="s">
        <v>23</v>
      </c>
      <c r="N121" s="3" t="s">
        <v>4</v>
      </c>
      <c r="O121" s="3" t="s">
        <v>5</v>
      </c>
      <c r="P121" s="3" t="s">
        <v>3</v>
      </c>
      <c r="Q121" s="3">
        <v>350</v>
      </c>
      <c r="R121" s="3">
        <v>95</v>
      </c>
      <c r="S121" s="3">
        <v>33250</v>
      </c>
      <c r="T121" s="3">
        <v>3325</v>
      </c>
      <c r="U121" s="3">
        <v>36575</v>
      </c>
    </row>
    <row r="122" spans="1:21" x14ac:dyDescent="0.25">
      <c r="A122" s="1">
        <v>121</v>
      </c>
      <c r="B122" s="2">
        <v>45294</v>
      </c>
      <c r="C122" s="2">
        <v>45294</v>
      </c>
      <c r="D122" s="4">
        <v>2024</v>
      </c>
      <c r="E122" s="4">
        <v>1</v>
      </c>
      <c r="F122" s="4">
        <v>3</v>
      </c>
      <c r="G122" s="1" t="s">
        <v>32</v>
      </c>
      <c r="I122" s="1" t="s">
        <v>41</v>
      </c>
      <c r="J122" s="1" t="s">
        <v>32</v>
      </c>
      <c r="K122" s="3" t="s">
        <v>119</v>
      </c>
      <c r="L122" s="3" t="s">
        <v>6</v>
      </c>
      <c r="M122" s="3" t="s">
        <v>23</v>
      </c>
      <c r="N122" s="3" t="s">
        <v>4</v>
      </c>
      <c r="O122" s="3" t="s">
        <v>2</v>
      </c>
      <c r="P122" s="3" t="s">
        <v>3</v>
      </c>
      <c r="Q122" s="3">
        <v>5235</v>
      </c>
      <c r="R122" s="3">
        <v>90</v>
      </c>
      <c r="S122" s="3">
        <v>471150</v>
      </c>
      <c r="T122" s="3">
        <v>47115</v>
      </c>
      <c r="U122" s="3">
        <v>518265.00000000006</v>
      </c>
    </row>
    <row r="123" spans="1:21" x14ac:dyDescent="0.25">
      <c r="A123" s="1">
        <v>122</v>
      </c>
      <c r="B123" s="2">
        <v>45294</v>
      </c>
      <c r="C123" s="2">
        <v>45294</v>
      </c>
      <c r="D123" s="4">
        <v>2024</v>
      </c>
      <c r="E123" s="4">
        <v>1</v>
      </c>
      <c r="F123" s="4">
        <v>3</v>
      </c>
      <c r="G123" s="1" t="s">
        <v>36</v>
      </c>
      <c r="I123" s="1" t="s">
        <v>48</v>
      </c>
      <c r="J123" s="1" t="s">
        <v>36</v>
      </c>
      <c r="K123" s="3" t="s">
        <v>119</v>
      </c>
      <c r="L123" s="3" t="s">
        <v>46</v>
      </c>
      <c r="M123" s="3" t="s">
        <v>23</v>
      </c>
      <c r="N123" s="3" t="s">
        <v>47</v>
      </c>
      <c r="O123" s="3" t="s">
        <v>2</v>
      </c>
      <c r="P123" s="3" t="s">
        <v>3</v>
      </c>
      <c r="Q123" s="3">
        <v>2915</v>
      </c>
      <c r="R123" s="3">
        <v>0</v>
      </c>
      <c r="S123" s="3">
        <v>0</v>
      </c>
      <c r="T123" s="3">
        <v>0</v>
      </c>
      <c r="U123" s="3">
        <v>0</v>
      </c>
    </row>
    <row r="124" spans="1:21" x14ac:dyDescent="0.25">
      <c r="A124" s="1">
        <v>123</v>
      </c>
      <c r="B124" s="2">
        <v>45294</v>
      </c>
      <c r="C124" s="2">
        <v>45294</v>
      </c>
      <c r="D124" s="4">
        <v>2024</v>
      </c>
      <c r="E124" s="4">
        <v>1</v>
      </c>
      <c r="F124" s="4">
        <v>3</v>
      </c>
      <c r="G124" s="1" t="s">
        <v>36</v>
      </c>
      <c r="I124" s="1" t="s">
        <v>115</v>
      </c>
      <c r="J124" s="1" t="s">
        <v>36</v>
      </c>
      <c r="K124" s="3" t="s">
        <v>119</v>
      </c>
      <c r="L124" s="3" t="s">
        <v>77</v>
      </c>
      <c r="M124" s="3" t="s">
        <v>23</v>
      </c>
      <c r="N124" s="3" t="s">
        <v>78</v>
      </c>
      <c r="O124" s="3" t="s">
        <v>2</v>
      </c>
      <c r="P124" s="3" t="s">
        <v>3</v>
      </c>
      <c r="Q124" s="3">
        <v>3925</v>
      </c>
      <c r="R124" s="3">
        <v>0</v>
      </c>
      <c r="S124" s="3">
        <v>0</v>
      </c>
      <c r="T124" s="3">
        <v>0</v>
      </c>
      <c r="U124" s="3">
        <v>0</v>
      </c>
    </row>
    <row r="125" spans="1:21" x14ac:dyDescent="0.25">
      <c r="A125" s="1">
        <v>124</v>
      </c>
      <c r="B125" s="2">
        <v>45294</v>
      </c>
      <c r="C125" s="2">
        <v>45294</v>
      </c>
      <c r="D125" s="4">
        <v>2024</v>
      </c>
      <c r="E125" s="4">
        <v>1</v>
      </c>
      <c r="F125" s="4">
        <v>3</v>
      </c>
      <c r="G125" s="1" t="s">
        <v>36</v>
      </c>
      <c r="I125" s="1" t="s">
        <v>120</v>
      </c>
      <c r="J125" s="1" t="s">
        <v>36</v>
      </c>
      <c r="K125" s="3" t="s">
        <v>119</v>
      </c>
      <c r="L125" s="3" t="s">
        <v>46</v>
      </c>
      <c r="M125" s="3" t="s">
        <v>23</v>
      </c>
      <c r="N125" s="3" t="s">
        <v>47</v>
      </c>
      <c r="O125" s="3" t="s">
        <v>2</v>
      </c>
      <c r="P125" s="3" t="s">
        <v>3</v>
      </c>
      <c r="Q125" s="3">
        <v>3105</v>
      </c>
      <c r="R125" s="3">
        <v>0</v>
      </c>
      <c r="S125" s="3">
        <v>0</v>
      </c>
      <c r="T125" s="3">
        <v>0</v>
      </c>
      <c r="U125" s="3">
        <v>0</v>
      </c>
    </row>
    <row r="126" spans="1:21" x14ac:dyDescent="0.25">
      <c r="A126" s="1">
        <v>125</v>
      </c>
      <c r="B126" s="2">
        <v>45294</v>
      </c>
      <c r="C126" s="2">
        <v>45294</v>
      </c>
      <c r="D126" s="4">
        <v>2024</v>
      </c>
      <c r="E126" s="4">
        <v>1</v>
      </c>
      <c r="F126" s="4">
        <v>3</v>
      </c>
      <c r="G126" s="1" t="s">
        <v>127</v>
      </c>
      <c r="I126" s="1" t="s">
        <v>128</v>
      </c>
      <c r="J126" s="1" t="s">
        <v>127</v>
      </c>
      <c r="K126" s="3" t="s">
        <v>119</v>
      </c>
      <c r="L126" s="3" t="s">
        <v>75</v>
      </c>
      <c r="M126" s="3" t="s">
        <v>79</v>
      </c>
      <c r="N126" s="3" t="s">
        <v>79</v>
      </c>
      <c r="O126" s="3" t="s">
        <v>2</v>
      </c>
      <c r="P126" s="3" t="s">
        <v>3</v>
      </c>
      <c r="Q126" s="3">
        <v>12575</v>
      </c>
      <c r="R126" s="3">
        <v>0</v>
      </c>
      <c r="S126" s="3">
        <v>0</v>
      </c>
      <c r="T126" s="3">
        <v>0</v>
      </c>
      <c r="U126" s="3">
        <v>0</v>
      </c>
    </row>
    <row r="127" spans="1:21" x14ac:dyDescent="0.25">
      <c r="A127" s="1">
        <v>126</v>
      </c>
      <c r="B127" s="2">
        <v>45294</v>
      </c>
      <c r="C127" s="2">
        <v>45294</v>
      </c>
      <c r="D127" s="4">
        <v>2024</v>
      </c>
      <c r="E127" s="4">
        <v>1</v>
      </c>
      <c r="F127" s="4">
        <v>3</v>
      </c>
      <c r="G127" s="1" t="s">
        <v>36</v>
      </c>
      <c r="I127" s="1" t="s">
        <v>112</v>
      </c>
      <c r="J127" s="1" t="s">
        <v>36</v>
      </c>
      <c r="K127" s="3" t="s">
        <v>119</v>
      </c>
      <c r="L127" s="3" t="s">
        <v>46</v>
      </c>
      <c r="M127" s="3" t="s">
        <v>23</v>
      </c>
      <c r="N127" s="3" t="s">
        <v>47</v>
      </c>
      <c r="O127" s="3" t="s">
        <v>2</v>
      </c>
      <c r="P127" s="3" t="s">
        <v>3</v>
      </c>
      <c r="Q127" s="3">
        <v>3190</v>
      </c>
      <c r="R127" s="3">
        <v>0</v>
      </c>
      <c r="S127" s="3">
        <v>0</v>
      </c>
      <c r="T127" s="3">
        <v>0</v>
      </c>
      <c r="U127" s="3">
        <v>0</v>
      </c>
    </row>
    <row r="128" spans="1:21" x14ac:dyDescent="0.25">
      <c r="A128" s="1">
        <v>127</v>
      </c>
      <c r="B128" s="2">
        <v>45294</v>
      </c>
      <c r="C128" s="2">
        <v>45294</v>
      </c>
      <c r="D128" s="4">
        <v>2024</v>
      </c>
      <c r="E128" s="4">
        <v>1</v>
      </c>
      <c r="F128" s="4">
        <v>3</v>
      </c>
      <c r="G128" s="1" t="s">
        <v>36</v>
      </c>
      <c r="I128" s="1" t="s">
        <v>49</v>
      </c>
      <c r="J128" s="1" t="s">
        <v>36</v>
      </c>
      <c r="K128" s="3" t="s">
        <v>119</v>
      </c>
      <c r="L128" s="3" t="s">
        <v>46</v>
      </c>
      <c r="M128" s="3" t="s">
        <v>23</v>
      </c>
      <c r="N128" s="3" t="s">
        <v>47</v>
      </c>
      <c r="O128" s="3" t="s">
        <v>2</v>
      </c>
      <c r="P128" s="3" t="s">
        <v>3</v>
      </c>
      <c r="Q128" s="3">
        <v>3275</v>
      </c>
      <c r="R128" s="3">
        <v>0</v>
      </c>
      <c r="S128" s="3">
        <v>0</v>
      </c>
      <c r="T128" s="3">
        <v>0</v>
      </c>
      <c r="U128" s="3">
        <v>0</v>
      </c>
    </row>
    <row r="129" spans="1:21" x14ac:dyDescent="0.25">
      <c r="A129" s="1">
        <v>128</v>
      </c>
      <c r="B129" s="2">
        <v>45294</v>
      </c>
      <c r="C129" s="2">
        <v>45294</v>
      </c>
      <c r="D129" s="4">
        <v>2024</v>
      </c>
      <c r="E129" s="4">
        <v>1</v>
      </c>
      <c r="F129" s="4">
        <v>3</v>
      </c>
      <c r="G129" s="1" t="s">
        <v>32</v>
      </c>
      <c r="I129" s="1" t="s">
        <v>41</v>
      </c>
      <c r="J129" s="1" t="s">
        <v>32</v>
      </c>
      <c r="K129" s="3" t="s">
        <v>119</v>
      </c>
      <c r="L129" s="3" t="s">
        <v>6</v>
      </c>
      <c r="M129" s="3" t="s">
        <v>23</v>
      </c>
      <c r="N129" s="3" t="s">
        <v>4</v>
      </c>
      <c r="O129" s="3" t="s">
        <v>2</v>
      </c>
      <c r="P129" s="3" t="s">
        <v>3</v>
      </c>
      <c r="Q129" s="3">
        <v>5475</v>
      </c>
      <c r="R129" s="3">
        <v>90</v>
      </c>
      <c r="S129" s="3">
        <v>492750</v>
      </c>
      <c r="T129" s="3">
        <v>49275</v>
      </c>
      <c r="U129" s="3">
        <v>542025</v>
      </c>
    </row>
    <row r="130" spans="1:21" x14ac:dyDescent="0.25">
      <c r="A130" s="1">
        <v>129</v>
      </c>
      <c r="B130" s="2">
        <v>45294</v>
      </c>
      <c r="C130" s="2">
        <v>45294</v>
      </c>
      <c r="D130" s="4">
        <v>2024</v>
      </c>
      <c r="E130" s="4">
        <v>1</v>
      </c>
      <c r="F130" s="4">
        <v>3</v>
      </c>
      <c r="G130" s="1" t="s">
        <v>36</v>
      </c>
      <c r="I130" s="1" t="s">
        <v>106</v>
      </c>
      <c r="J130" s="1" t="s">
        <v>36</v>
      </c>
      <c r="K130" s="3" t="s">
        <v>119</v>
      </c>
      <c r="L130" s="3" t="s">
        <v>46</v>
      </c>
      <c r="M130" s="3" t="s">
        <v>23</v>
      </c>
      <c r="N130" s="3" t="s">
        <v>47</v>
      </c>
      <c r="O130" s="3" t="s">
        <v>2</v>
      </c>
      <c r="P130" s="3" t="s">
        <v>3</v>
      </c>
      <c r="Q130" s="3">
        <v>3085</v>
      </c>
      <c r="R130" s="3">
        <v>0</v>
      </c>
      <c r="S130" s="3">
        <v>0</v>
      </c>
      <c r="T130" s="3">
        <v>0</v>
      </c>
      <c r="U130" s="3">
        <v>0</v>
      </c>
    </row>
    <row r="131" spans="1:21" x14ac:dyDescent="0.25">
      <c r="A131" s="1">
        <v>130</v>
      </c>
      <c r="B131" s="2">
        <v>45294</v>
      </c>
      <c r="C131" s="2">
        <v>45294</v>
      </c>
      <c r="D131" s="4">
        <v>2024</v>
      </c>
      <c r="E131" s="4">
        <v>1</v>
      </c>
      <c r="F131" s="4">
        <v>3</v>
      </c>
      <c r="G131" s="1" t="s">
        <v>36</v>
      </c>
      <c r="I131" s="1" t="s">
        <v>51</v>
      </c>
      <c r="J131" s="1" t="s">
        <v>36</v>
      </c>
      <c r="K131" s="3" t="s">
        <v>119</v>
      </c>
      <c r="L131" s="3" t="s">
        <v>46</v>
      </c>
      <c r="M131" s="3" t="s">
        <v>23</v>
      </c>
      <c r="N131" s="3" t="s">
        <v>47</v>
      </c>
      <c r="O131" s="3" t="s">
        <v>2</v>
      </c>
      <c r="P131" s="3" t="s">
        <v>3</v>
      </c>
      <c r="Q131" s="3">
        <v>3145</v>
      </c>
      <c r="R131" s="3">
        <v>0</v>
      </c>
      <c r="S131" s="3">
        <v>0</v>
      </c>
      <c r="T131" s="3">
        <v>0</v>
      </c>
      <c r="U131" s="3">
        <v>0</v>
      </c>
    </row>
    <row r="132" spans="1:21" x14ac:dyDescent="0.25">
      <c r="A132" s="1">
        <v>131</v>
      </c>
      <c r="B132" s="2">
        <v>45294</v>
      </c>
      <c r="C132" s="2">
        <v>45294</v>
      </c>
      <c r="D132" s="4">
        <v>2024</v>
      </c>
      <c r="E132" s="4">
        <v>1</v>
      </c>
      <c r="F132" s="4">
        <v>3</v>
      </c>
      <c r="G132" s="1" t="s">
        <v>35</v>
      </c>
      <c r="I132" s="1" t="s">
        <v>117</v>
      </c>
      <c r="J132" s="1" t="s">
        <v>35</v>
      </c>
      <c r="K132" s="3" t="s">
        <v>119</v>
      </c>
      <c r="L132" s="3" t="s">
        <v>113</v>
      </c>
      <c r="M132" s="3" t="s">
        <v>23</v>
      </c>
      <c r="N132" s="3" t="s">
        <v>114</v>
      </c>
      <c r="O132" s="3" t="s">
        <v>2</v>
      </c>
      <c r="P132" s="3" t="s">
        <v>3</v>
      </c>
      <c r="Q132" s="3">
        <v>5690</v>
      </c>
      <c r="R132" s="3">
        <v>250</v>
      </c>
      <c r="S132" s="3">
        <v>1422500</v>
      </c>
      <c r="T132" s="3">
        <v>142250</v>
      </c>
      <c r="U132" s="3">
        <v>1564750.0000000002</v>
      </c>
    </row>
    <row r="133" spans="1:21" x14ac:dyDescent="0.25">
      <c r="A133" s="1">
        <v>132</v>
      </c>
      <c r="B133" s="2">
        <v>45294</v>
      </c>
      <c r="C133" s="2">
        <v>45294</v>
      </c>
      <c r="D133" s="4">
        <v>2024</v>
      </c>
      <c r="E133" s="4">
        <v>1</v>
      </c>
      <c r="F133" s="4">
        <v>3</v>
      </c>
      <c r="G133" s="1" t="s">
        <v>31</v>
      </c>
      <c r="H133" s="1" t="s">
        <v>52</v>
      </c>
      <c r="I133" s="1" t="s">
        <v>53</v>
      </c>
      <c r="J133" s="1" t="s">
        <v>54</v>
      </c>
      <c r="K133" s="3" t="s">
        <v>28</v>
      </c>
      <c r="L133" s="3" t="s">
        <v>6</v>
      </c>
      <c r="M133" s="3" t="s">
        <v>23</v>
      </c>
      <c r="N133" s="3" t="s">
        <v>4</v>
      </c>
      <c r="O133" s="3" t="s">
        <v>5</v>
      </c>
      <c r="P133" s="3" t="s">
        <v>3</v>
      </c>
      <c r="Q133" s="3">
        <v>220</v>
      </c>
      <c r="R133" s="3">
        <v>85</v>
      </c>
      <c r="S133" s="3">
        <v>18700</v>
      </c>
      <c r="T133" s="3">
        <v>1870</v>
      </c>
      <c r="U133" s="3">
        <v>20570</v>
      </c>
    </row>
    <row r="134" spans="1:21" x14ac:dyDescent="0.25">
      <c r="A134" s="1">
        <v>133</v>
      </c>
      <c r="B134" s="2">
        <v>45294</v>
      </c>
      <c r="C134" s="2">
        <v>45294</v>
      </c>
      <c r="D134" s="4">
        <v>2024</v>
      </c>
      <c r="E134" s="4">
        <v>1</v>
      </c>
      <c r="F134" s="4">
        <v>3</v>
      </c>
      <c r="G134" s="1" t="s">
        <v>31</v>
      </c>
      <c r="H134" s="1" t="s">
        <v>52</v>
      </c>
      <c r="I134" s="1" t="s">
        <v>53</v>
      </c>
      <c r="J134" s="1" t="s">
        <v>54</v>
      </c>
      <c r="K134" s="3" t="s">
        <v>28</v>
      </c>
      <c r="L134" s="3" t="s">
        <v>6</v>
      </c>
      <c r="M134" s="3" t="s">
        <v>23</v>
      </c>
      <c r="N134" s="3" t="s">
        <v>4</v>
      </c>
      <c r="O134" s="3" t="s">
        <v>5</v>
      </c>
      <c r="P134" s="3" t="s">
        <v>3</v>
      </c>
      <c r="Q134" s="3">
        <v>130</v>
      </c>
      <c r="R134" s="3">
        <v>85</v>
      </c>
      <c r="S134" s="3">
        <v>11050</v>
      </c>
      <c r="T134" s="3">
        <v>1105</v>
      </c>
      <c r="U134" s="3">
        <v>12155.000000000002</v>
      </c>
    </row>
    <row r="135" spans="1:21" x14ac:dyDescent="0.25">
      <c r="A135" s="1">
        <v>134</v>
      </c>
      <c r="B135" s="2">
        <v>45294</v>
      </c>
      <c r="C135" s="2">
        <v>45294</v>
      </c>
      <c r="D135" s="4">
        <v>2024</v>
      </c>
      <c r="E135" s="4">
        <v>1</v>
      </c>
      <c r="F135" s="4">
        <v>3</v>
      </c>
      <c r="G135" s="1" t="s">
        <v>31</v>
      </c>
      <c r="H135" s="1" t="s">
        <v>52</v>
      </c>
      <c r="I135" s="1" t="s">
        <v>53</v>
      </c>
      <c r="J135" s="1" t="s">
        <v>54</v>
      </c>
      <c r="K135" s="3" t="s">
        <v>28</v>
      </c>
      <c r="L135" s="3" t="s">
        <v>6</v>
      </c>
      <c r="M135" s="3" t="s">
        <v>23</v>
      </c>
      <c r="N135" s="3" t="s">
        <v>4</v>
      </c>
      <c r="O135" s="3" t="s">
        <v>5</v>
      </c>
      <c r="P135" s="3" t="s">
        <v>3</v>
      </c>
      <c r="Q135" s="3">
        <v>230</v>
      </c>
      <c r="R135" s="3">
        <v>85</v>
      </c>
      <c r="S135" s="3">
        <v>19550</v>
      </c>
      <c r="T135" s="3">
        <v>1955</v>
      </c>
      <c r="U135" s="3">
        <v>21505</v>
      </c>
    </row>
    <row r="136" spans="1:21" x14ac:dyDescent="0.25">
      <c r="A136" s="1">
        <v>135</v>
      </c>
      <c r="B136" s="2">
        <v>45294</v>
      </c>
      <c r="C136" s="2">
        <v>45294</v>
      </c>
      <c r="D136" s="4">
        <v>2024</v>
      </c>
      <c r="E136" s="4">
        <v>1</v>
      </c>
      <c r="F136" s="4">
        <v>3</v>
      </c>
      <c r="G136" s="1" t="s">
        <v>31</v>
      </c>
      <c r="I136" s="1" t="s">
        <v>59</v>
      </c>
      <c r="J136" s="1" t="s">
        <v>60</v>
      </c>
      <c r="K136" s="3" t="s">
        <v>28</v>
      </c>
      <c r="L136" s="3" t="s">
        <v>6</v>
      </c>
      <c r="M136" s="3" t="s">
        <v>23</v>
      </c>
      <c r="N136" s="3" t="s">
        <v>4</v>
      </c>
      <c r="O136" s="3" t="s">
        <v>5</v>
      </c>
      <c r="P136" s="3" t="s">
        <v>3</v>
      </c>
      <c r="Q136" s="3">
        <v>230</v>
      </c>
      <c r="R136" s="3">
        <v>85</v>
      </c>
      <c r="S136" s="3">
        <v>19550</v>
      </c>
      <c r="T136" s="3">
        <v>1955</v>
      </c>
      <c r="U136" s="3">
        <v>21505</v>
      </c>
    </row>
    <row r="137" spans="1:21" x14ac:dyDescent="0.25">
      <c r="A137" s="1">
        <v>136</v>
      </c>
      <c r="B137" s="2">
        <v>45294</v>
      </c>
      <c r="C137" s="2">
        <v>45294</v>
      </c>
      <c r="D137" s="4">
        <v>2024</v>
      </c>
      <c r="E137" s="4">
        <v>1</v>
      </c>
      <c r="F137" s="4">
        <v>3</v>
      </c>
      <c r="G137" s="1" t="s">
        <v>31</v>
      </c>
      <c r="I137" s="1" t="s">
        <v>57</v>
      </c>
      <c r="J137" s="1" t="s">
        <v>58</v>
      </c>
      <c r="K137" s="3" t="s">
        <v>28</v>
      </c>
      <c r="L137" s="3" t="s">
        <v>6</v>
      </c>
      <c r="M137" s="3" t="s">
        <v>23</v>
      </c>
      <c r="N137" s="3" t="s">
        <v>4</v>
      </c>
      <c r="O137" s="3" t="s">
        <v>5</v>
      </c>
      <c r="P137" s="3" t="s">
        <v>3</v>
      </c>
      <c r="Q137" s="3">
        <v>260</v>
      </c>
      <c r="R137" s="3">
        <v>85</v>
      </c>
      <c r="S137" s="3">
        <v>22100</v>
      </c>
      <c r="T137" s="3">
        <v>2210</v>
      </c>
      <c r="U137" s="3">
        <v>24310.000000000004</v>
      </c>
    </row>
    <row r="138" spans="1:21" x14ac:dyDescent="0.25">
      <c r="A138" s="1">
        <v>137</v>
      </c>
      <c r="B138" s="2">
        <v>45294</v>
      </c>
      <c r="C138" s="2">
        <v>45294</v>
      </c>
      <c r="D138" s="4">
        <v>2024</v>
      </c>
      <c r="E138" s="4">
        <v>1</v>
      </c>
      <c r="F138" s="4">
        <v>3</v>
      </c>
      <c r="G138" s="1" t="s">
        <v>31</v>
      </c>
      <c r="I138" s="1" t="s">
        <v>61</v>
      </c>
      <c r="J138" s="1" t="s">
        <v>62</v>
      </c>
      <c r="K138" s="3" t="s">
        <v>28</v>
      </c>
      <c r="L138" s="3" t="s">
        <v>6</v>
      </c>
      <c r="M138" s="3" t="s">
        <v>23</v>
      </c>
      <c r="N138" s="3" t="s">
        <v>4</v>
      </c>
      <c r="O138" s="3" t="s">
        <v>5</v>
      </c>
      <c r="P138" s="3" t="s">
        <v>3</v>
      </c>
      <c r="Q138" s="3">
        <v>260</v>
      </c>
      <c r="R138" s="3">
        <v>85</v>
      </c>
      <c r="S138" s="3">
        <v>22100</v>
      </c>
      <c r="T138" s="3">
        <v>2210</v>
      </c>
      <c r="U138" s="3">
        <v>24310.000000000004</v>
      </c>
    </row>
    <row r="139" spans="1:21" x14ac:dyDescent="0.25">
      <c r="A139" s="1">
        <v>138</v>
      </c>
      <c r="B139" s="2">
        <v>45294</v>
      </c>
      <c r="C139" s="2">
        <v>45294</v>
      </c>
      <c r="D139" s="4">
        <v>2024</v>
      </c>
      <c r="E139" s="4">
        <v>1</v>
      </c>
      <c r="F139" s="4">
        <v>3</v>
      </c>
      <c r="G139" s="1" t="s">
        <v>31</v>
      </c>
      <c r="I139" s="1" t="s">
        <v>65</v>
      </c>
      <c r="J139" s="1" t="s">
        <v>66</v>
      </c>
      <c r="K139" s="3" t="s">
        <v>28</v>
      </c>
      <c r="L139" s="3" t="s">
        <v>6</v>
      </c>
      <c r="M139" s="3" t="s">
        <v>23</v>
      </c>
      <c r="N139" s="3" t="s">
        <v>4</v>
      </c>
      <c r="O139" s="3" t="s">
        <v>5</v>
      </c>
      <c r="P139" s="3" t="s">
        <v>3</v>
      </c>
      <c r="Q139" s="3">
        <v>360</v>
      </c>
      <c r="R139" s="3">
        <v>85</v>
      </c>
      <c r="S139" s="3">
        <v>30600</v>
      </c>
      <c r="T139" s="3">
        <v>3060</v>
      </c>
      <c r="U139" s="3">
        <v>33660</v>
      </c>
    </row>
    <row r="140" spans="1:21" x14ac:dyDescent="0.25">
      <c r="A140" s="1">
        <v>139</v>
      </c>
      <c r="B140" s="2">
        <v>45294</v>
      </c>
      <c r="C140" s="2">
        <v>45294</v>
      </c>
      <c r="D140" s="4">
        <v>2024</v>
      </c>
      <c r="E140" s="4">
        <v>1</v>
      </c>
      <c r="F140" s="4">
        <v>3</v>
      </c>
      <c r="G140" s="1" t="s">
        <v>31</v>
      </c>
      <c r="I140" s="1" t="s">
        <v>63</v>
      </c>
      <c r="J140" s="1" t="s">
        <v>64</v>
      </c>
      <c r="K140" s="3" t="s">
        <v>28</v>
      </c>
      <c r="L140" s="3" t="s">
        <v>6</v>
      </c>
      <c r="M140" s="3" t="s">
        <v>23</v>
      </c>
      <c r="N140" s="3" t="s">
        <v>4</v>
      </c>
      <c r="O140" s="3" t="s">
        <v>5</v>
      </c>
      <c r="P140" s="3" t="s">
        <v>3</v>
      </c>
      <c r="Q140" s="3">
        <v>230</v>
      </c>
      <c r="R140" s="3">
        <v>85</v>
      </c>
      <c r="S140" s="3">
        <v>19550</v>
      </c>
      <c r="T140" s="3">
        <v>1955</v>
      </c>
      <c r="U140" s="3">
        <v>21505</v>
      </c>
    </row>
    <row r="141" spans="1:21" x14ac:dyDescent="0.25">
      <c r="A141" s="1">
        <v>140</v>
      </c>
      <c r="B141" s="2">
        <v>45294</v>
      </c>
      <c r="C141" s="2">
        <v>45294</v>
      </c>
      <c r="D141" s="4">
        <v>2024</v>
      </c>
      <c r="E141" s="4">
        <v>1</v>
      </c>
      <c r="F141" s="4">
        <v>3</v>
      </c>
      <c r="G141" s="1" t="s">
        <v>31</v>
      </c>
      <c r="I141" s="1" t="s">
        <v>61</v>
      </c>
      <c r="J141" s="1" t="s">
        <v>62</v>
      </c>
      <c r="K141" s="3" t="s">
        <v>28</v>
      </c>
      <c r="L141" s="3" t="s">
        <v>6</v>
      </c>
      <c r="M141" s="3" t="s">
        <v>23</v>
      </c>
      <c r="N141" s="3" t="s">
        <v>4</v>
      </c>
      <c r="O141" s="3" t="s">
        <v>5</v>
      </c>
      <c r="P141" s="3" t="s">
        <v>3</v>
      </c>
      <c r="Q141" s="3">
        <v>160</v>
      </c>
      <c r="R141" s="3">
        <v>85</v>
      </c>
      <c r="S141" s="3">
        <v>13600</v>
      </c>
      <c r="T141" s="3">
        <v>1360</v>
      </c>
      <c r="U141" s="3">
        <v>14960.000000000002</v>
      </c>
    </row>
    <row r="142" spans="1:21" x14ac:dyDescent="0.25">
      <c r="A142" s="1">
        <v>141</v>
      </c>
      <c r="B142" s="2">
        <v>45294</v>
      </c>
      <c r="C142" s="2">
        <v>45294</v>
      </c>
      <c r="D142" s="4">
        <v>2024</v>
      </c>
      <c r="E142" s="4">
        <v>1</v>
      </c>
      <c r="F142" s="4">
        <v>3</v>
      </c>
      <c r="G142" s="1" t="s">
        <v>31</v>
      </c>
      <c r="I142" s="1" t="s">
        <v>59</v>
      </c>
      <c r="J142" s="1" t="s">
        <v>60</v>
      </c>
      <c r="K142" s="3" t="s">
        <v>28</v>
      </c>
      <c r="L142" s="3" t="s">
        <v>6</v>
      </c>
      <c r="M142" s="3" t="s">
        <v>23</v>
      </c>
      <c r="N142" s="3" t="s">
        <v>4</v>
      </c>
      <c r="O142" s="3" t="s">
        <v>5</v>
      </c>
      <c r="P142" s="3" t="s">
        <v>3</v>
      </c>
      <c r="Q142" s="3">
        <v>240</v>
      </c>
      <c r="R142" s="3">
        <v>85</v>
      </c>
      <c r="S142" s="3">
        <v>20400</v>
      </c>
      <c r="T142" s="3">
        <v>2040</v>
      </c>
      <c r="U142" s="3">
        <v>22440</v>
      </c>
    </row>
    <row r="143" spans="1:21" x14ac:dyDescent="0.25">
      <c r="A143" s="1">
        <v>142</v>
      </c>
      <c r="B143" s="2">
        <v>45294</v>
      </c>
      <c r="C143" s="2">
        <v>45294</v>
      </c>
      <c r="D143" s="4">
        <v>2024</v>
      </c>
      <c r="E143" s="4">
        <v>1</v>
      </c>
      <c r="F143" s="4">
        <v>3</v>
      </c>
      <c r="G143" s="1" t="s">
        <v>31</v>
      </c>
      <c r="I143" s="1" t="s">
        <v>25</v>
      </c>
      <c r="J143" s="1" t="s">
        <v>29</v>
      </c>
      <c r="K143" s="3" t="s">
        <v>28</v>
      </c>
      <c r="L143" s="3" t="s">
        <v>6</v>
      </c>
      <c r="M143" s="3" t="s">
        <v>23</v>
      </c>
      <c r="N143" s="3" t="s">
        <v>4</v>
      </c>
      <c r="O143" s="3" t="s">
        <v>5</v>
      </c>
      <c r="P143" s="3" t="s">
        <v>3</v>
      </c>
      <c r="Q143" s="3">
        <v>360</v>
      </c>
      <c r="R143" s="3">
        <v>85</v>
      </c>
      <c r="S143" s="3">
        <v>30600</v>
      </c>
      <c r="T143" s="3">
        <v>3060</v>
      </c>
      <c r="U143" s="3">
        <v>33660</v>
      </c>
    </row>
    <row r="144" spans="1:21" x14ac:dyDescent="0.25">
      <c r="A144" s="1">
        <v>143</v>
      </c>
      <c r="B144" s="2">
        <v>45294</v>
      </c>
      <c r="C144" s="2">
        <v>45294</v>
      </c>
      <c r="D144" s="4">
        <v>2024</v>
      </c>
      <c r="E144" s="4">
        <v>1</v>
      </c>
      <c r="F144" s="4">
        <v>3</v>
      </c>
      <c r="G144" s="1" t="s">
        <v>31</v>
      </c>
      <c r="I144" s="1" t="s">
        <v>37</v>
      </c>
      <c r="J144" s="1" t="s">
        <v>38</v>
      </c>
      <c r="K144" s="3" t="s">
        <v>28</v>
      </c>
      <c r="L144" s="3" t="s">
        <v>6</v>
      </c>
      <c r="M144" s="3" t="s">
        <v>23</v>
      </c>
      <c r="N144" s="3" t="s">
        <v>4</v>
      </c>
      <c r="O144" s="3" t="s">
        <v>5</v>
      </c>
      <c r="P144" s="3" t="s">
        <v>3</v>
      </c>
      <c r="Q144" s="3">
        <v>260</v>
      </c>
      <c r="R144" s="3">
        <v>85</v>
      </c>
      <c r="S144" s="3">
        <v>22100</v>
      </c>
      <c r="T144" s="3">
        <v>2210</v>
      </c>
      <c r="U144" s="3">
        <v>24310.000000000004</v>
      </c>
    </row>
    <row r="145" spans="1:21" x14ac:dyDescent="0.25">
      <c r="A145" s="1">
        <v>144</v>
      </c>
      <c r="B145" s="2">
        <v>45294</v>
      </c>
      <c r="C145" s="2">
        <v>45294</v>
      </c>
      <c r="D145" s="4">
        <v>2024</v>
      </c>
      <c r="E145" s="4">
        <v>1</v>
      </c>
      <c r="F145" s="4">
        <v>3</v>
      </c>
      <c r="G145" s="1" t="s">
        <v>31</v>
      </c>
      <c r="I145" s="1" t="s">
        <v>55</v>
      </c>
      <c r="J145" s="1" t="s">
        <v>31</v>
      </c>
      <c r="K145" s="3" t="s">
        <v>119</v>
      </c>
      <c r="L145" s="3" t="s">
        <v>6</v>
      </c>
      <c r="M145" s="3" t="s">
        <v>23</v>
      </c>
      <c r="N145" s="3" t="s">
        <v>4</v>
      </c>
      <c r="O145" s="3" t="s">
        <v>2</v>
      </c>
      <c r="P145" s="3" t="s">
        <v>3</v>
      </c>
      <c r="Q145" s="3">
        <v>3640</v>
      </c>
      <c r="R145" s="3">
        <v>85</v>
      </c>
      <c r="S145" s="3">
        <v>309400</v>
      </c>
      <c r="T145" s="3">
        <v>30940</v>
      </c>
      <c r="U145" s="3">
        <v>340340</v>
      </c>
    </row>
    <row r="146" spans="1:21" x14ac:dyDescent="0.25">
      <c r="A146" s="1">
        <v>145</v>
      </c>
      <c r="B146" s="2">
        <v>45294</v>
      </c>
      <c r="C146" s="2">
        <v>45294</v>
      </c>
      <c r="D146" s="4">
        <v>2024</v>
      </c>
      <c r="E146" s="4">
        <v>1</v>
      </c>
      <c r="F146" s="4">
        <v>3</v>
      </c>
      <c r="G146" s="1" t="s">
        <v>31</v>
      </c>
      <c r="I146" s="1" t="s">
        <v>61</v>
      </c>
      <c r="J146" s="1" t="s">
        <v>62</v>
      </c>
      <c r="K146" s="3" t="s">
        <v>28</v>
      </c>
      <c r="L146" s="3" t="s">
        <v>6</v>
      </c>
      <c r="M146" s="3" t="s">
        <v>23</v>
      </c>
      <c r="N146" s="3" t="s">
        <v>4</v>
      </c>
      <c r="O146" s="3" t="s">
        <v>5</v>
      </c>
      <c r="P146" s="3" t="s">
        <v>3</v>
      </c>
      <c r="Q146" s="3">
        <v>110</v>
      </c>
      <c r="R146" s="3">
        <v>85</v>
      </c>
      <c r="S146" s="3">
        <v>9350</v>
      </c>
      <c r="T146" s="3">
        <v>935</v>
      </c>
      <c r="U146" s="3">
        <v>10285</v>
      </c>
    </row>
    <row r="147" spans="1:21" x14ac:dyDescent="0.25">
      <c r="A147" s="1">
        <v>146</v>
      </c>
      <c r="B147" s="2">
        <v>45294</v>
      </c>
      <c r="C147" s="2">
        <v>45294</v>
      </c>
      <c r="D147" s="4">
        <v>2024</v>
      </c>
      <c r="E147" s="4">
        <v>1</v>
      </c>
      <c r="F147" s="4">
        <v>3</v>
      </c>
      <c r="G147" s="1" t="s">
        <v>31</v>
      </c>
      <c r="I147" s="1" t="s">
        <v>100</v>
      </c>
      <c r="J147" s="1" t="s">
        <v>101</v>
      </c>
      <c r="K147" s="3" t="s">
        <v>28</v>
      </c>
      <c r="L147" s="3" t="s">
        <v>6</v>
      </c>
      <c r="M147" s="3" t="s">
        <v>23</v>
      </c>
      <c r="N147" s="3" t="s">
        <v>4</v>
      </c>
      <c r="O147" s="3" t="s">
        <v>5</v>
      </c>
      <c r="P147" s="3" t="s">
        <v>3</v>
      </c>
      <c r="Q147" s="3">
        <v>460</v>
      </c>
      <c r="R147" s="3">
        <v>85</v>
      </c>
      <c r="S147" s="3">
        <v>39100</v>
      </c>
      <c r="T147" s="3">
        <v>3910</v>
      </c>
      <c r="U147" s="3">
        <v>43010</v>
      </c>
    </row>
    <row r="148" spans="1:21" x14ac:dyDescent="0.25">
      <c r="A148" s="1">
        <v>147</v>
      </c>
      <c r="B148" s="2">
        <v>45294</v>
      </c>
      <c r="C148" s="2">
        <v>45294</v>
      </c>
      <c r="D148" s="4">
        <v>2024</v>
      </c>
      <c r="E148" s="4">
        <v>1</v>
      </c>
      <c r="F148" s="4">
        <v>3</v>
      </c>
      <c r="G148" s="1" t="s">
        <v>31</v>
      </c>
      <c r="I148" s="1" t="s">
        <v>57</v>
      </c>
      <c r="J148" s="1" t="s">
        <v>58</v>
      </c>
      <c r="K148" s="3" t="s">
        <v>28</v>
      </c>
      <c r="L148" s="3" t="s">
        <v>6</v>
      </c>
      <c r="M148" s="3" t="s">
        <v>23</v>
      </c>
      <c r="N148" s="3" t="s">
        <v>4</v>
      </c>
      <c r="O148" s="3" t="s">
        <v>5</v>
      </c>
      <c r="P148" s="3" t="s">
        <v>3</v>
      </c>
      <c r="Q148" s="3">
        <v>150</v>
      </c>
      <c r="R148" s="3">
        <v>85</v>
      </c>
      <c r="S148" s="3">
        <v>12750</v>
      </c>
      <c r="T148" s="3">
        <v>1275</v>
      </c>
      <c r="U148" s="3">
        <v>14025.000000000002</v>
      </c>
    </row>
    <row r="149" spans="1:21" x14ac:dyDescent="0.25">
      <c r="A149" s="1">
        <v>148</v>
      </c>
      <c r="B149" s="2">
        <v>45294</v>
      </c>
      <c r="C149" s="2">
        <v>45294</v>
      </c>
      <c r="D149" s="4">
        <v>2024</v>
      </c>
      <c r="E149" s="4">
        <v>1</v>
      </c>
      <c r="F149" s="4">
        <v>3</v>
      </c>
      <c r="G149" s="1" t="s">
        <v>31</v>
      </c>
      <c r="I149" s="1" t="s">
        <v>69</v>
      </c>
      <c r="J149" s="1" t="s">
        <v>70</v>
      </c>
      <c r="K149" s="3" t="s">
        <v>28</v>
      </c>
      <c r="L149" s="3" t="s">
        <v>6</v>
      </c>
      <c r="M149" s="3" t="s">
        <v>23</v>
      </c>
      <c r="N149" s="3" t="s">
        <v>4</v>
      </c>
      <c r="O149" s="3" t="s">
        <v>5</v>
      </c>
      <c r="P149" s="3" t="s">
        <v>3</v>
      </c>
      <c r="Q149" s="3">
        <v>160</v>
      </c>
      <c r="R149" s="3">
        <v>85</v>
      </c>
      <c r="S149" s="3">
        <v>13600</v>
      </c>
      <c r="T149" s="3">
        <v>1360</v>
      </c>
      <c r="U149" s="3">
        <v>14960.000000000002</v>
      </c>
    </row>
    <row r="150" spans="1:21" x14ac:dyDescent="0.25">
      <c r="A150" s="1">
        <v>149</v>
      </c>
      <c r="B150" s="2">
        <v>45294</v>
      </c>
      <c r="C150" s="2">
        <v>45294</v>
      </c>
      <c r="D150" s="4">
        <v>2024</v>
      </c>
      <c r="E150" s="4">
        <v>1</v>
      </c>
      <c r="F150" s="4">
        <v>3</v>
      </c>
      <c r="G150" s="1" t="s">
        <v>31</v>
      </c>
      <c r="I150" s="1" t="s">
        <v>100</v>
      </c>
      <c r="J150" s="1" t="s">
        <v>101</v>
      </c>
      <c r="K150" s="3" t="s">
        <v>28</v>
      </c>
      <c r="L150" s="3" t="s">
        <v>6</v>
      </c>
      <c r="M150" s="3" t="s">
        <v>23</v>
      </c>
      <c r="N150" s="3" t="s">
        <v>4</v>
      </c>
      <c r="O150" s="3" t="s">
        <v>5</v>
      </c>
      <c r="P150" s="3" t="s">
        <v>3</v>
      </c>
      <c r="Q150" s="3">
        <v>140</v>
      </c>
      <c r="R150" s="3">
        <v>85</v>
      </c>
      <c r="S150" s="3">
        <v>11900</v>
      </c>
      <c r="T150" s="3">
        <v>1190</v>
      </c>
      <c r="U150" s="3">
        <v>13090.000000000002</v>
      </c>
    </row>
    <row r="151" spans="1:21" x14ac:dyDescent="0.25">
      <c r="A151" s="1">
        <v>150</v>
      </c>
      <c r="B151" s="2">
        <v>45294</v>
      </c>
      <c r="C151" s="2">
        <v>45294</v>
      </c>
      <c r="D151" s="4">
        <v>2024</v>
      </c>
      <c r="E151" s="4">
        <v>1</v>
      </c>
      <c r="F151" s="4">
        <v>3</v>
      </c>
      <c r="G151" s="1" t="s">
        <v>31</v>
      </c>
      <c r="I151" s="1" t="s">
        <v>56</v>
      </c>
      <c r="J151" s="1" t="s">
        <v>31</v>
      </c>
      <c r="K151" s="3" t="s">
        <v>119</v>
      </c>
      <c r="L151" s="3" t="s">
        <v>6</v>
      </c>
      <c r="M151" s="3" t="s">
        <v>23</v>
      </c>
      <c r="N151" s="3" t="s">
        <v>4</v>
      </c>
      <c r="O151" s="3" t="s">
        <v>2</v>
      </c>
      <c r="P151" s="3" t="s">
        <v>3</v>
      </c>
      <c r="Q151" s="3">
        <v>3730</v>
      </c>
      <c r="R151" s="3">
        <v>85</v>
      </c>
      <c r="S151" s="3">
        <v>317050</v>
      </c>
      <c r="T151" s="3">
        <v>31705</v>
      </c>
      <c r="U151" s="3">
        <v>348755</v>
      </c>
    </row>
    <row r="152" spans="1:21" x14ac:dyDescent="0.25">
      <c r="A152" s="1">
        <v>151</v>
      </c>
      <c r="B152" s="2">
        <v>45294</v>
      </c>
      <c r="C152" s="2">
        <v>45294</v>
      </c>
      <c r="D152" s="4">
        <v>2024</v>
      </c>
      <c r="E152" s="4">
        <v>1</v>
      </c>
      <c r="F152" s="4">
        <v>3</v>
      </c>
      <c r="G152" s="1" t="s">
        <v>31</v>
      </c>
      <c r="I152" s="1" t="s">
        <v>65</v>
      </c>
      <c r="J152" s="1" t="s">
        <v>66</v>
      </c>
      <c r="K152" s="3" t="s">
        <v>28</v>
      </c>
      <c r="L152" s="3" t="s">
        <v>6</v>
      </c>
      <c r="M152" s="3" t="s">
        <v>23</v>
      </c>
      <c r="N152" s="3" t="s">
        <v>4</v>
      </c>
      <c r="O152" s="3" t="s">
        <v>5</v>
      </c>
      <c r="P152" s="3" t="s">
        <v>3</v>
      </c>
      <c r="Q152" s="3">
        <v>80</v>
      </c>
      <c r="R152" s="3">
        <v>85</v>
      </c>
      <c r="S152" s="3">
        <v>6800</v>
      </c>
      <c r="T152" s="3">
        <v>680</v>
      </c>
      <c r="U152" s="3">
        <v>7480.0000000000009</v>
      </c>
    </row>
    <row r="153" spans="1:21" x14ac:dyDescent="0.25">
      <c r="A153" s="1">
        <v>152</v>
      </c>
      <c r="B153" s="2">
        <v>45294</v>
      </c>
      <c r="C153" s="2">
        <v>45294</v>
      </c>
      <c r="D153" s="4">
        <v>2024</v>
      </c>
      <c r="E153" s="4">
        <v>1</v>
      </c>
      <c r="F153" s="4">
        <v>3</v>
      </c>
      <c r="G153" s="1" t="s">
        <v>31</v>
      </c>
      <c r="I153" s="1" t="s">
        <v>55</v>
      </c>
      <c r="J153" s="1" t="s">
        <v>31</v>
      </c>
      <c r="K153" s="3" t="s">
        <v>119</v>
      </c>
      <c r="L153" s="3" t="s">
        <v>6</v>
      </c>
      <c r="M153" s="3" t="s">
        <v>23</v>
      </c>
      <c r="N153" s="3" t="s">
        <v>4</v>
      </c>
      <c r="O153" s="3" t="s">
        <v>2</v>
      </c>
      <c r="P153" s="3" t="s">
        <v>3</v>
      </c>
      <c r="Q153" s="3">
        <v>3980</v>
      </c>
      <c r="R153" s="3">
        <v>85</v>
      </c>
      <c r="S153" s="3">
        <v>338300</v>
      </c>
      <c r="T153" s="3">
        <v>33830</v>
      </c>
      <c r="U153" s="3">
        <v>372130.00000000006</v>
      </c>
    </row>
    <row r="154" spans="1:21" x14ac:dyDescent="0.25">
      <c r="A154" s="1">
        <v>153</v>
      </c>
      <c r="B154" s="2">
        <v>45294</v>
      </c>
      <c r="C154" s="2">
        <v>45294</v>
      </c>
      <c r="D154" s="4">
        <v>2024</v>
      </c>
      <c r="E154" s="4">
        <v>1</v>
      </c>
      <c r="F154" s="4">
        <v>3</v>
      </c>
      <c r="G154" s="1" t="s">
        <v>31</v>
      </c>
      <c r="I154" s="1" t="s">
        <v>69</v>
      </c>
      <c r="J154" s="1" t="s">
        <v>70</v>
      </c>
      <c r="K154" s="3" t="s">
        <v>28</v>
      </c>
      <c r="L154" s="3" t="s">
        <v>6</v>
      </c>
      <c r="M154" s="3" t="s">
        <v>23</v>
      </c>
      <c r="N154" s="3" t="s">
        <v>4</v>
      </c>
      <c r="O154" s="3" t="s">
        <v>5</v>
      </c>
      <c r="P154" s="3" t="s">
        <v>3</v>
      </c>
      <c r="Q154" s="3">
        <v>160</v>
      </c>
      <c r="R154" s="3">
        <v>85</v>
      </c>
      <c r="S154" s="3">
        <v>13600</v>
      </c>
      <c r="T154" s="3">
        <v>1360</v>
      </c>
      <c r="U154" s="3">
        <v>14960.000000000002</v>
      </c>
    </row>
    <row r="155" spans="1:21" x14ac:dyDescent="0.25">
      <c r="A155" s="1">
        <v>154</v>
      </c>
      <c r="B155" s="2">
        <v>45294</v>
      </c>
      <c r="C155" s="2">
        <v>45294</v>
      </c>
      <c r="D155" s="4">
        <v>2024</v>
      </c>
      <c r="E155" s="4">
        <v>1</v>
      </c>
      <c r="F155" s="4">
        <v>3</v>
      </c>
      <c r="G155" s="1" t="s">
        <v>31</v>
      </c>
      <c r="I155" s="1" t="s">
        <v>67</v>
      </c>
      <c r="J155" s="1" t="s">
        <v>68</v>
      </c>
      <c r="K155" s="3" t="s">
        <v>28</v>
      </c>
      <c r="L155" s="3" t="s">
        <v>6</v>
      </c>
      <c r="M155" s="3" t="s">
        <v>23</v>
      </c>
      <c r="N155" s="3" t="s">
        <v>4</v>
      </c>
      <c r="O155" s="3" t="s">
        <v>5</v>
      </c>
      <c r="P155" s="3" t="s">
        <v>3</v>
      </c>
      <c r="Q155" s="3">
        <v>450</v>
      </c>
      <c r="R155" s="3">
        <v>85</v>
      </c>
      <c r="S155" s="3">
        <v>38250</v>
      </c>
      <c r="T155" s="3">
        <v>3825</v>
      </c>
      <c r="U155" s="3">
        <v>42075</v>
      </c>
    </row>
    <row r="156" spans="1:21" x14ac:dyDescent="0.25">
      <c r="A156" s="1">
        <v>155</v>
      </c>
      <c r="B156" s="2">
        <v>45294</v>
      </c>
      <c r="C156" s="2">
        <v>45294</v>
      </c>
      <c r="D156" s="4">
        <v>2024</v>
      </c>
      <c r="E156" s="4">
        <v>1</v>
      </c>
      <c r="F156" s="4">
        <v>3</v>
      </c>
      <c r="G156" s="1" t="s">
        <v>31</v>
      </c>
      <c r="I156" s="1" t="s">
        <v>67</v>
      </c>
      <c r="J156" s="1" t="s">
        <v>68</v>
      </c>
      <c r="K156" s="3" t="s">
        <v>28</v>
      </c>
      <c r="L156" s="3" t="s">
        <v>6</v>
      </c>
      <c r="M156" s="3" t="s">
        <v>23</v>
      </c>
      <c r="N156" s="3" t="s">
        <v>4</v>
      </c>
      <c r="O156" s="3" t="s">
        <v>5</v>
      </c>
      <c r="P156" s="3" t="s">
        <v>3</v>
      </c>
      <c r="Q156" s="3">
        <v>130</v>
      </c>
      <c r="R156" s="3">
        <v>85</v>
      </c>
      <c r="S156" s="3">
        <v>11050</v>
      </c>
      <c r="T156" s="3">
        <v>1105</v>
      </c>
      <c r="U156" s="3">
        <v>12155.000000000002</v>
      </c>
    </row>
    <row r="157" spans="1:21" x14ac:dyDescent="0.25">
      <c r="A157" s="1">
        <v>156</v>
      </c>
      <c r="B157" s="2">
        <v>45294</v>
      </c>
      <c r="C157" s="2">
        <v>45294</v>
      </c>
      <c r="D157" s="4">
        <v>2024</v>
      </c>
      <c r="E157" s="4">
        <v>1</v>
      </c>
      <c r="F157" s="4">
        <v>3</v>
      </c>
      <c r="G157" s="1" t="s">
        <v>30</v>
      </c>
      <c r="I157" s="1" t="s">
        <v>107</v>
      </c>
      <c r="J157" s="1" t="s">
        <v>108</v>
      </c>
      <c r="K157" s="3" t="s">
        <v>28</v>
      </c>
      <c r="L157" s="3" t="s">
        <v>6</v>
      </c>
      <c r="M157" s="3" t="s">
        <v>23</v>
      </c>
      <c r="N157" s="3" t="s">
        <v>4</v>
      </c>
      <c r="O157" s="3" t="s">
        <v>5</v>
      </c>
      <c r="P157" s="3" t="s">
        <v>3</v>
      </c>
      <c r="Q157" s="3">
        <v>120</v>
      </c>
      <c r="R157" s="3">
        <v>95</v>
      </c>
      <c r="S157" s="3">
        <v>11400</v>
      </c>
      <c r="T157" s="3">
        <v>1140</v>
      </c>
      <c r="U157" s="3">
        <v>12540.000000000002</v>
      </c>
    </row>
    <row r="158" spans="1:21" x14ac:dyDescent="0.25">
      <c r="A158" s="1">
        <v>157</v>
      </c>
      <c r="B158" s="2">
        <v>45294</v>
      </c>
      <c r="C158" s="2">
        <v>45294</v>
      </c>
      <c r="D158" s="4">
        <v>2024</v>
      </c>
      <c r="E158" s="4">
        <v>1</v>
      </c>
      <c r="F158" s="4">
        <v>3</v>
      </c>
      <c r="G158" s="1" t="s">
        <v>30</v>
      </c>
      <c r="I158" s="1" t="s">
        <v>86</v>
      </c>
      <c r="J158" s="1" t="s">
        <v>87</v>
      </c>
      <c r="K158" s="3" t="s">
        <v>28</v>
      </c>
      <c r="L158" s="3" t="s">
        <v>6</v>
      </c>
      <c r="M158" s="3" t="s">
        <v>23</v>
      </c>
      <c r="N158" s="3" t="s">
        <v>4</v>
      </c>
      <c r="O158" s="3" t="s">
        <v>5</v>
      </c>
      <c r="P158" s="3" t="s">
        <v>3</v>
      </c>
      <c r="Q158" s="3">
        <v>150</v>
      </c>
      <c r="R158" s="3">
        <v>95</v>
      </c>
      <c r="S158" s="3">
        <v>14250</v>
      </c>
      <c r="T158" s="3">
        <v>1425</v>
      </c>
      <c r="U158" s="3">
        <v>15675.000000000002</v>
      </c>
    </row>
    <row r="159" spans="1:21" x14ac:dyDescent="0.25">
      <c r="A159" s="1">
        <v>158</v>
      </c>
      <c r="B159" s="2">
        <v>45294</v>
      </c>
      <c r="C159" s="2">
        <v>45294</v>
      </c>
      <c r="D159" s="4">
        <v>2024</v>
      </c>
      <c r="E159" s="4">
        <v>1</v>
      </c>
      <c r="F159" s="4">
        <v>3</v>
      </c>
      <c r="G159" s="1" t="s">
        <v>30</v>
      </c>
      <c r="I159" s="1" t="s">
        <v>86</v>
      </c>
      <c r="J159" s="1" t="s">
        <v>87</v>
      </c>
      <c r="K159" s="3" t="s">
        <v>28</v>
      </c>
      <c r="L159" s="3" t="s">
        <v>6</v>
      </c>
      <c r="M159" s="3" t="s">
        <v>23</v>
      </c>
      <c r="N159" s="3" t="s">
        <v>4</v>
      </c>
      <c r="O159" s="3" t="s">
        <v>5</v>
      </c>
      <c r="P159" s="3" t="s">
        <v>3</v>
      </c>
      <c r="Q159" s="3">
        <v>190</v>
      </c>
      <c r="R159" s="3">
        <v>95</v>
      </c>
      <c r="S159" s="3">
        <v>18050</v>
      </c>
      <c r="T159" s="3">
        <v>1805</v>
      </c>
      <c r="U159" s="3">
        <v>19855</v>
      </c>
    </row>
    <row r="160" spans="1:21" x14ac:dyDescent="0.25">
      <c r="A160" s="1">
        <v>159</v>
      </c>
      <c r="B160" s="2">
        <v>45294</v>
      </c>
      <c r="C160" s="2">
        <v>45294</v>
      </c>
      <c r="D160" s="4">
        <v>2024</v>
      </c>
      <c r="E160" s="4">
        <v>1</v>
      </c>
      <c r="F160" s="4">
        <v>3</v>
      </c>
      <c r="G160" s="1" t="s">
        <v>30</v>
      </c>
      <c r="I160" s="1" t="s">
        <v>94</v>
      </c>
      <c r="J160" s="1" t="s">
        <v>95</v>
      </c>
      <c r="K160" s="3" t="s">
        <v>28</v>
      </c>
      <c r="L160" s="3" t="s">
        <v>6</v>
      </c>
      <c r="M160" s="3" t="s">
        <v>23</v>
      </c>
      <c r="N160" s="3" t="s">
        <v>4</v>
      </c>
      <c r="O160" s="3" t="s">
        <v>5</v>
      </c>
      <c r="P160" s="3" t="s">
        <v>3</v>
      </c>
      <c r="Q160" s="3">
        <v>140</v>
      </c>
      <c r="R160" s="3">
        <v>95</v>
      </c>
      <c r="S160" s="3">
        <v>13300</v>
      </c>
      <c r="T160" s="3">
        <v>1330</v>
      </c>
      <c r="U160" s="3">
        <v>14630.000000000002</v>
      </c>
    </row>
    <row r="161" spans="1:21" x14ac:dyDescent="0.25">
      <c r="A161" s="1">
        <v>160</v>
      </c>
      <c r="B161" s="2">
        <v>45294</v>
      </c>
      <c r="C161" s="2">
        <v>45294</v>
      </c>
      <c r="D161" s="4">
        <v>2024</v>
      </c>
      <c r="E161" s="4">
        <v>1</v>
      </c>
      <c r="F161" s="4">
        <v>3</v>
      </c>
      <c r="G161" s="1" t="s">
        <v>30</v>
      </c>
      <c r="I161" s="1" t="s">
        <v>92</v>
      </c>
      <c r="J161" s="1" t="s">
        <v>93</v>
      </c>
      <c r="K161" s="3" t="s">
        <v>28</v>
      </c>
      <c r="L161" s="3" t="s">
        <v>6</v>
      </c>
      <c r="M161" s="3" t="s">
        <v>23</v>
      </c>
      <c r="N161" s="3" t="s">
        <v>4</v>
      </c>
      <c r="O161" s="3" t="s">
        <v>5</v>
      </c>
      <c r="P161" s="3" t="s">
        <v>3</v>
      </c>
      <c r="Q161" s="3">
        <v>300</v>
      </c>
      <c r="R161" s="3">
        <v>95</v>
      </c>
      <c r="S161" s="3">
        <v>28500</v>
      </c>
      <c r="T161" s="3">
        <v>2850</v>
      </c>
      <c r="U161" s="3">
        <v>31350.000000000004</v>
      </c>
    </row>
    <row r="162" spans="1:21" x14ac:dyDescent="0.25">
      <c r="A162" s="1">
        <v>161</v>
      </c>
      <c r="B162" s="2">
        <v>45294</v>
      </c>
      <c r="C162" s="2">
        <v>45294</v>
      </c>
      <c r="D162" s="4">
        <v>2024</v>
      </c>
      <c r="E162" s="4">
        <v>1</v>
      </c>
      <c r="F162" s="4">
        <v>3</v>
      </c>
      <c r="G162" s="1" t="s">
        <v>30</v>
      </c>
      <c r="I162" s="1" t="s">
        <v>86</v>
      </c>
      <c r="J162" s="1" t="s">
        <v>87</v>
      </c>
      <c r="K162" s="3" t="s">
        <v>28</v>
      </c>
      <c r="L162" s="3" t="s">
        <v>6</v>
      </c>
      <c r="M162" s="3" t="s">
        <v>23</v>
      </c>
      <c r="N162" s="3" t="s">
        <v>4</v>
      </c>
      <c r="O162" s="3" t="s">
        <v>5</v>
      </c>
      <c r="P162" s="3" t="s">
        <v>3</v>
      </c>
      <c r="Q162" s="3">
        <v>170</v>
      </c>
      <c r="R162" s="3">
        <v>95</v>
      </c>
      <c r="S162" s="3">
        <v>16150</v>
      </c>
      <c r="T162" s="3">
        <v>1615</v>
      </c>
      <c r="U162" s="3">
        <v>17765</v>
      </c>
    </row>
    <row r="163" spans="1:21" x14ac:dyDescent="0.25">
      <c r="A163" s="1">
        <v>162</v>
      </c>
      <c r="B163" s="2">
        <v>45294</v>
      </c>
      <c r="C163" s="2">
        <v>45294</v>
      </c>
      <c r="D163" s="4">
        <v>2024</v>
      </c>
      <c r="E163" s="4">
        <v>1</v>
      </c>
      <c r="F163" s="4">
        <v>3</v>
      </c>
      <c r="G163" s="1" t="s">
        <v>30</v>
      </c>
      <c r="I163" s="1" t="s">
        <v>90</v>
      </c>
      <c r="J163" s="1" t="s">
        <v>91</v>
      </c>
      <c r="K163" s="3" t="s">
        <v>28</v>
      </c>
      <c r="L163" s="3" t="s">
        <v>6</v>
      </c>
      <c r="M163" s="3" t="s">
        <v>23</v>
      </c>
      <c r="N163" s="3" t="s">
        <v>4</v>
      </c>
      <c r="O163" s="3" t="s">
        <v>5</v>
      </c>
      <c r="P163" s="3" t="s">
        <v>3</v>
      </c>
      <c r="Q163" s="3">
        <v>240</v>
      </c>
      <c r="R163" s="3">
        <v>95</v>
      </c>
      <c r="S163" s="3">
        <v>22800</v>
      </c>
      <c r="T163" s="3">
        <v>2280</v>
      </c>
      <c r="U163" s="3">
        <v>25080.000000000004</v>
      </c>
    </row>
    <row r="164" spans="1:21" x14ac:dyDescent="0.25">
      <c r="A164" s="1">
        <v>163</v>
      </c>
      <c r="B164" s="2">
        <v>45294</v>
      </c>
      <c r="C164" s="2">
        <v>45294</v>
      </c>
      <c r="D164" s="4">
        <v>2024</v>
      </c>
      <c r="E164" s="4">
        <v>1</v>
      </c>
      <c r="F164" s="4">
        <v>3</v>
      </c>
      <c r="G164" s="1" t="s">
        <v>30</v>
      </c>
      <c r="I164" s="1" t="s">
        <v>88</v>
      </c>
      <c r="J164" s="1" t="s">
        <v>89</v>
      </c>
      <c r="K164" s="3" t="s">
        <v>28</v>
      </c>
      <c r="L164" s="3" t="s">
        <v>6</v>
      </c>
      <c r="M164" s="3" t="s">
        <v>23</v>
      </c>
      <c r="N164" s="3" t="s">
        <v>4</v>
      </c>
      <c r="O164" s="3" t="s">
        <v>5</v>
      </c>
      <c r="P164" s="3" t="s">
        <v>3</v>
      </c>
      <c r="Q164" s="3">
        <v>220</v>
      </c>
      <c r="R164" s="3">
        <v>95</v>
      </c>
      <c r="S164" s="3">
        <v>20900</v>
      </c>
      <c r="T164" s="3">
        <v>2090</v>
      </c>
      <c r="U164" s="3">
        <v>22990.000000000004</v>
      </c>
    </row>
    <row r="165" spans="1:21" x14ac:dyDescent="0.25">
      <c r="A165" s="1">
        <v>164</v>
      </c>
      <c r="B165" s="2">
        <v>45294</v>
      </c>
      <c r="C165" s="2">
        <v>45294</v>
      </c>
      <c r="D165" s="4">
        <v>2024</v>
      </c>
      <c r="E165" s="4">
        <v>1</v>
      </c>
      <c r="F165" s="4">
        <v>3</v>
      </c>
      <c r="G165" s="1" t="s">
        <v>30</v>
      </c>
      <c r="I165" s="1" t="s">
        <v>98</v>
      </c>
      <c r="J165" s="1" t="s">
        <v>99</v>
      </c>
      <c r="K165" s="3" t="s">
        <v>28</v>
      </c>
      <c r="L165" s="3" t="s">
        <v>6</v>
      </c>
      <c r="M165" s="3" t="s">
        <v>23</v>
      </c>
      <c r="N165" s="3" t="s">
        <v>4</v>
      </c>
      <c r="O165" s="3" t="s">
        <v>5</v>
      </c>
      <c r="P165" s="3" t="s">
        <v>3</v>
      </c>
      <c r="Q165" s="3">
        <v>180</v>
      </c>
      <c r="R165" s="3">
        <v>95</v>
      </c>
      <c r="S165" s="3">
        <v>17100</v>
      </c>
      <c r="T165" s="3">
        <v>1710</v>
      </c>
      <c r="U165" s="3">
        <v>18810</v>
      </c>
    </row>
    <row r="166" spans="1:21" x14ac:dyDescent="0.25">
      <c r="A166" s="1">
        <v>165</v>
      </c>
      <c r="B166" s="2">
        <v>45294</v>
      </c>
      <c r="C166" s="2">
        <v>45294</v>
      </c>
      <c r="D166" s="4">
        <v>2024</v>
      </c>
      <c r="E166" s="4">
        <v>1</v>
      </c>
      <c r="F166" s="4">
        <v>3</v>
      </c>
      <c r="G166" s="1" t="s">
        <v>30</v>
      </c>
      <c r="I166" s="1" t="s">
        <v>94</v>
      </c>
      <c r="J166" s="1" t="s">
        <v>95</v>
      </c>
      <c r="K166" s="3" t="s">
        <v>28</v>
      </c>
      <c r="L166" s="3" t="s">
        <v>6</v>
      </c>
      <c r="M166" s="3" t="s">
        <v>23</v>
      </c>
      <c r="N166" s="3" t="s">
        <v>4</v>
      </c>
      <c r="O166" s="3" t="s">
        <v>5</v>
      </c>
      <c r="P166" s="3" t="s">
        <v>3</v>
      </c>
      <c r="Q166" s="3">
        <v>150</v>
      </c>
      <c r="R166" s="3">
        <v>95</v>
      </c>
      <c r="S166" s="3">
        <v>14250</v>
      </c>
      <c r="T166" s="3">
        <v>1425</v>
      </c>
      <c r="U166" s="3">
        <v>15675.000000000002</v>
      </c>
    </row>
    <row r="167" spans="1:21" x14ac:dyDescent="0.25">
      <c r="A167" s="1">
        <v>166</v>
      </c>
      <c r="B167" s="2">
        <v>45294</v>
      </c>
      <c r="C167" s="2">
        <v>45294</v>
      </c>
      <c r="D167" s="4">
        <v>2024</v>
      </c>
      <c r="E167" s="4">
        <v>1</v>
      </c>
      <c r="F167" s="4">
        <v>3</v>
      </c>
      <c r="G167" s="1" t="s">
        <v>30</v>
      </c>
      <c r="I167" s="1" t="s">
        <v>84</v>
      </c>
      <c r="J167" s="1" t="s">
        <v>85</v>
      </c>
      <c r="K167" s="3" t="s">
        <v>28</v>
      </c>
      <c r="L167" s="3" t="s">
        <v>6</v>
      </c>
      <c r="M167" s="3" t="s">
        <v>23</v>
      </c>
      <c r="N167" s="3" t="s">
        <v>4</v>
      </c>
      <c r="O167" s="3" t="s">
        <v>5</v>
      </c>
      <c r="P167" s="3" t="s">
        <v>3</v>
      </c>
      <c r="Q167" s="3">
        <v>150</v>
      </c>
      <c r="R167" s="3">
        <v>95</v>
      </c>
      <c r="S167" s="3">
        <v>14250</v>
      </c>
      <c r="T167" s="3">
        <v>1425</v>
      </c>
      <c r="U167" s="3">
        <v>15675.000000000002</v>
      </c>
    </row>
    <row r="168" spans="1:21" x14ac:dyDescent="0.25">
      <c r="A168" s="1">
        <v>167</v>
      </c>
      <c r="B168" s="2">
        <v>45294</v>
      </c>
      <c r="C168" s="2">
        <v>45294</v>
      </c>
      <c r="D168" s="4">
        <v>2024</v>
      </c>
      <c r="E168" s="4">
        <v>1</v>
      </c>
      <c r="F168" s="4">
        <v>3</v>
      </c>
      <c r="G168" s="1" t="s">
        <v>30</v>
      </c>
      <c r="I168" s="1" t="s">
        <v>110</v>
      </c>
      <c r="J168" s="1" t="s">
        <v>111</v>
      </c>
      <c r="K168" s="3" t="s">
        <v>28</v>
      </c>
      <c r="L168" s="3" t="s">
        <v>6</v>
      </c>
      <c r="M168" s="3" t="s">
        <v>23</v>
      </c>
      <c r="N168" s="3" t="s">
        <v>4</v>
      </c>
      <c r="O168" s="3" t="s">
        <v>5</v>
      </c>
      <c r="P168" s="3" t="s">
        <v>3</v>
      </c>
      <c r="Q168" s="3">
        <v>270</v>
      </c>
      <c r="R168" s="3">
        <v>95</v>
      </c>
      <c r="S168" s="3">
        <v>25650</v>
      </c>
      <c r="T168" s="3">
        <v>2565</v>
      </c>
      <c r="U168" s="3">
        <v>28215.000000000004</v>
      </c>
    </row>
    <row r="169" spans="1:21" x14ac:dyDescent="0.25">
      <c r="A169" s="1">
        <v>168</v>
      </c>
      <c r="B169" s="2">
        <v>45294</v>
      </c>
      <c r="C169" s="2">
        <v>45294</v>
      </c>
      <c r="D169" s="4">
        <v>2024</v>
      </c>
      <c r="E169" s="4">
        <v>1</v>
      </c>
      <c r="F169" s="4">
        <v>3</v>
      </c>
      <c r="G169" s="1" t="s">
        <v>30</v>
      </c>
      <c r="I169" s="1" t="s">
        <v>86</v>
      </c>
      <c r="J169" s="1" t="s">
        <v>87</v>
      </c>
      <c r="K169" s="3" t="s">
        <v>28</v>
      </c>
      <c r="L169" s="3" t="s">
        <v>6</v>
      </c>
      <c r="M169" s="3" t="s">
        <v>23</v>
      </c>
      <c r="N169" s="3" t="s">
        <v>4</v>
      </c>
      <c r="O169" s="3" t="s">
        <v>5</v>
      </c>
      <c r="P169" s="3" t="s">
        <v>3</v>
      </c>
      <c r="Q169" s="3">
        <v>260</v>
      </c>
      <c r="R169" s="3">
        <v>95</v>
      </c>
      <c r="S169" s="3">
        <v>24700</v>
      </c>
      <c r="T169" s="3">
        <v>2470</v>
      </c>
      <c r="U169" s="3">
        <v>27170.000000000004</v>
      </c>
    </row>
    <row r="170" spans="1:21" x14ac:dyDescent="0.25">
      <c r="A170" s="1">
        <v>169</v>
      </c>
      <c r="B170" s="2">
        <v>45294</v>
      </c>
      <c r="C170" s="2">
        <v>45294</v>
      </c>
      <c r="D170" s="4">
        <v>2024</v>
      </c>
      <c r="E170" s="4">
        <v>1</v>
      </c>
      <c r="F170" s="4">
        <v>3</v>
      </c>
      <c r="G170" s="1" t="s">
        <v>30</v>
      </c>
      <c r="I170" s="1" t="s">
        <v>25</v>
      </c>
      <c r="J170" s="1" t="s">
        <v>29</v>
      </c>
      <c r="K170" s="3" t="s">
        <v>28</v>
      </c>
      <c r="L170" s="3" t="s">
        <v>6</v>
      </c>
      <c r="M170" s="3" t="s">
        <v>23</v>
      </c>
      <c r="N170" s="3" t="s">
        <v>4</v>
      </c>
      <c r="O170" s="3" t="s">
        <v>5</v>
      </c>
      <c r="P170" s="3" t="s">
        <v>3</v>
      </c>
      <c r="Q170" s="3">
        <v>250</v>
      </c>
      <c r="R170" s="3">
        <v>95</v>
      </c>
      <c r="S170" s="3">
        <v>23750</v>
      </c>
      <c r="T170" s="3">
        <v>2375</v>
      </c>
      <c r="U170" s="3">
        <v>26125.000000000004</v>
      </c>
    </row>
    <row r="171" spans="1:21" x14ac:dyDescent="0.25">
      <c r="A171" s="1">
        <v>170</v>
      </c>
      <c r="B171" s="2">
        <v>45294</v>
      </c>
      <c r="C171" s="2">
        <v>45294</v>
      </c>
      <c r="D171" s="4">
        <v>2024</v>
      </c>
      <c r="E171" s="4">
        <v>1</v>
      </c>
      <c r="F171" s="4">
        <v>3</v>
      </c>
      <c r="G171" s="1" t="s">
        <v>30</v>
      </c>
      <c r="I171" s="1" t="s">
        <v>90</v>
      </c>
      <c r="J171" s="1" t="s">
        <v>91</v>
      </c>
      <c r="K171" s="3" t="s">
        <v>28</v>
      </c>
      <c r="L171" s="3" t="s">
        <v>6</v>
      </c>
      <c r="M171" s="3" t="s">
        <v>23</v>
      </c>
      <c r="N171" s="3" t="s">
        <v>4</v>
      </c>
      <c r="O171" s="3" t="s">
        <v>5</v>
      </c>
      <c r="P171" s="3" t="s">
        <v>3</v>
      </c>
      <c r="Q171" s="3">
        <v>120</v>
      </c>
      <c r="R171" s="3">
        <v>95</v>
      </c>
      <c r="S171" s="3">
        <v>11400</v>
      </c>
      <c r="T171" s="3">
        <v>1140</v>
      </c>
      <c r="U171" s="3">
        <v>12540.000000000002</v>
      </c>
    </row>
    <row r="172" spans="1:21" x14ac:dyDescent="0.25">
      <c r="A172" s="1">
        <v>171</v>
      </c>
      <c r="B172" s="2">
        <v>45294</v>
      </c>
      <c r="C172" s="2">
        <v>45294</v>
      </c>
      <c r="D172" s="4">
        <v>2024</v>
      </c>
      <c r="E172" s="4">
        <v>1</v>
      </c>
      <c r="F172" s="4">
        <v>3</v>
      </c>
      <c r="G172" s="1" t="s">
        <v>30</v>
      </c>
      <c r="I172" s="1" t="s">
        <v>82</v>
      </c>
      <c r="J172" s="1" t="s">
        <v>83</v>
      </c>
      <c r="K172" s="3" t="s">
        <v>28</v>
      </c>
      <c r="L172" s="3" t="s">
        <v>6</v>
      </c>
      <c r="M172" s="3" t="s">
        <v>23</v>
      </c>
      <c r="N172" s="3" t="s">
        <v>4</v>
      </c>
      <c r="O172" s="3" t="s">
        <v>5</v>
      </c>
      <c r="P172" s="3" t="s">
        <v>3</v>
      </c>
      <c r="Q172" s="3">
        <v>120</v>
      </c>
      <c r="R172" s="3">
        <v>95</v>
      </c>
      <c r="S172" s="3">
        <v>11400</v>
      </c>
      <c r="T172" s="3">
        <v>1140</v>
      </c>
      <c r="U172" s="3">
        <v>12540.000000000002</v>
      </c>
    </row>
    <row r="173" spans="1:21" x14ac:dyDescent="0.25">
      <c r="A173" s="1">
        <v>172</v>
      </c>
      <c r="B173" s="2">
        <v>45294</v>
      </c>
      <c r="C173" s="2">
        <v>45294</v>
      </c>
      <c r="D173" s="4">
        <v>2024</v>
      </c>
      <c r="E173" s="4">
        <v>1</v>
      </c>
      <c r="F173" s="4">
        <v>3</v>
      </c>
      <c r="G173" s="1" t="s">
        <v>30</v>
      </c>
      <c r="I173" s="1" t="s">
        <v>94</v>
      </c>
      <c r="J173" s="1" t="s">
        <v>95</v>
      </c>
      <c r="K173" s="3" t="s">
        <v>28</v>
      </c>
      <c r="L173" s="3" t="s">
        <v>6</v>
      </c>
      <c r="M173" s="3" t="s">
        <v>23</v>
      </c>
      <c r="N173" s="3" t="s">
        <v>4</v>
      </c>
      <c r="O173" s="3" t="s">
        <v>5</v>
      </c>
      <c r="P173" s="3" t="s">
        <v>3</v>
      </c>
      <c r="Q173" s="3">
        <v>120</v>
      </c>
      <c r="R173" s="3">
        <v>95</v>
      </c>
      <c r="S173" s="3">
        <v>11400</v>
      </c>
      <c r="T173" s="3">
        <v>1140</v>
      </c>
      <c r="U173" s="3">
        <v>12540.000000000002</v>
      </c>
    </row>
    <row r="174" spans="1:21" x14ac:dyDescent="0.25">
      <c r="A174" s="1">
        <v>173</v>
      </c>
      <c r="B174" s="2">
        <v>45294</v>
      </c>
      <c r="C174" s="2">
        <v>45294</v>
      </c>
      <c r="D174" s="4">
        <v>2024</v>
      </c>
      <c r="E174" s="4">
        <v>1</v>
      </c>
      <c r="F174" s="4">
        <v>3</v>
      </c>
      <c r="G174" s="1" t="s">
        <v>30</v>
      </c>
      <c r="I174" s="1" t="s">
        <v>82</v>
      </c>
      <c r="J174" s="1" t="s">
        <v>83</v>
      </c>
      <c r="K174" s="3" t="s">
        <v>28</v>
      </c>
      <c r="L174" s="3" t="s">
        <v>6</v>
      </c>
      <c r="M174" s="3" t="s">
        <v>23</v>
      </c>
      <c r="N174" s="3" t="s">
        <v>4</v>
      </c>
      <c r="O174" s="3" t="s">
        <v>5</v>
      </c>
      <c r="P174" s="3" t="s">
        <v>3</v>
      </c>
      <c r="Q174" s="3">
        <v>110</v>
      </c>
      <c r="R174" s="3">
        <v>95</v>
      </c>
      <c r="S174" s="3">
        <v>10450</v>
      </c>
      <c r="T174" s="3">
        <v>1045</v>
      </c>
      <c r="U174" s="3">
        <v>11495.000000000002</v>
      </c>
    </row>
    <row r="175" spans="1:21" x14ac:dyDescent="0.25">
      <c r="A175" s="1">
        <v>174</v>
      </c>
      <c r="B175" s="2">
        <v>45294</v>
      </c>
      <c r="C175" s="2">
        <v>45294</v>
      </c>
      <c r="D175" s="4">
        <v>2024</v>
      </c>
      <c r="E175" s="4">
        <v>1</v>
      </c>
      <c r="F175" s="4">
        <v>3</v>
      </c>
      <c r="G175" s="1" t="s">
        <v>30</v>
      </c>
      <c r="I175" s="1" t="s">
        <v>104</v>
      </c>
      <c r="J175" s="1" t="s">
        <v>105</v>
      </c>
      <c r="K175" s="3" t="s">
        <v>28</v>
      </c>
      <c r="L175" s="3" t="s">
        <v>6</v>
      </c>
      <c r="M175" s="3" t="s">
        <v>23</v>
      </c>
      <c r="N175" s="3" t="s">
        <v>42</v>
      </c>
      <c r="O175" s="3" t="s">
        <v>5</v>
      </c>
      <c r="P175" s="3" t="s">
        <v>3</v>
      </c>
      <c r="Q175" s="3">
        <v>90</v>
      </c>
      <c r="R175" s="3">
        <v>190</v>
      </c>
      <c r="S175" s="3">
        <v>17100</v>
      </c>
      <c r="T175" s="3">
        <v>1710</v>
      </c>
      <c r="U175" s="3">
        <v>18810</v>
      </c>
    </row>
    <row r="176" spans="1:21" x14ac:dyDescent="0.25">
      <c r="A176" s="1">
        <v>175</v>
      </c>
      <c r="B176" s="2">
        <v>45294</v>
      </c>
      <c r="C176" s="2">
        <v>45294</v>
      </c>
      <c r="D176" s="4">
        <v>2024</v>
      </c>
      <c r="E176" s="4">
        <v>1</v>
      </c>
      <c r="F176" s="4">
        <v>3</v>
      </c>
      <c r="G176" s="1" t="s">
        <v>30</v>
      </c>
      <c r="I176" s="1" t="s">
        <v>104</v>
      </c>
      <c r="J176" s="1" t="s">
        <v>105</v>
      </c>
      <c r="K176" s="3" t="s">
        <v>28</v>
      </c>
      <c r="L176" s="3" t="s">
        <v>6</v>
      </c>
      <c r="M176" s="3" t="s">
        <v>23</v>
      </c>
      <c r="N176" s="3" t="s">
        <v>4</v>
      </c>
      <c r="O176" s="3" t="s">
        <v>5</v>
      </c>
      <c r="P176" s="3" t="s">
        <v>3</v>
      </c>
      <c r="Q176" s="3">
        <v>130</v>
      </c>
      <c r="R176" s="3">
        <v>95</v>
      </c>
      <c r="S176" s="3">
        <v>12350</v>
      </c>
      <c r="T176" s="3">
        <v>1235</v>
      </c>
      <c r="U176" s="3">
        <v>13585.000000000002</v>
      </c>
    </row>
    <row r="177" spans="1:21" x14ac:dyDescent="0.25">
      <c r="A177" s="1">
        <v>176</v>
      </c>
      <c r="B177" s="2">
        <v>45294</v>
      </c>
      <c r="C177" s="2">
        <v>45294</v>
      </c>
      <c r="D177" s="4">
        <v>2024</v>
      </c>
      <c r="E177" s="4">
        <v>1</v>
      </c>
      <c r="F177" s="4">
        <v>3</v>
      </c>
      <c r="G177" s="1" t="s">
        <v>30</v>
      </c>
      <c r="I177" s="1" t="s">
        <v>98</v>
      </c>
      <c r="J177" s="1" t="s">
        <v>99</v>
      </c>
      <c r="K177" s="3" t="s">
        <v>28</v>
      </c>
      <c r="L177" s="3" t="s">
        <v>6</v>
      </c>
      <c r="M177" s="3" t="s">
        <v>23</v>
      </c>
      <c r="N177" s="3" t="s">
        <v>4</v>
      </c>
      <c r="O177" s="3" t="s">
        <v>5</v>
      </c>
      <c r="P177" s="3" t="s">
        <v>3</v>
      </c>
      <c r="Q177" s="3">
        <v>180</v>
      </c>
      <c r="R177" s="3">
        <v>95</v>
      </c>
      <c r="S177" s="3">
        <v>17100</v>
      </c>
      <c r="T177" s="3">
        <v>1710</v>
      </c>
      <c r="U177" s="3">
        <v>18810</v>
      </c>
    </row>
    <row r="178" spans="1:21" x14ac:dyDescent="0.25">
      <c r="A178" s="1">
        <v>177</v>
      </c>
      <c r="B178" s="2">
        <v>45294</v>
      </c>
      <c r="C178" s="2">
        <v>45294</v>
      </c>
      <c r="D178" s="4">
        <v>2024</v>
      </c>
      <c r="E178" s="4">
        <v>1</v>
      </c>
      <c r="F178" s="4">
        <v>3</v>
      </c>
      <c r="G178" s="1" t="s">
        <v>30</v>
      </c>
      <c r="I178" s="1" t="s">
        <v>96</v>
      </c>
      <c r="J178" s="1" t="s">
        <v>97</v>
      </c>
      <c r="K178" s="3" t="s">
        <v>28</v>
      </c>
      <c r="L178" s="3" t="s">
        <v>6</v>
      </c>
      <c r="M178" s="3" t="s">
        <v>23</v>
      </c>
      <c r="N178" s="3" t="s">
        <v>4</v>
      </c>
      <c r="O178" s="3" t="s">
        <v>5</v>
      </c>
      <c r="P178" s="3" t="s">
        <v>3</v>
      </c>
      <c r="Q178" s="3">
        <v>110</v>
      </c>
      <c r="R178" s="3">
        <v>95</v>
      </c>
      <c r="S178" s="3">
        <v>10450</v>
      </c>
      <c r="T178" s="3">
        <v>1045</v>
      </c>
      <c r="U178" s="3">
        <v>11495.000000000002</v>
      </c>
    </row>
    <row r="179" spans="1:21" x14ac:dyDescent="0.25">
      <c r="A179" s="1">
        <v>178</v>
      </c>
      <c r="B179" s="2">
        <v>45294</v>
      </c>
      <c r="C179" s="2">
        <v>45294</v>
      </c>
      <c r="D179" s="4">
        <v>2024</v>
      </c>
      <c r="E179" s="4">
        <v>1</v>
      </c>
      <c r="F179" s="4">
        <v>3</v>
      </c>
      <c r="G179" s="1" t="s">
        <v>30</v>
      </c>
      <c r="I179" s="1" t="s">
        <v>84</v>
      </c>
      <c r="J179" s="1" t="s">
        <v>85</v>
      </c>
      <c r="K179" s="3" t="s">
        <v>28</v>
      </c>
      <c r="L179" s="3" t="s">
        <v>6</v>
      </c>
      <c r="M179" s="3" t="s">
        <v>23</v>
      </c>
      <c r="N179" s="3" t="s">
        <v>4</v>
      </c>
      <c r="O179" s="3" t="s">
        <v>5</v>
      </c>
      <c r="P179" s="3" t="s">
        <v>3</v>
      </c>
      <c r="Q179" s="3">
        <v>170</v>
      </c>
      <c r="R179" s="3">
        <v>95</v>
      </c>
      <c r="S179" s="3">
        <v>16150</v>
      </c>
      <c r="T179" s="3">
        <v>1615</v>
      </c>
      <c r="U179" s="3">
        <v>17765</v>
      </c>
    </row>
    <row r="180" spans="1:21" x14ac:dyDescent="0.25">
      <c r="A180" s="1">
        <v>179</v>
      </c>
      <c r="B180" s="2">
        <v>45294</v>
      </c>
      <c r="C180" s="2">
        <v>45294</v>
      </c>
      <c r="D180" s="4">
        <v>2024</v>
      </c>
      <c r="E180" s="4">
        <v>1</v>
      </c>
      <c r="F180" s="4">
        <v>3</v>
      </c>
      <c r="G180" s="1" t="s">
        <v>30</v>
      </c>
      <c r="I180" s="1" t="s">
        <v>98</v>
      </c>
      <c r="J180" s="1" t="s">
        <v>99</v>
      </c>
      <c r="K180" s="3" t="s">
        <v>28</v>
      </c>
      <c r="L180" s="3" t="s">
        <v>6</v>
      </c>
      <c r="M180" s="3" t="s">
        <v>23</v>
      </c>
      <c r="N180" s="3" t="s">
        <v>4</v>
      </c>
      <c r="O180" s="3" t="s">
        <v>5</v>
      </c>
      <c r="P180" s="3" t="s">
        <v>3</v>
      </c>
      <c r="Q180" s="3">
        <v>130</v>
      </c>
      <c r="R180" s="3">
        <v>95</v>
      </c>
      <c r="S180" s="3">
        <v>12350</v>
      </c>
      <c r="T180" s="3">
        <v>1235</v>
      </c>
      <c r="U180" s="3">
        <v>13585.000000000002</v>
      </c>
    </row>
    <row r="181" spans="1:21" x14ac:dyDescent="0.25">
      <c r="A181" s="1">
        <v>180</v>
      </c>
      <c r="B181" s="2">
        <v>45294</v>
      </c>
      <c r="C181" s="2">
        <v>45294</v>
      </c>
      <c r="D181" s="4">
        <v>2024</v>
      </c>
      <c r="E181" s="4">
        <v>1</v>
      </c>
      <c r="F181" s="4">
        <v>3</v>
      </c>
      <c r="G181" s="1" t="s">
        <v>30</v>
      </c>
      <c r="I181" s="1" t="s">
        <v>88</v>
      </c>
      <c r="J181" s="1" t="s">
        <v>89</v>
      </c>
      <c r="K181" s="3" t="s">
        <v>28</v>
      </c>
      <c r="L181" s="3" t="s">
        <v>6</v>
      </c>
      <c r="M181" s="3" t="s">
        <v>23</v>
      </c>
      <c r="N181" s="3" t="s">
        <v>4</v>
      </c>
      <c r="O181" s="3" t="s">
        <v>5</v>
      </c>
      <c r="P181" s="3" t="s">
        <v>3</v>
      </c>
      <c r="Q181" s="3">
        <v>450</v>
      </c>
      <c r="R181" s="3">
        <v>95</v>
      </c>
      <c r="S181" s="3">
        <v>42750</v>
      </c>
      <c r="T181" s="3">
        <v>4275</v>
      </c>
      <c r="U181" s="3">
        <v>47025.000000000007</v>
      </c>
    </row>
    <row r="182" spans="1:21" x14ac:dyDescent="0.25">
      <c r="A182" s="1">
        <v>181</v>
      </c>
      <c r="B182" s="2">
        <v>45295</v>
      </c>
      <c r="C182" s="2">
        <v>45295</v>
      </c>
      <c r="D182" s="4">
        <v>2024</v>
      </c>
      <c r="E182" s="4">
        <v>1</v>
      </c>
      <c r="F182" s="4">
        <v>4</v>
      </c>
      <c r="G182" s="1" t="s">
        <v>32</v>
      </c>
      <c r="I182" s="1" t="s">
        <v>41</v>
      </c>
      <c r="J182" s="1" t="s">
        <v>32</v>
      </c>
      <c r="K182" s="3" t="s">
        <v>119</v>
      </c>
      <c r="L182" s="3" t="s">
        <v>6</v>
      </c>
      <c r="M182" s="3" t="s">
        <v>23</v>
      </c>
      <c r="N182" s="3" t="s">
        <v>4</v>
      </c>
      <c r="O182" s="3" t="s">
        <v>2</v>
      </c>
      <c r="P182" s="3" t="s">
        <v>3</v>
      </c>
      <c r="Q182" s="3">
        <v>4875</v>
      </c>
      <c r="R182" s="3">
        <v>90</v>
      </c>
      <c r="S182" s="3">
        <v>438750</v>
      </c>
      <c r="T182" s="3">
        <v>43875</v>
      </c>
      <c r="U182" s="3">
        <v>482625.00000000006</v>
      </c>
    </row>
    <row r="183" spans="1:21" x14ac:dyDescent="0.25">
      <c r="A183" s="1">
        <v>182</v>
      </c>
      <c r="B183" s="2">
        <v>45295</v>
      </c>
      <c r="C183" s="2">
        <v>45295</v>
      </c>
      <c r="D183" s="4">
        <v>2024</v>
      </c>
      <c r="E183" s="4">
        <v>1</v>
      </c>
      <c r="F183" s="4">
        <v>4</v>
      </c>
      <c r="G183" s="1" t="s">
        <v>36</v>
      </c>
      <c r="I183" s="1" t="s">
        <v>49</v>
      </c>
      <c r="J183" s="1" t="s">
        <v>36</v>
      </c>
      <c r="K183" s="3" t="s">
        <v>119</v>
      </c>
      <c r="L183" s="3" t="s">
        <v>46</v>
      </c>
      <c r="M183" s="3" t="s">
        <v>23</v>
      </c>
      <c r="N183" s="3" t="s">
        <v>47</v>
      </c>
      <c r="O183" s="3" t="s">
        <v>2</v>
      </c>
      <c r="P183" s="3" t="s">
        <v>3</v>
      </c>
      <c r="Q183" s="3">
        <v>3015</v>
      </c>
      <c r="R183" s="3">
        <v>0</v>
      </c>
      <c r="S183" s="3">
        <v>0</v>
      </c>
      <c r="T183" s="3">
        <v>0</v>
      </c>
      <c r="U183" s="3">
        <v>0</v>
      </c>
    </row>
    <row r="184" spans="1:21" x14ac:dyDescent="0.25">
      <c r="A184" s="1">
        <v>183</v>
      </c>
      <c r="B184" s="2">
        <v>45295</v>
      </c>
      <c r="C184" s="2">
        <v>45295</v>
      </c>
      <c r="D184" s="4">
        <v>2024</v>
      </c>
      <c r="E184" s="4">
        <v>1</v>
      </c>
      <c r="F184" s="4">
        <v>4</v>
      </c>
      <c r="G184" s="1" t="s">
        <v>36</v>
      </c>
      <c r="I184" s="1" t="s">
        <v>48</v>
      </c>
      <c r="J184" s="1" t="s">
        <v>36</v>
      </c>
      <c r="K184" s="3" t="s">
        <v>119</v>
      </c>
      <c r="L184" s="3" t="s">
        <v>46</v>
      </c>
      <c r="M184" s="3" t="s">
        <v>23</v>
      </c>
      <c r="N184" s="3" t="s">
        <v>47</v>
      </c>
      <c r="O184" s="3" t="s">
        <v>2</v>
      </c>
      <c r="P184" s="3" t="s">
        <v>3</v>
      </c>
      <c r="Q184" s="3">
        <v>3255</v>
      </c>
      <c r="R184" s="3">
        <v>0</v>
      </c>
      <c r="S184" s="3">
        <v>0</v>
      </c>
      <c r="T184" s="3">
        <v>0</v>
      </c>
      <c r="U184" s="3">
        <v>0</v>
      </c>
    </row>
    <row r="185" spans="1:21" x14ac:dyDescent="0.25">
      <c r="A185" s="1">
        <v>184</v>
      </c>
      <c r="B185" s="2">
        <v>45295</v>
      </c>
      <c r="C185" s="2">
        <v>45295</v>
      </c>
      <c r="D185" s="4">
        <v>2024</v>
      </c>
      <c r="E185" s="4">
        <v>1</v>
      </c>
      <c r="F185" s="4">
        <v>4</v>
      </c>
      <c r="G185" s="1" t="s">
        <v>36</v>
      </c>
      <c r="I185" s="1" t="s">
        <v>118</v>
      </c>
      <c r="J185" s="1" t="s">
        <v>36</v>
      </c>
      <c r="K185" s="3" t="s">
        <v>119</v>
      </c>
      <c r="L185" s="3" t="s">
        <v>77</v>
      </c>
      <c r="M185" s="3" t="s">
        <v>23</v>
      </c>
      <c r="N185" s="3" t="s">
        <v>78</v>
      </c>
      <c r="O185" s="3" t="s">
        <v>2</v>
      </c>
      <c r="P185" s="3" t="s">
        <v>3</v>
      </c>
      <c r="Q185" s="3">
        <v>4115</v>
      </c>
      <c r="R185" s="3">
        <v>0</v>
      </c>
      <c r="S185" s="3">
        <v>0</v>
      </c>
      <c r="T185" s="3">
        <v>0</v>
      </c>
      <c r="U185" s="3">
        <v>0</v>
      </c>
    </row>
    <row r="186" spans="1:21" x14ac:dyDescent="0.25">
      <c r="A186" s="1">
        <v>185</v>
      </c>
      <c r="B186" s="2">
        <v>45295</v>
      </c>
      <c r="C186" s="2">
        <v>45295</v>
      </c>
      <c r="D186" s="4">
        <v>2024</v>
      </c>
      <c r="E186" s="4">
        <v>1</v>
      </c>
      <c r="F186" s="4">
        <v>4</v>
      </c>
      <c r="G186" s="1" t="s">
        <v>32</v>
      </c>
      <c r="I186" s="1" t="s">
        <v>41</v>
      </c>
      <c r="J186" s="1" t="s">
        <v>32</v>
      </c>
      <c r="K186" s="3" t="s">
        <v>119</v>
      </c>
      <c r="L186" s="3" t="s">
        <v>6</v>
      </c>
      <c r="M186" s="3" t="s">
        <v>23</v>
      </c>
      <c r="N186" s="3" t="s">
        <v>4</v>
      </c>
      <c r="O186" s="3" t="s">
        <v>2</v>
      </c>
      <c r="P186" s="3" t="s">
        <v>3</v>
      </c>
      <c r="Q186" s="3">
        <v>5475</v>
      </c>
      <c r="R186" s="3">
        <v>90</v>
      </c>
      <c r="S186" s="3">
        <v>492750</v>
      </c>
      <c r="T186" s="3">
        <v>49275</v>
      </c>
      <c r="U186" s="3">
        <v>542025</v>
      </c>
    </row>
    <row r="187" spans="1:21" x14ac:dyDescent="0.25">
      <c r="A187" s="1">
        <v>186</v>
      </c>
      <c r="B187" s="2">
        <v>45295</v>
      </c>
      <c r="C187" s="2">
        <v>45295</v>
      </c>
      <c r="D187" s="4">
        <v>2024</v>
      </c>
      <c r="E187" s="4">
        <v>1</v>
      </c>
      <c r="F187" s="4">
        <v>4</v>
      </c>
      <c r="G187" s="1" t="s">
        <v>129</v>
      </c>
      <c r="I187" s="1" t="s">
        <v>130</v>
      </c>
      <c r="J187" s="1" t="s">
        <v>129</v>
      </c>
      <c r="K187" s="3" t="s">
        <v>131</v>
      </c>
      <c r="L187" s="3" t="s">
        <v>132</v>
      </c>
      <c r="M187" s="3" t="s">
        <v>23</v>
      </c>
      <c r="N187" s="3" t="s">
        <v>133</v>
      </c>
      <c r="O187" s="3" t="s">
        <v>2</v>
      </c>
      <c r="P187" s="3" t="s">
        <v>3</v>
      </c>
      <c r="Q187" s="3">
        <v>1405</v>
      </c>
      <c r="R187" s="3">
        <v>450</v>
      </c>
      <c r="S187" s="3">
        <v>632250</v>
      </c>
      <c r="T187" s="3">
        <v>63225</v>
      </c>
      <c r="U187" s="3">
        <v>695475</v>
      </c>
    </row>
    <row r="188" spans="1:21" x14ac:dyDescent="0.25">
      <c r="A188" s="1">
        <v>187</v>
      </c>
      <c r="B188" s="2">
        <v>45295</v>
      </c>
      <c r="C188" s="2">
        <v>45295</v>
      </c>
      <c r="D188" s="4">
        <v>2024</v>
      </c>
      <c r="E188" s="4">
        <v>1</v>
      </c>
      <c r="F188" s="4">
        <v>4</v>
      </c>
      <c r="G188" s="1" t="s">
        <v>36</v>
      </c>
      <c r="I188" s="1" t="s">
        <v>81</v>
      </c>
      <c r="J188" s="1" t="s">
        <v>36</v>
      </c>
      <c r="K188" s="3" t="s">
        <v>119</v>
      </c>
      <c r="L188" s="3" t="s">
        <v>46</v>
      </c>
      <c r="M188" s="3" t="s">
        <v>23</v>
      </c>
      <c r="N188" s="3" t="s">
        <v>47</v>
      </c>
      <c r="O188" s="3" t="s">
        <v>2</v>
      </c>
      <c r="P188" s="3" t="s">
        <v>3</v>
      </c>
      <c r="Q188" s="3">
        <v>3035</v>
      </c>
      <c r="R188" s="3">
        <v>0</v>
      </c>
      <c r="S188" s="3">
        <v>0</v>
      </c>
      <c r="T188" s="3">
        <v>0</v>
      </c>
      <c r="U188" s="3">
        <v>0</v>
      </c>
    </row>
    <row r="189" spans="1:21" x14ac:dyDescent="0.25">
      <c r="A189" s="1">
        <v>188</v>
      </c>
      <c r="B189" s="2">
        <v>45295</v>
      </c>
      <c r="C189" s="2">
        <v>45295</v>
      </c>
      <c r="D189" s="4">
        <v>2024</v>
      </c>
      <c r="E189" s="4">
        <v>1</v>
      </c>
      <c r="F189" s="4">
        <v>4</v>
      </c>
      <c r="G189" s="1" t="s">
        <v>32</v>
      </c>
      <c r="I189" s="1" t="s">
        <v>40</v>
      </c>
      <c r="J189" s="1" t="s">
        <v>32</v>
      </c>
      <c r="K189" s="3" t="s">
        <v>119</v>
      </c>
      <c r="L189" s="3" t="s">
        <v>6</v>
      </c>
      <c r="M189" s="3" t="s">
        <v>23</v>
      </c>
      <c r="N189" s="3" t="s">
        <v>4</v>
      </c>
      <c r="O189" s="3" t="s">
        <v>2</v>
      </c>
      <c r="P189" s="3" t="s">
        <v>3</v>
      </c>
      <c r="Q189" s="3">
        <v>4750</v>
      </c>
      <c r="R189" s="3">
        <v>90</v>
      </c>
      <c r="S189" s="3">
        <v>427500</v>
      </c>
      <c r="T189" s="3">
        <v>42750</v>
      </c>
      <c r="U189" s="3">
        <v>470250.00000000006</v>
      </c>
    </row>
    <row r="190" spans="1:21" x14ac:dyDescent="0.25">
      <c r="A190" s="1">
        <v>189</v>
      </c>
      <c r="B190" s="2">
        <v>45295</v>
      </c>
      <c r="C190" s="2">
        <v>45295</v>
      </c>
      <c r="D190" s="4">
        <v>2024</v>
      </c>
      <c r="E190" s="4">
        <v>1</v>
      </c>
      <c r="F190" s="4">
        <v>4</v>
      </c>
      <c r="G190" s="1" t="s">
        <v>36</v>
      </c>
      <c r="I190" s="1" t="s">
        <v>134</v>
      </c>
      <c r="J190" s="1" t="s">
        <v>36</v>
      </c>
      <c r="K190" s="3" t="s">
        <v>119</v>
      </c>
      <c r="L190" s="3" t="s">
        <v>46</v>
      </c>
      <c r="M190" s="3" t="s">
        <v>23</v>
      </c>
      <c r="N190" s="3" t="s">
        <v>47</v>
      </c>
      <c r="O190" s="3" t="s">
        <v>2</v>
      </c>
      <c r="P190" s="3" t="s">
        <v>3</v>
      </c>
      <c r="Q190" s="3">
        <v>2355</v>
      </c>
      <c r="R190" s="3">
        <v>0</v>
      </c>
      <c r="S190" s="3">
        <v>0</v>
      </c>
      <c r="T190" s="3">
        <v>0</v>
      </c>
      <c r="U190" s="3">
        <v>0</v>
      </c>
    </row>
    <row r="191" spans="1:21" x14ac:dyDescent="0.25">
      <c r="A191" s="1">
        <v>190</v>
      </c>
      <c r="B191" s="2">
        <v>45295</v>
      </c>
      <c r="C191" s="2">
        <v>45295</v>
      </c>
      <c r="D191" s="4">
        <v>2024</v>
      </c>
      <c r="E191" s="4">
        <v>1</v>
      </c>
      <c r="F191" s="4">
        <v>4</v>
      </c>
      <c r="G191" s="1" t="s">
        <v>36</v>
      </c>
      <c r="I191" s="1" t="s">
        <v>80</v>
      </c>
      <c r="J191" s="1" t="s">
        <v>36</v>
      </c>
      <c r="K191" s="3" t="s">
        <v>119</v>
      </c>
      <c r="L191" s="3" t="s">
        <v>46</v>
      </c>
      <c r="M191" s="3" t="s">
        <v>23</v>
      </c>
      <c r="N191" s="3" t="s">
        <v>47</v>
      </c>
      <c r="O191" s="3" t="s">
        <v>2</v>
      </c>
      <c r="P191" s="3" t="s">
        <v>3</v>
      </c>
      <c r="Q191" s="3">
        <v>3125</v>
      </c>
      <c r="R191" s="3">
        <v>0</v>
      </c>
      <c r="S191" s="3">
        <v>0</v>
      </c>
      <c r="T191" s="3">
        <v>0</v>
      </c>
      <c r="U191" s="3">
        <v>0</v>
      </c>
    </row>
    <row r="192" spans="1:21" x14ac:dyDescent="0.25">
      <c r="A192" s="1">
        <v>191</v>
      </c>
      <c r="B192" s="2">
        <v>45295</v>
      </c>
      <c r="C192" s="2">
        <v>45295</v>
      </c>
      <c r="D192" s="4">
        <v>2024</v>
      </c>
      <c r="E192" s="4">
        <v>1</v>
      </c>
      <c r="F192" s="4">
        <v>4</v>
      </c>
      <c r="G192" s="1" t="s">
        <v>30</v>
      </c>
      <c r="I192" s="1" t="s">
        <v>107</v>
      </c>
      <c r="J192" s="1" t="s">
        <v>108</v>
      </c>
      <c r="K192" s="3" t="s">
        <v>28</v>
      </c>
      <c r="L192" s="3" t="s">
        <v>6</v>
      </c>
      <c r="M192" s="3" t="s">
        <v>23</v>
      </c>
      <c r="N192" s="3" t="s">
        <v>4</v>
      </c>
      <c r="O192" s="3" t="s">
        <v>5</v>
      </c>
      <c r="P192" s="3" t="s">
        <v>3</v>
      </c>
      <c r="Q192" s="3">
        <v>150</v>
      </c>
      <c r="R192" s="3">
        <v>95</v>
      </c>
      <c r="S192" s="3">
        <v>14250</v>
      </c>
      <c r="T192" s="3">
        <v>1425</v>
      </c>
      <c r="U192" s="3">
        <v>15675.000000000002</v>
      </c>
    </row>
    <row r="193" spans="1:21" x14ac:dyDescent="0.25">
      <c r="A193" s="1">
        <v>192</v>
      </c>
      <c r="B193" s="2">
        <v>45295</v>
      </c>
      <c r="C193" s="2">
        <v>45295</v>
      </c>
      <c r="D193" s="4">
        <v>2024</v>
      </c>
      <c r="E193" s="4">
        <v>1</v>
      </c>
      <c r="F193" s="4">
        <v>4</v>
      </c>
      <c r="G193" s="1" t="s">
        <v>30</v>
      </c>
      <c r="I193" s="1" t="s">
        <v>86</v>
      </c>
      <c r="J193" s="1" t="s">
        <v>87</v>
      </c>
      <c r="K193" s="3" t="s">
        <v>28</v>
      </c>
      <c r="L193" s="3" t="s">
        <v>6</v>
      </c>
      <c r="M193" s="3" t="s">
        <v>23</v>
      </c>
      <c r="N193" s="3" t="s">
        <v>4</v>
      </c>
      <c r="O193" s="3" t="s">
        <v>5</v>
      </c>
      <c r="P193" s="3" t="s">
        <v>3</v>
      </c>
      <c r="Q193" s="3">
        <v>210</v>
      </c>
      <c r="R193" s="3">
        <v>95</v>
      </c>
      <c r="S193" s="3">
        <v>19950</v>
      </c>
      <c r="T193" s="3">
        <v>1995</v>
      </c>
      <c r="U193" s="3">
        <v>21945</v>
      </c>
    </row>
    <row r="194" spans="1:21" x14ac:dyDescent="0.25">
      <c r="A194" s="1">
        <v>193</v>
      </c>
      <c r="B194" s="2">
        <v>45295</v>
      </c>
      <c r="C194" s="2">
        <v>45295</v>
      </c>
      <c r="D194" s="4">
        <v>2024</v>
      </c>
      <c r="E194" s="4">
        <v>1</v>
      </c>
      <c r="F194" s="4">
        <v>4</v>
      </c>
      <c r="G194" s="1" t="s">
        <v>30</v>
      </c>
      <c r="I194" s="1" t="s">
        <v>86</v>
      </c>
      <c r="J194" s="1" t="s">
        <v>87</v>
      </c>
      <c r="K194" s="3" t="s">
        <v>28</v>
      </c>
      <c r="L194" s="3" t="s">
        <v>6</v>
      </c>
      <c r="M194" s="3" t="s">
        <v>23</v>
      </c>
      <c r="N194" s="3" t="s">
        <v>4</v>
      </c>
      <c r="O194" s="3" t="s">
        <v>5</v>
      </c>
      <c r="P194" s="3" t="s">
        <v>3</v>
      </c>
      <c r="Q194" s="3">
        <v>200</v>
      </c>
      <c r="R194" s="3">
        <v>95</v>
      </c>
      <c r="S194" s="3">
        <v>19000</v>
      </c>
      <c r="T194" s="3">
        <v>1900</v>
      </c>
      <c r="U194" s="3">
        <v>20900</v>
      </c>
    </row>
    <row r="195" spans="1:21" x14ac:dyDescent="0.25">
      <c r="A195" s="1">
        <v>194</v>
      </c>
      <c r="B195" s="2">
        <v>45295</v>
      </c>
      <c r="C195" s="2">
        <v>45295</v>
      </c>
      <c r="D195" s="4">
        <v>2024</v>
      </c>
      <c r="E195" s="4">
        <v>1</v>
      </c>
      <c r="F195" s="4">
        <v>4</v>
      </c>
      <c r="G195" s="1" t="s">
        <v>30</v>
      </c>
      <c r="I195" s="1" t="s">
        <v>88</v>
      </c>
      <c r="J195" s="1" t="s">
        <v>89</v>
      </c>
      <c r="K195" s="3" t="s">
        <v>28</v>
      </c>
      <c r="L195" s="3" t="s">
        <v>6</v>
      </c>
      <c r="M195" s="3" t="s">
        <v>23</v>
      </c>
      <c r="N195" s="3" t="s">
        <v>4</v>
      </c>
      <c r="O195" s="3" t="s">
        <v>5</v>
      </c>
      <c r="P195" s="3" t="s">
        <v>3</v>
      </c>
      <c r="Q195" s="3">
        <v>190</v>
      </c>
      <c r="R195" s="3">
        <v>95</v>
      </c>
      <c r="S195" s="3">
        <v>18050</v>
      </c>
      <c r="T195" s="3">
        <v>1805</v>
      </c>
      <c r="U195" s="3">
        <v>19855</v>
      </c>
    </row>
    <row r="196" spans="1:21" x14ac:dyDescent="0.25">
      <c r="A196" s="1">
        <v>195</v>
      </c>
      <c r="B196" s="2">
        <v>45295</v>
      </c>
      <c r="C196" s="2">
        <v>45295</v>
      </c>
      <c r="D196" s="4">
        <v>2024</v>
      </c>
      <c r="E196" s="4">
        <v>1</v>
      </c>
      <c r="F196" s="4">
        <v>4</v>
      </c>
      <c r="G196" s="1" t="s">
        <v>30</v>
      </c>
      <c r="I196" s="1" t="s">
        <v>94</v>
      </c>
      <c r="J196" s="1" t="s">
        <v>95</v>
      </c>
      <c r="K196" s="3" t="s">
        <v>28</v>
      </c>
      <c r="L196" s="3" t="s">
        <v>6</v>
      </c>
      <c r="M196" s="3" t="s">
        <v>23</v>
      </c>
      <c r="N196" s="3" t="s">
        <v>4</v>
      </c>
      <c r="O196" s="3" t="s">
        <v>5</v>
      </c>
      <c r="P196" s="3" t="s">
        <v>3</v>
      </c>
      <c r="Q196" s="3">
        <v>210</v>
      </c>
      <c r="R196" s="3">
        <v>95</v>
      </c>
      <c r="S196" s="3">
        <v>19950</v>
      </c>
      <c r="T196" s="3">
        <v>1995</v>
      </c>
      <c r="U196" s="3">
        <v>21945</v>
      </c>
    </row>
    <row r="197" spans="1:21" x14ac:dyDescent="0.25">
      <c r="A197" s="1">
        <v>196</v>
      </c>
      <c r="B197" s="2">
        <v>45295</v>
      </c>
      <c r="C197" s="2">
        <v>45295</v>
      </c>
      <c r="D197" s="4">
        <v>2024</v>
      </c>
      <c r="E197" s="4">
        <v>1</v>
      </c>
      <c r="F197" s="4">
        <v>4</v>
      </c>
      <c r="G197" s="1" t="s">
        <v>30</v>
      </c>
      <c r="I197" s="1" t="s">
        <v>98</v>
      </c>
      <c r="J197" s="1" t="s">
        <v>99</v>
      </c>
      <c r="K197" s="3" t="s">
        <v>28</v>
      </c>
      <c r="L197" s="3" t="s">
        <v>6</v>
      </c>
      <c r="M197" s="3" t="s">
        <v>23</v>
      </c>
      <c r="N197" s="3" t="s">
        <v>4</v>
      </c>
      <c r="O197" s="3" t="s">
        <v>5</v>
      </c>
      <c r="P197" s="3" t="s">
        <v>3</v>
      </c>
      <c r="Q197" s="3">
        <v>150</v>
      </c>
      <c r="R197" s="3">
        <v>95</v>
      </c>
      <c r="S197" s="3">
        <v>14250</v>
      </c>
      <c r="T197" s="3">
        <v>1425</v>
      </c>
      <c r="U197" s="3">
        <v>15675.000000000002</v>
      </c>
    </row>
    <row r="198" spans="1:21" x14ac:dyDescent="0.25">
      <c r="A198" s="1">
        <v>197</v>
      </c>
      <c r="B198" s="2">
        <v>45295</v>
      </c>
      <c r="C198" s="2">
        <v>45295</v>
      </c>
      <c r="D198" s="4">
        <v>2024</v>
      </c>
      <c r="E198" s="4">
        <v>1</v>
      </c>
      <c r="F198" s="4">
        <v>4</v>
      </c>
      <c r="G198" s="1" t="s">
        <v>30</v>
      </c>
      <c r="I198" s="1" t="s">
        <v>82</v>
      </c>
      <c r="J198" s="1" t="s">
        <v>83</v>
      </c>
      <c r="K198" s="3" t="s">
        <v>28</v>
      </c>
      <c r="L198" s="3" t="s">
        <v>6</v>
      </c>
      <c r="M198" s="3" t="s">
        <v>23</v>
      </c>
      <c r="N198" s="3" t="s">
        <v>4</v>
      </c>
      <c r="O198" s="3" t="s">
        <v>5</v>
      </c>
      <c r="P198" s="3" t="s">
        <v>3</v>
      </c>
      <c r="Q198" s="3">
        <v>150</v>
      </c>
      <c r="R198" s="3">
        <v>95</v>
      </c>
      <c r="S198" s="3">
        <v>14250</v>
      </c>
      <c r="T198" s="3">
        <v>1425</v>
      </c>
      <c r="U198" s="3">
        <v>15675.000000000002</v>
      </c>
    </row>
    <row r="199" spans="1:21" x14ac:dyDescent="0.25">
      <c r="A199" s="1">
        <v>198</v>
      </c>
      <c r="B199" s="2">
        <v>45295</v>
      </c>
      <c r="C199" s="2">
        <v>45295</v>
      </c>
      <c r="D199" s="4">
        <v>2024</v>
      </c>
      <c r="E199" s="4">
        <v>1</v>
      </c>
      <c r="F199" s="4">
        <v>4</v>
      </c>
      <c r="G199" s="1" t="s">
        <v>30</v>
      </c>
      <c r="I199" s="1" t="s">
        <v>90</v>
      </c>
      <c r="J199" s="1" t="s">
        <v>91</v>
      </c>
      <c r="K199" s="3" t="s">
        <v>28</v>
      </c>
      <c r="L199" s="3" t="s">
        <v>6</v>
      </c>
      <c r="M199" s="3" t="s">
        <v>23</v>
      </c>
      <c r="N199" s="3" t="s">
        <v>4</v>
      </c>
      <c r="O199" s="3" t="s">
        <v>5</v>
      </c>
      <c r="P199" s="3" t="s">
        <v>3</v>
      </c>
      <c r="Q199" s="3">
        <v>250</v>
      </c>
      <c r="R199" s="3">
        <v>95</v>
      </c>
      <c r="S199" s="3">
        <v>23750</v>
      </c>
      <c r="T199" s="3">
        <v>2375</v>
      </c>
      <c r="U199" s="3">
        <v>26125.000000000004</v>
      </c>
    </row>
    <row r="200" spans="1:21" x14ac:dyDescent="0.25">
      <c r="A200" s="1">
        <v>199</v>
      </c>
      <c r="B200" s="2">
        <v>45295</v>
      </c>
      <c r="C200" s="2">
        <v>45295</v>
      </c>
      <c r="D200" s="4">
        <v>2024</v>
      </c>
      <c r="E200" s="4">
        <v>1</v>
      </c>
      <c r="F200" s="4">
        <v>4</v>
      </c>
      <c r="G200" s="1" t="s">
        <v>30</v>
      </c>
      <c r="I200" s="1" t="s">
        <v>86</v>
      </c>
      <c r="J200" s="1" t="s">
        <v>87</v>
      </c>
      <c r="K200" s="3" t="s">
        <v>28</v>
      </c>
      <c r="L200" s="3" t="s">
        <v>6</v>
      </c>
      <c r="M200" s="3" t="s">
        <v>23</v>
      </c>
      <c r="N200" s="3" t="s">
        <v>4</v>
      </c>
      <c r="O200" s="3" t="s">
        <v>5</v>
      </c>
      <c r="P200" s="3" t="s">
        <v>3</v>
      </c>
      <c r="Q200" s="3">
        <v>170</v>
      </c>
      <c r="R200" s="3">
        <v>95</v>
      </c>
      <c r="S200" s="3">
        <v>16150</v>
      </c>
      <c r="T200" s="3">
        <v>1615</v>
      </c>
      <c r="U200" s="3">
        <v>17765</v>
      </c>
    </row>
    <row r="201" spans="1:21" x14ac:dyDescent="0.25">
      <c r="A201" s="1">
        <v>200</v>
      </c>
      <c r="B201" s="2">
        <v>45295</v>
      </c>
      <c r="C201" s="2">
        <v>45295</v>
      </c>
      <c r="D201" s="4">
        <v>2024</v>
      </c>
      <c r="E201" s="4">
        <v>1</v>
      </c>
      <c r="F201" s="4">
        <v>4</v>
      </c>
      <c r="G201" s="1" t="s">
        <v>30</v>
      </c>
      <c r="I201" s="1" t="s">
        <v>88</v>
      </c>
      <c r="J201" s="1" t="s">
        <v>89</v>
      </c>
      <c r="K201" s="3" t="s">
        <v>28</v>
      </c>
      <c r="L201" s="3" t="s">
        <v>6</v>
      </c>
      <c r="M201" s="3" t="s">
        <v>23</v>
      </c>
      <c r="N201" s="3" t="s">
        <v>4</v>
      </c>
      <c r="O201" s="3" t="s">
        <v>5</v>
      </c>
      <c r="P201" s="3" t="s">
        <v>3</v>
      </c>
      <c r="Q201" s="3">
        <v>140</v>
      </c>
      <c r="R201" s="3">
        <v>95</v>
      </c>
      <c r="S201" s="3">
        <v>13300</v>
      </c>
      <c r="T201" s="3">
        <v>1330</v>
      </c>
      <c r="U201" s="3">
        <v>14630.000000000002</v>
      </c>
    </row>
    <row r="202" spans="1:21" x14ac:dyDescent="0.25">
      <c r="A202" s="1">
        <v>201</v>
      </c>
      <c r="B202" s="2">
        <v>45295</v>
      </c>
      <c r="C202" s="2">
        <v>45295</v>
      </c>
      <c r="D202" s="4">
        <v>2024</v>
      </c>
      <c r="E202" s="4">
        <v>1</v>
      </c>
      <c r="F202" s="4">
        <v>4</v>
      </c>
      <c r="G202" s="1" t="s">
        <v>30</v>
      </c>
      <c r="I202" s="1" t="s">
        <v>92</v>
      </c>
      <c r="J202" s="1" t="s">
        <v>93</v>
      </c>
      <c r="K202" s="3" t="s">
        <v>28</v>
      </c>
      <c r="L202" s="3" t="s">
        <v>6</v>
      </c>
      <c r="M202" s="3" t="s">
        <v>23</v>
      </c>
      <c r="N202" s="3" t="s">
        <v>4</v>
      </c>
      <c r="O202" s="3" t="s">
        <v>5</v>
      </c>
      <c r="P202" s="3" t="s">
        <v>3</v>
      </c>
      <c r="Q202" s="3">
        <v>230</v>
      </c>
      <c r="R202" s="3">
        <v>95</v>
      </c>
      <c r="S202" s="3">
        <v>21850</v>
      </c>
      <c r="T202" s="3">
        <v>2185</v>
      </c>
      <c r="U202" s="3">
        <v>24035.000000000004</v>
      </c>
    </row>
    <row r="203" spans="1:21" x14ac:dyDescent="0.25">
      <c r="A203" s="1">
        <v>202</v>
      </c>
      <c r="B203" s="2">
        <v>45295</v>
      </c>
      <c r="C203" s="2">
        <v>45295</v>
      </c>
      <c r="D203" s="4">
        <v>2024</v>
      </c>
      <c r="E203" s="4">
        <v>1</v>
      </c>
      <c r="F203" s="4">
        <v>4</v>
      </c>
      <c r="G203" s="1" t="s">
        <v>30</v>
      </c>
      <c r="I203" s="1" t="s">
        <v>104</v>
      </c>
      <c r="J203" s="1" t="s">
        <v>105</v>
      </c>
      <c r="K203" s="3" t="s">
        <v>28</v>
      </c>
      <c r="L203" s="3" t="s">
        <v>6</v>
      </c>
      <c r="M203" s="3" t="s">
        <v>23</v>
      </c>
      <c r="N203" s="3" t="s">
        <v>4</v>
      </c>
      <c r="O203" s="3" t="s">
        <v>5</v>
      </c>
      <c r="P203" s="3" t="s">
        <v>3</v>
      </c>
      <c r="Q203" s="3">
        <v>120</v>
      </c>
      <c r="R203" s="3">
        <v>95</v>
      </c>
      <c r="S203" s="3">
        <v>11400</v>
      </c>
      <c r="T203" s="3">
        <v>1140</v>
      </c>
      <c r="U203" s="3">
        <v>12540.000000000002</v>
      </c>
    </row>
    <row r="204" spans="1:21" x14ac:dyDescent="0.25">
      <c r="A204" s="1">
        <v>203</v>
      </c>
      <c r="B204" s="2">
        <v>45295</v>
      </c>
      <c r="C204" s="2">
        <v>45295</v>
      </c>
      <c r="D204" s="4">
        <v>2024</v>
      </c>
      <c r="E204" s="4">
        <v>1</v>
      </c>
      <c r="F204" s="4">
        <v>4</v>
      </c>
      <c r="G204" s="1" t="s">
        <v>30</v>
      </c>
      <c r="I204" s="1" t="s">
        <v>110</v>
      </c>
      <c r="J204" s="1" t="s">
        <v>111</v>
      </c>
      <c r="K204" s="3" t="s">
        <v>28</v>
      </c>
      <c r="L204" s="3" t="s">
        <v>6</v>
      </c>
      <c r="M204" s="3" t="s">
        <v>23</v>
      </c>
      <c r="N204" s="3" t="s">
        <v>4</v>
      </c>
      <c r="O204" s="3" t="s">
        <v>5</v>
      </c>
      <c r="P204" s="3" t="s">
        <v>3</v>
      </c>
      <c r="Q204" s="3">
        <v>250</v>
      </c>
      <c r="R204" s="3">
        <v>95</v>
      </c>
      <c r="S204" s="3">
        <v>23750</v>
      </c>
      <c r="T204" s="3">
        <v>2375</v>
      </c>
      <c r="U204" s="3">
        <v>26125.000000000004</v>
      </c>
    </row>
    <row r="205" spans="1:21" x14ac:dyDescent="0.25">
      <c r="A205" s="1">
        <v>204</v>
      </c>
      <c r="B205" s="2">
        <v>45295</v>
      </c>
      <c r="C205" s="2">
        <v>45295</v>
      </c>
      <c r="D205" s="4">
        <v>2024</v>
      </c>
      <c r="E205" s="4">
        <v>1</v>
      </c>
      <c r="F205" s="4">
        <v>4</v>
      </c>
      <c r="G205" s="1" t="s">
        <v>30</v>
      </c>
      <c r="I205" s="1" t="s">
        <v>86</v>
      </c>
      <c r="J205" s="1" t="s">
        <v>87</v>
      </c>
      <c r="K205" s="3" t="s">
        <v>28</v>
      </c>
      <c r="L205" s="3" t="s">
        <v>6</v>
      </c>
      <c r="M205" s="3" t="s">
        <v>23</v>
      </c>
      <c r="N205" s="3" t="s">
        <v>4</v>
      </c>
      <c r="O205" s="3" t="s">
        <v>5</v>
      </c>
      <c r="P205" s="3" t="s">
        <v>3</v>
      </c>
      <c r="Q205" s="3">
        <v>270</v>
      </c>
      <c r="R205" s="3">
        <v>95</v>
      </c>
      <c r="S205" s="3">
        <v>25650</v>
      </c>
      <c r="T205" s="3">
        <v>2565</v>
      </c>
      <c r="U205" s="3">
        <v>28215.000000000004</v>
      </c>
    </row>
    <row r="206" spans="1:21" x14ac:dyDescent="0.25">
      <c r="A206" s="1">
        <v>205</v>
      </c>
      <c r="B206" s="2">
        <v>45295</v>
      </c>
      <c r="C206" s="2">
        <v>45295</v>
      </c>
      <c r="D206" s="4">
        <v>2024</v>
      </c>
      <c r="E206" s="4">
        <v>1</v>
      </c>
      <c r="F206" s="4">
        <v>4</v>
      </c>
      <c r="G206" s="1" t="s">
        <v>30</v>
      </c>
      <c r="I206" s="1" t="s">
        <v>90</v>
      </c>
      <c r="J206" s="1" t="s">
        <v>91</v>
      </c>
      <c r="K206" s="3" t="s">
        <v>28</v>
      </c>
      <c r="L206" s="3" t="s">
        <v>6</v>
      </c>
      <c r="M206" s="3" t="s">
        <v>23</v>
      </c>
      <c r="N206" s="3" t="s">
        <v>4</v>
      </c>
      <c r="O206" s="3" t="s">
        <v>5</v>
      </c>
      <c r="P206" s="3" t="s">
        <v>3</v>
      </c>
      <c r="Q206" s="3">
        <v>170</v>
      </c>
      <c r="R206" s="3">
        <v>95</v>
      </c>
      <c r="S206" s="3">
        <v>16150</v>
      </c>
      <c r="T206" s="3">
        <v>1615</v>
      </c>
      <c r="U206" s="3">
        <v>17765</v>
      </c>
    </row>
    <row r="207" spans="1:21" x14ac:dyDescent="0.25">
      <c r="A207" s="1">
        <v>206</v>
      </c>
      <c r="B207" s="2">
        <v>45295</v>
      </c>
      <c r="C207" s="2">
        <v>45295</v>
      </c>
      <c r="D207" s="4">
        <v>2024</v>
      </c>
      <c r="E207" s="4">
        <v>1</v>
      </c>
      <c r="F207" s="4">
        <v>4</v>
      </c>
      <c r="G207" s="1" t="s">
        <v>30</v>
      </c>
      <c r="I207" s="1" t="s">
        <v>84</v>
      </c>
      <c r="J207" s="1" t="s">
        <v>85</v>
      </c>
      <c r="K207" s="3" t="s">
        <v>28</v>
      </c>
      <c r="L207" s="3" t="s">
        <v>6</v>
      </c>
      <c r="M207" s="3" t="s">
        <v>23</v>
      </c>
      <c r="N207" s="3" t="s">
        <v>4</v>
      </c>
      <c r="O207" s="3" t="s">
        <v>5</v>
      </c>
      <c r="P207" s="3" t="s">
        <v>3</v>
      </c>
      <c r="Q207" s="3">
        <v>240</v>
      </c>
      <c r="R207" s="3">
        <v>95</v>
      </c>
      <c r="S207" s="3">
        <v>22800</v>
      </c>
      <c r="T207" s="3">
        <v>2280</v>
      </c>
      <c r="U207" s="3">
        <v>25080.000000000004</v>
      </c>
    </row>
    <row r="208" spans="1:21" x14ac:dyDescent="0.25">
      <c r="A208" s="1">
        <v>207</v>
      </c>
      <c r="B208" s="2">
        <v>45295</v>
      </c>
      <c r="C208" s="2">
        <v>45295</v>
      </c>
      <c r="D208" s="4">
        <v>2024</v>
      </c>
      <c r="E208" s="4">
        <v>1</v>
      </c>
      <c r="F208" s="4">
        <v>4</v>
      </c>
      <c r="G208" s="1" t="s">
        <v>30</v>
      </c>
      <c r="I208" s="1" t="s">
        <v>102</v>
      </c>
      <c r="J208" s="1" t="s">
        <v>103</v>
      </c>
      <c r="K208" s="3" t="s">
        <v>28</v>
      </c>
      <c r="L208" s="3" t="s">
        <v>6</v>
      </c>
      <c r="M208" s="3" t="s">
        <v>23</v>
      </c>
      <c r="N208" s="3" t="s">
        <v>4</v>
      </c>
      <c r="O208" s="3" t="s">
        <v>5</v>
      </c>
      <c r="P208" s="3" t="s">
        <v>3</v>
      </c>
      <c r="Q208" s="3">
        <v>320</v>
      </c>
      <c r="R208" s="3">
        <v>95</v>
      </c>
      <c r="S208" s="3">
        <v>30400</v>
      </c>
      <c r="T208" s="3">
        <v>3040</v>
      </c>
      <c r="U208" s="3">
        <v>33440</v>
      </c>
    </row>
    <row r="209" spans="1:21" x14ac:dyDescent="0.25">
      <c r="A209" s="1">
        <v>208</v>
      </c>
      <c r="B209" s="2">
        <v>45295</v>
      </c>
      <c r="C209" s="2">
        <v>45295</v>
      </c>
      <c r="D209" s="4">
        <v>2024</v>
      </c>
      <c r="E209" s="4">
        <v>1</v>
      </c>
      <c r="F209" s="4">
        <v>4</v>
      </c>
      <c r="G209" s="1" t="s">
        <v>30</v>
      </c>
      <c r="I209" s="1" t="s">
        <v>94</v>
      </c>
      <c r="J209" s="1" t="s">
        <v>95</v>
      </c>
      <c r="K209" s="3" t="s">
        <v>28</v>
      </c>
      <c r="L209" s="3" t="s">
        <v>6</v>
      </c>
      <c r="M209" s="3" t="s">
        <v>23</v>
      </c>
      <c r="N209" s="3" t="s">
        <v>4</v>
      </c>
      <c r="O209" s="3" t="s">
        <v>5</v>
      </c>
      <c r="P209" s="3" t="s">
        <v>3</v>
      </c>
      <c r="Q209" s="3">
        <v>210</v>
      </c>
      <c r="R209" s="3">
        <v>95</v>
      </c>
      <c r="S209" s="3">
        <v>19950</v>
      </c>
      <c r="T209" s="3">
        <v>1995</v>
      </c>
      <c r="U209" s="3">
        <v>21945</v>
      </c>
    </row>
    <row r="210" spans="1:21" x14ac:dyDescent="0.25">
      <c r="A210" s="1">
        <v>209</v>
      </c>
      <c r="B210" s="2">
        <v>45295</v>
      </c>
      <c r="C210" s="2">
        <v>45295</v>
      </c>
      <c r="D210" s="4">
        <v>2024</v>
      </c>
      <c r="E210" s="4">
        <v>1</v>
      </c>
      <c r="F210" s="4">
        <v>4</v>
      </c>
      <c r="G210" s="1" t="s">
        <v>30</v>
      </c>
      <c r="I210" s="1" t="s">
        <v>98</v>
      </c>
      <c r="J210" s="1" t="s">
        <v>99</v>
      </c>
      <c r="K210" s="3" t="s">
        <v>28</v>
      </c>
      <c r="L210" s="3" t="s">
        <v>6</v>
      </c>
      <c r="M210" s="3" t="s">
        <v>23</v>
      </c>
      <c r="N210" s="3" t="s">
        <v>4</v>
      </c>
      <c r="O210" s="3" t="s">
        <v>5</v>
      </c>
      <c r="P210" s="3" t="s">
        <v>3</v>
      </c>
      <c r="Q210" s="3">
        <v>210</v>
      </c>
      <c r="R210" s="3">
        <v>95</v>
      </c>
      <c r="S210" s="3">
        <v>19950</v>
      </c>
      <c r="T210" s="3">
        <v>1995</v>
      </c>
      <c r="U210" s="3">
        <v>21945</v>
      </c>
    </row>
    <row r="211" spans="1:21" x14ac:dyDescent="0.25">
      <c r="A211" s="1">
        <v>210</v>
      </c>
      <c r="B211" s="2">
        <v>45295</v>
      </c>
      <c r="C211" s="2">
        <v>45295</v>
      </c>
      <c r="D211" s="4">
        <v>2024</v>
      </c>
      <c r="E211" s="4">
        <v>1</v>
      </c>
      <c r="F211" s="4">
        <v>4</v>
      </c>
      <c r="G211" s="1" t="s">
        <v>30</v>
      </c>
      <c r="I211" s="1" t="s">
        <v>96</v>
      </c>
      <c r="J211" s="1" t="s">
        <v>97</v>
      </c>
      <c r="K211" s="3" t="s">
        <v>28</v>
      </c>
      <c r="L211" s="3" t="s">
        <v>6</v>
      </c>
      <c r="M211" s="3" t="s">
        <v>23</v>
      </c>
      <c r="N211" s="3" t="s">
        <v>4</v>
      </c>
      <c r="O211" s="3" t="s">
        <v>5</v>
      </c>
      <c r="P211" s="3" t="s">
        <v>3</v>
      </c>
      <c r="Q211" s="3">
        <v>140</v>
      </c>
      <c r="R211" s="3">
        <v>95</v>
      </c>
      <c r="S211" s="3">
        <v>13300</v>
      </c>
      <c r="T211" s="3">
        <v>1330</v>
      </c>
      <c r="U211" s="3">
        <v>14630.000000000002</v>
      </c>
    </row>
    <row r="212" spans="1:21" x14ac:dyDescent="0.25">
      <c r="A212" s="1">
        <v>211</v>
      </c>
      <c r="B212" s="2">
        <v>45295</v>
      </c>
      <c r="C212" s="2">
        <v>45295</v>
      </c>
      <c r="D212" s="4">
        <v>2024</v>
      </c>
      <c r="E212" s="4">
        <v>1</v>
      </c>
      <c r="F212" s="4">
        <v>4</v>
      </c>
      <c r="G212" s="1" t="s">
        <v>30</v>
      </c>
      <c r="I212" s="1" t="s">
        <v>94</v>
      </c>
      <c r="J212" s="1" t="s">
        <v>95</v>
      </c>
      <c r="K212" s="3" t="s">
        <v>28</v>
      </c>
      <c r="L212" s="3" t="s">
        <v>6</v>
      </c>
      <c r="M212" s="3" t="s">
        <v>23</v>
      </c>
      <c r="N212" s="3" t="s">
        <v>4</v>
      </c>
      <c r="O212" s="3" t="s">
        <v>5</v>
      </c>
      <c r="P212" s="3" t="s">
        <v>3</v>
      </c>
      <c r="Q212" s="3">
        <v>140</v>
      </c>
      <c r="R212" s="3">
        <v>95</v>
      </c>
      <c r="S212" s="3">
        <v>13300</v>
      </c>
      <c r="T212" s="3">
        <v>1330</v>
      </c>
      <c r="U212" s="3">
        <v>14630.000000000002</v>
      </c>
    </row>
    <row r="213" spans="1:21" x14ac:dyDescent="0.25">
      <c r="A213" s="1">
        <v>212</v>
      </c>
      <c r="B213" s="2">
        <v>45295</v>
      </c>
      <c r="C213" s="2">
        <v>45295</v>
      </c>
      <c r="D213" s="4">
        <v>2024</v>
      </c>
      <c r="E213" s="4">
        <v>1</v>
      </c>
      <c r="F213" s="4">
        <v>4</v>
      </c>
      <c r="G213" s="1" t="s">
        <v>30</v>
      </c>
      <c r="I213" s="1" t="s">
        <v>84</v>
      </c>
      <c r="J213" s="1" t="s">
        <v>85</v>
      </c>
      <c r="K213" s="3" t="s">
        <v>28</v>
      </c>
      <c r="L213" s="3" t="s">
        <v>6</v>
      </c>
      <c r="M213" s="3" t="s">
        <v>23</v>
      </c>
      <c r="N213" s="3" t="s">
        <v>4</v>
      </c>
      <c r="O213" s="3" t="s">
        <v>5</v>
      </c>
      <c r="P213" s="3" t="s">
        <v>3</v>
      </c>
      <c r="Q213" s="3">
        <v>350</v>
      </c>
      <c r="R213" s="3">
        <v>95</v>
      </c>
      <c r="S213" s="3">
        <v>33250</v>
      </c>
      <c r="T213" s="3">
        <v>3325</v>
      </c>
      <c r="U213" s="3">
        <v>36575</v>
      </c>
    </row>
    <row r="214" spans="1:21" x14ac:dyDescent="0.25">
      <c r="A214" s="1">
        <v>213</v>
      </c>
      <c r="B214" s="2">
        <v>45295</v>
      </c>
      <c r="C214" s="2">
        <v>45295</v>
      </c>
      <c r="D214" s="4">
        <v>2024</v>
      </c>
      <c r="E214" s="4">
        <v>1</v>
      </c>
      <c r="F214" s="4">
        <v>4</v>
      </c>
      <c r="G214" s="1" t="s">
        <v>30</v>
      </c>
      <c r="I214" s="1" t="s">
        <v>84</v>
      </c>
      <c r="J214" s="1" t="s">
        <v>85</v>
      </c>
      <c r="K214" s="3" t="s">
        <v>28</v>
      </c>
      <c r="L214" s="3" t="s">
        <v>6</v>
      </c>
      <c r="M214" s="3" t="s">
        <v>23</v>
      </c>
      <c r="N214" s="3" t="s">
        <v>4</v>
      </c>
      <c r="O214" s="3" t="s">
        <v>5</v>
      </c>
      <c r="P214" s="3" t="s">
        <v>3</v>
      </c>
      <c r="Q214" s="3">
        <v>160</v>
      </c>
      <c r="R214" s="3">
        <v>95</v>
      </c>
      <c r="S214" s="3">
        <v>15200</v>
      </c>
      <c r="T214" s="3">
        <v>1520</v>
      </c>
      <c r="U214" s="3">
        <v>16720</v>
      </c>
    </row>
    <row r="215" spans="1:21" x14ac:dyDescent="0.25">
      <c r="A215" s="1">
        <v>214</v>
      </c>
      <c r="B215" s="2">
        <v>45295</v>
      </c>
      <c r="C215" s="2">
        <v>45295</v>
      </c>
      <c r="D215" s="4">
        <v>2024</v>
      </c>
      <c r="E215" s="4">
        <v>1</v>
      </c>
      <c r="F215" s="4">
        <v>4</v>
      </c>
      <c r="G215" s="1" t="s">
        <v>30</v>
      </c>
      <c r="I215" s="1" t="s">
        <v>25</v>
      </c>
      <c r="J215" s="1" t="s">
        <v>29</v>
      </c>
      <c r="K215" s="3" t="s">
        <v>28</v>
      </c>
      <c r="L215" s="3" t="s">
        <v>6</v>
      </c>
      <c r="M215" s="3" t="s">
        <v>23</v>
      </c>
      <c r="N215" s="3" t="s">
        <v>4</v>
      </c>
      <c r="O215" s="3" t="s">
        <v>5</v>
      </c>
      <c r="P215" s="3" t="s">
        <v>3</v>
      </c>
      <c r="Q215" s="3">
        <v>230</v>
      </c>
      <c r="R215" s="3">
        <v>95</v>
      </c>
      <c r="S215" s="3">
        <v>21850</v>
      </c>
      <c r="T215" s="3">
        <v>2185</v>
      </c>
      <c r="U215" s="3">
        <v>24035.000000000004</v>
      </c>
    </row>
    <row r="216" spans="1:21" x14ac:dyDescent="0.25">
      <c r="A216" s="1">
        <v>215</v>
      </c>
      <c r="B216" s="2">
        <v>45295</v>
      </c>
      <c r="C216" s="2">
        <v>45295</v>
      </c>
      <c r="D216" s="4">
        <v>2024</v>
      </c>
      <c r="E216" s="4">
        <v>1</v>
      </c>
      <c r="F216" s="4">
        <v>4</v>
      </c>
      <c r="G216" s="1" t="s">
        <v>30</v>
      </c>
      <c r="I216" s="1" t="s">
        <v>86</v>
      </c>
      <c r="J216" s="1" t="s">
        <v>87</v>
      </c>
      <c r="K216" s="3" t="s">
        <v>28</v>
      </c>
      <c r="L216" s="3" t="s">
        <v>6</v>
      </c>
      <c r="M216" s="3" t="s">
        <v>23</v>
      </c>
      <c r="N216" s="3" t="s">
        <v>4</v>
      </c>
      <c r="O216" s="3" t="s">
        <v>5</v>
      </c>
      <c r="P216" s="3" t="s">
        <v>3</v>
      </c>
      <c r="Q216" s="3">
        <v>140</v>
      </c>
      <c r="R216" s="3">
        <v>95</v>
      </c>
      <c r="S216" s="3">
        <v>13300</v>
      </c>
      <c r="T216" s="3">
        <v>1330</v>
      </c>
      <c r="U216" s="3">
        <v>14630.000000000002</v>
      </c>
    </row>
    <row r="217" spans="1:21" x14ac:dyDescent="0.25">
      <c r="A217" s="1">
        <v>216</v>
      </c>
      <c r="B217" s="2">
        <v>45295</v>
      </c>
      <c r="C217" s="2">
        <v>45295</v>
      </c>
      <c r="D217" s="4">
        <v>2024</v>
      </c>
      <c r="E217" s="4">
        <v>1</v>
      </c>
      <c r="F217" s="4">
        <v>4</v>
      </c>
      <c r="G217" s="1" t="s">
        <v>30</v>
      </c>
      <c r="I217" s="1" t="s">
        <v>25</v>
      </c>
      <c r="J217" s="1" t="s">
        <v>29</v>
      </c>
      <c r="K217" s="3" t="s">
        <v>28</v>
      </c>
      <c r="L217" s="3" t="s">
        <v>6</v>
      </c>
      <c r="M217" s="3" t="s">
        <v>23</v>
      </c>
      <c r="N217" s="3" t="s">
        <v>4</v>
      </c>
      <c r="O217" s="3" t="s">
        <v>5</v>
      </c>
      <c r="P217" s="3" t="s">
        <v>3</v>
      </c>
      <c r="Q217" s="3">
        <v>60</v>
      </c>
      <c r="R217" s="3">
        <v>95</v>
      </c>
      <c r="S217" s="3">
        <v>5700</v>
      </c>
      <c r="T217" s="3">
        <v>570</v>
      </c>
      <c r="U217" s="3">
        <v>6270.0000000000009</v>
      </c>
    </row>
    <row r="218" spans="1:21" x14ac:dyDescent="0.25">
      <c r="A218" s="1">
        <v>217</v>
      </c>
      <c r="B218" s="2">
        <v>45295</v>
      </c>
      <c r="C218" s="2">
        <v>45295</v>
      </c>
      <c r="D218" s="4">
        <v>2024</v>
      </c>
      <c r="E218" s="4">
        <v>1</v>
      </c>
      <c r="F218" s="4">
        <v>4</v>
      </c>
      <c r="G218" s="1" t="s">
        <v>30</v>
      </c>
      <c r="I218" s="1" t="s">
        <v>90</v>
      </c>
      <c r="J218" s="1" t="s">
        <v>91</v>
      </c>
      <c r="K218" s="3" t="s">
        <v>28</v>
      </c>
      <c r="L218" s="3" t="s">
        <v>6</v>
      </c>
      <c r="M218" s="3" t="s">
        <v>23</v>
      </c>
      <c r="N218" s="3" t="s">
        <v>4</v>
      </c>
      <c r="O218" s="3" t="s">
        <v>5</v>
      </c>
      <c r="P218" s="3" t="s">
        <v>3</v>
      </c>
      <c r="Q218" s="3">
        <v>300</v>
      </c>
      <c r="R218" s="3">
        <v>95</v>
      </c>
      <c r="S218" s="3">
        <v>28500</v>
      </c>
      <c r="T218" s="3">
        <v>2850</v>
      </c>
      <c r="U218" s="3">
        <v>31350.000000000004</v>
      </c>
    </row>
    <row r="219" spans="1:21" x14ac:dyDescent="0.25">
      <c r="A219" s="1">
        <v>218</v>
      </c>
      <c r="B219" s="2">
        <v>45295</v>
      </c>
      <c r="C219" s="2">
        <v>45295</v>
      </c>
      <c r="D219" s="4">
        <v>2024</v>
      </c>
      <c r="E219" s="4">
        <v>1</v>
      </c>
      <c r="F219" s="4">
        <v>4</v>
      </c>
      <c r="G219" s="1" t="s">
        <v>31</v>
      </c>
      <c r="I219" s="1" t="s">
        <v>65</v>
      </c>
      <c r="J219" s="1" t="s">
        <v>66</v>
      </c>
      <c r="K219" s="3" t="s">
        <v>28</v>
      </c>
      <c r="L219" s="3" t="s">
        <v>6</v>
      </c>
      <c r="M219" s="3" t="s">
        <v>23</v>
      </c>
      <c r="N219" s="3" t="s">
        <v>4</v>
      </c>
      <c r="O219" s="3" t="s">
        <v>5</v>
      </c>
      <c r="P219" s="3" t="s">
        <v>3</v>
      </c>
      <c r="Q219" s="3">
        <v>330</v>
      </c>
      <c r="R219" s="3">
        <v>85</v>
      </c>
      <c r="S219" s="3">
        <v>28050</v>
      </c>
      <c r="T219" s="3">
        <v>2805</v>
      </c>
      <c r="U219" s="3">
        <v>30855.000000000004</v>
      </c>
    </row>
    <row r="220" spans="1:21" x14ac:dyDescent="0.25">
      <c r="A220" s="1">
        <v>219</v>
      </c>
      <c r="B220" s="2">
        <v>45295</v>
      </c>
      <c r="C220" s="2">
        <v>45295</v>
      </c>
      <c r="D220" s="4">
        <v>2024</v>
      </c>
      <c r="E220" s="4">
        <v>1</v>
      </c>
      <c r="F220" s="4">
        <v>4</v>
      </c>
      <c r="G220" s="1" t="s">
        <v>31</v>
      </c>
      <c r="I220" s="1" t="s">
        <v>59</v>
      </c>
      <c r="J220" s="1" t="s">
        <v>60</v>
      </c>
      <c r="K220" s="3" t="s">
        <v>28</v>
      </c>
      <c r="L220" s="3" t="s">
        <v>6</v>
      </c>
      <c r="M220" s="3" t="s">
        <v>23</v>
      </c>
      <c r="N220" s="3" t="s">
        <v>4</v>
      </c>
      <c r="O220" s="3" t="s">
        <v>5</v>
      </c>
      <c r="P220" s="3" t="s">
        <v>3</v>
      </c>
      <c r="Q220" s="3">
        <v>190</v>
      </c>
      <c r="R220" s="3">
        <v>85</v>
      </c>
      <c r="S220" s="3">
        <v>16150</v>
      </c>
      <c r="T220" s="3">
        <v>1615</v>
      </c>
      <c r="U220" s="3">
        <v>17765</v>
      </c>
    </row>
    <row r="221" spans="1:21" x14ac:dyDescent="0.25">
      <c r="A221" s="1">
        <v>220</v>
      </c>
      <c r="B221" s="2">
        <v>45295</v>
      </c>
      <c r="C221" s="2">
        <v>45295</v>
      </c>
      <c r="D221" s="4">
        <v>2024</v>
      </c>
      <c r="E221" s="4">
        <v>1</v>
      </c>
      <c r="F221" s="4">
        <v>4</v>
      </c>
      <c r="G221" s="1" t="s">
        <v>31</v>
      </c>
      <c r="I221" s="1" t="s">
        <v>59</v>
      </c>
      <c r="J221" s="1" t="s">
        <v>60</v>
      </c>
      <c r="K221" s="3" t="s">
        <v>28</v>
      </c>
      <c r="L221" s="3" t="s">
        <v>6</v>
      </c>
      <c r="M221" s="3" t="s">
        <v>23</v>
      </c>
      <c r="N221" s="3" t="s">
        <v>4</v>
      </c>
      <c r="O221" s="3" t="s">
        <v>5</v>
      </c>
      <c r="P221" s="3" t="s">
        <v>3</v>
      </c>
      <c r="Q221" s="3">
        <v>150</v>
      </c>
      <c r="R221" s="3">
        <v>85</v>
      </c>
      <c r="S221" s="3">
        <v>12750</v>
      </c>
      <c r="T221" s="3">
        <v>1275</v>
      </c>
      <c r="U221" s="3">
        <v>14025.000000000002</v>
      </c>
    </row>
    <row r="222" spans="1:21" x14ac:dyDescent="0.25">
      <c r="A222" s="1">
        <v>221</v>
      </c>
      <c r="B222" s="2">
        <v>45295</v>
      </c>
      <c r="C222" s="2">
        <v>45295</v>
      </c>
      <c r="D222" s="4">
        <v>2024</v>
      </c>
      <c r="E222" s="4">
        <v>1</v>
      </c>
      <c r="F222" s="4">
        <v>4</v>
      </c>
      <c r="G222" s="1" t="s">
        <v>31</v>
      </c>
      <c r="I222" s="1" t="s">
        <v>65</v>
      </c>
      <c r="J222" s="1" t="s">
        <v>66</v>
      </c>
      <c r="K222" s="3" t="s">
        <v>28</v>
      </c>
      <c r="L222" s="3" t="s">
        <v>6</v>
      </c>
      <c r="M222" s="3" t="s">
        <v>23</v>
      </c>
      <c r="N222" s="3" t="s">
        <v>4</v>
      </c>
      <c r="O222" s="3" t="s">
        <v>5</v>
      </c>
      <c r="P222" s="3" t="s">
        <v>3</v>
      </c>
      <c r="Q222" s="3">
        <v>110</v>
      </c>
      <c r="R222" s="3">
        <v>85</v>
      </c>
      <c r="S222" s="3">
        <v>9350</v>
      </c>
      <c r="T222" s="3">
        <v>935</v>
      </c>
      <c r="U222" s="3">
        <v>10285</v>
      </c>
    </row>
    <row r="223" spans="1:21" x14ac:dyDescent="0.25">
      <c r="A223" s="1">
        <v>222</v>
      </c>
      <c r="B223" s="2">
        <v>45295</v>
      </c>
      <c r="C223" s="2">
        <v>45295</v>
      </c>
      <c r="D223" s="4">
        <v>2024</v>
      </c>
      <c r="E223" s="4">
        <v>1</v>
      </c>
      <c r="F223" s="4">
        <v>4</v>
      </c>
      <c r="G223" s="1" t="s">
        <v>31</v>
      </c>
      <c r="I223" s="1" t="s">
        <v>63</v>
      </c>
      <c r="J223" s="1" t="s">
        <v>64</v>
      </c>
      <c r="K223" s="3" t="s">
        <v>28</v>
      </c>
      <c r="L223" s="3" t="s">
        <v>6</v>
      </c>
      <c r="M223" s="3" t="s">
        <v>23</v>
      </c>
      <c r="N223" s="3" t="s">
        <v>4</v>
      </c>
      <c r="O223" s="3" t="s">
        <v>5</v>
      </c>
      <c r="P223" s="3" t="s">
        <v>3</v>
      </c>
      <c r="Q223" s="3">
        <v>210</v>
      </c>
      <c r="R223" s="3">
        <v>85</v>
      </c>
      <c r="S223" s="3">
        <v>17850</v>
      </c>
      <c r="T223" s="3">
        <v>1785</v>
      </c>
      <c r="U223" s="3">
        <v>19635</v>
      </c>
    </row>
    <row r="224" spans="1:21" x14ac:dyDescent="0.25">
      <c r="A224" s="1">
        <v>223</v>
      </c>
      <c r="B224" s="2">
        <v>45295</v>
      </c>
      <c r="C224" s="2">
        <v>45295</v>
      </c>
      <c r="D224" s="4">
        <v>2024</v>
      </c>
      <c r="E224" s="4">
        <v>1</v>
      </c>
      <c r="F224" s="4">
        <v>4</v>
      </c>
      <c r="G224" s="1" t="s">
        <v>31</v>
      </c>
      <c r="I224" s="1" t="s">
        <v>57</v>
      </c>
      <c r="J224" s="1" t="s">
        <v>58</v>
      </c>
      <c r="K224" s="3" t="s">
        <v>28</v>
      </c>
      <c r="L224" s="3" t="s">
        <v>6</v>
      </c>
      <c r="M224" s="3" t="s">
        <v>23</v>
      </c>
      <c r="N224" s="3" t="s">
        <v>4</v>
      </c>
      <c r="O224" s="3" t="s">
        <v>5</v>
      </c>
      <c r="P224" s="3" t="s">
        <v>3</v>
      </c>
      <c r="Q224" s="3">
        <v>320</v>
      </c>
      <c r="R224" s="3">
        <v>85</v>
      </c>
      <c r="S224" s="3">
        <v>27200</v>
      </c>
      <c r="T224" s="3">
        <v>2720</v>
      </c>
      <c r="U224" s="3">
        <v>29920.000000000004</v>
      </c>
    </row>
    <row r="225" spans="1:21" x14ac:dyDescent="0.25">
      <c r="A225" s="1">
        <v>224</v>
      </c>
      <c r="B225" s="2">
        <v>45295</v>
      </c>
      <c r="C225" s="2">
        <v>45295</v>
      </c>
      <c r="D225" s="4">
        <v>2024</v>
      </c>
      <c r="E225" s="4">
        <v>1</v>
      </c>
      <c r="F225" s="4">
        <v>4</v>
      </c>
      <c r="G225" s="1" t="s">
        <v>31</v>
      </c>
      <c r="I225" s="1" t="s">
        <v>55</v>
      </c>
      <c r="J225" s="1" t="s">
        <v>31</v>
      </c>
      <c r="K225" s="3" t="s">
        <v>119</v>
      </c>
      <c r="L225" s="3" t="s">
        <v>6</v>
      </c>
      <c r="M225" s="3" t="s">
        <v>23</v>
      </c>
      <c r="N225" s="3" t="s">
        <v>4</v>
      </c>
      <c r="O225" s="3" t="s">
        <v>2</v>
      </c>
      <c r="P225" s="3" t="s">
        <v>3</v>
      </c>
      <c r="Q225" s="3">
        <v>3500</v>
      </c>
      <c r="R225" s="3">
        <v>85</v>
      </c>
      <c r="S225" s="3">
        <v>297500</v>
      </c>
      <c r="T225" s="3">
        <v>29750</v>
      </c>
      <c r="U225" s="3">
        <v>327250</v>
      </c>
    </row>
    <row r="226" spans="1:21" x14ac:dyDescent="0.25">
      <c r="A226" s="1">
        <v>225</v>
      </c>
      <c r="B226" s="2">
        <v>45295</v>
      </c>
      <c r="C226" s="2">
        <v>45295</v>
      </c>
      <c r="D226" s="4">
        <v>2024</v>
      </c>
      <c r="E226" s="4">
        <v>1</v>
      </c>
      <c r="F226" s="4">
        <v>4</v>
      </c>
      <c r="G226" s="1" t="s">
        <v>31</v>
      </c>
      <c r="I226" s="1" t="s">
        <v>59</v>
      </c>
      <c r="J226" s="1" t="s">
        <v>60</v>
      </c>
      <c r="K226" s="3" t="s">
        <v>28</v>
      </c>
      <c r="L226" s="3" t="s">
        <v>6</v>
      </c>
      <c r="M226" s="3" t="s">
        <v>23</v>
      </c>
      <c r="N226" s="3" t="s">
        <v>4</v>
      </c>
      <c r="O226" s="3" t="s">
        <v>5</v>
      </c>
      <c r="P226" s="3" t="s">
        <v>3</v>
      </c>
      <c r="Q226" s="3">
        <v>220</v>
      </c>
      <c r="R226" s="3">
        <v>85</v>
      </c>
      <c r="S226" s="3">
        <v>18700</v>
      </c>
      <c r="T226" s="3">
        <v>1870</v>
      </c>
      <c r="U226" s="3">
        <v>20570</v>
      </c>
    </row>
    <row r="227" spans="1:21" x14ac:dyDescent="0.25">
      <c r="A227" s="1">
        <v>226</v>
      </c>
      <c r="B227" s="2">
        <v>45295</v>
      </c>
      <c r="C227" s="2">
        <v>45295</v>
      </c>
      <c r="D227" s="4">
        <v>2024</v>
      </c>
      <c r="E227" s="4">
        <v>1</v>
      </c>
      <c r="F227" s="4">
        <v>4</v>
      </c>
      <c r="G227" s="1" t="s">
        <v>31</v>
      </c>
      <c r="I227" s="1" t="s">
        <v>25</v>
      </c>
      <c r="J227" s="1" t="s">
        <v>29</v>
      </c>
      <c r="K227" s="3" t="s">
        <v>28</v>
      </c>
      <c r="L227" s="3" t="s">
        <v>6</v>
      </c>
      <c r="M227" s="3" t="s">
        <v>23</v>
      </c>
      <c r="N227" s="3" t="s">
        <v>4</v>
      </c>
      <c r="O227" s="3" t="s">
        <v>5</v>
      </c>
      <c r="P227" s="3" t="s">
        <v>3</v>
      </c>
      <c r="Q227" s="3">
        <v>320</v>
      </c>
      <c r="R227" s="3">
        <v>85</v>
      </c>
      <c r="S227" s="3">
        <v>27200</v>
      </c>
      <c r="T227" s="3">
        <v>2720</v>
      </c>
      <c r="U227" s="3">
        <v>29920.000000000004</v>
      </c>
    </row>
    <row r="228" spans="1:21" x14ac:dyDescent="0.25">
      <c r="A228" s="1">
        <v>227</v>
      </c>
      <c r="B228" s="2">
        <v>45295</v>
      </c>
      <c r="C228" s="2">
        <v>45295</v>
      </c>
      <c r="D228" s="4">
        <v>2024</v>
      </c>
      <c r="E228" s="4">
        <v>1</v>
      </c>
      <c r="F228" s="4">
        <v>4</v>
      </c>
      <c r="G228" s="1" t="s">
        <v>31</v>
      </c>
      <c r="I228" s="1" t="s">
        <v>37</v>
      </c>
      <c r="J228" s="1" t="s">
        <v>38</v>
      </c>
      <c r="K228" s="3" t="s">
        <v>28</v>
      </c>
      <c r="L228" s="3" t="s">
        <v>6</v>
      </c>
      <c r="M228" s="3" t="s">
        <v>23</v>
      </c>
      <c r="N228" s="3" t="s">
        <v>4</v>
      </c>
      <c r="O228" s="3" t="s">
        <v>5</v>
      </c>
      <c r="P228" s="3" t="s">
        <v>3</v>
      </c>
      <c r="Q228" s="3">
        <v>280</v>
      </c>
      <c r="R228" s="3">
        <v>85</v>
      </c>
      <c r="S228" s="3">
        <v>23800</v>
      </c>
      <c r="T228" s="3">
        <v>2380</v>
      </c>
      <c r="U228" s="3">
        <v>26180.000000000004</v>
      </c>
    </row>
    <row r="229" spans="1:21" x14ac:dyDescent="0.25">
      <c r="A229" s="1">
        <v>228</v>
      </c>
      <c r="B229" s="2">
        <v>45295</v>
      </c>
      <c r="C229" s="2">
        <v>45295</v>
      </c>
      <c r="D229" s="4">
        <v>2024</v>
      </c>
      <c r="E229" s="4">
        <v>1</v>
      </c>
      <c r="F229" s="4">
        <v>4</v>
      </c>
      <c r="G229" s="1" t="s">
        <v>31</v>
      </c>
      <c r="I229" s="1" t="s">
        <v>61</v>
      </c>
      <c r="J229" s="1" t="s">
        <v>62</v>
      </c>
      <c r="K229" s="3" t="s">
        <v>28</v>
      </c>
      <c r="L229" s="3" t="s">
        <v>6</v>
      </c>
      <c r="M229" s="3" t="s">
        <v>23</v>
      </c>
      <c r="N229" s="3" t="s">
        <v>4</v>
      </c>
      <c r="O229" s="3" t="s">
        <v>5</v>
      </c>
      <c r="P229" s="3" t="s">
        <v>3</v>
      </c>
      <c r="Q229" s="3">
        <v>210</v>
      </c>
      <c r="R229" s="3">
        <v>85</v>
      </c>
      <c r="S229" s="3">
        <v>17850</v>
      </c>
      <c r="T229" s="3">
        <v>1785</v>
      </c>
      <c r="U229" s="3">
        <v>19635</v>
      </c>
    </row>
    <row r="230" spans="1:21" x14ac:dyDescent="0.25">
      <c r="A230" s="1">
        <v>229</v>
      </c>
      <c r="B230" s="2">
        <v>45295</v>
      </c>
      <c r="C230" s="2">
        <v>45295</v>
      </c>
      <c r="D230" s="4">
        <v>2024</v>
      </c>
      <c r="E230" s="4">
        <v>1</v>
      </c>
      <c r="F230" s="4">
        <v>4</v>
      </c>
      <c r="G230" s="1" t="s">
        <v>31</v>
      </c>
      <c r="I230" s="1" t="s">
        <v>135</v>
      </c>
      <c r="J230" s="1" t="s">
        <v>136</v>
      </c>
      <c r="K230" s="3" t="s">
        <v>28</v>
      </c>
      <c r="L230" s="3" t="s">
        <v>6</v>
      </c>
      <c r="M230" s="3" t="s">
        <v>23</v>
      </c>
      <c r="N230" s="3" t="s">
        <v>4</v>
      </c>
      <c r="O230" s="3" t="s">
        <v>5</v>
      </c>
      <c r="P230" s="3" t="s">
        <v>3</v>
      </c>
      <c r="Q230" s="3">
        <v>70</v>
      </c>
      <c r="R230" s="3">
        <v>85</v>
      </c>
      <c r="S230" s="3">
        <v>5950</v>
      </c>
      <c r="T230" s="3">
        <v>595</v>
      </c>
      <c r="U230" s="3">
        <v>6545.0000000000009</v>
      </c>
    </row>
    <row r="231" spans="1:21" x14ac:dyDescent="0.25">
      <c r="A231" s="1">
        <v>230</v>
      </c>
      <c r="B231" s="2">
        <v>45295</v>
      </c>
      <c r="C231" s="2">
        <v>45295</v>
      </c>
      <c r="D231" s="4">
        <v>2024</v>
      </c>
      <c r="E231" s="4">
        <v>1</v>
      </c>
      <c r="F231" s="4">
        <v>4</v>
      </c>
      <c r="G231" s="1" t="s">
        <v>31</v>
      </c>
      <c r="I231" s="1" t="s">
        <v>25</v>
      </c>
      <c r="J231" s="1" t="s">
        <v>29</v>
      </c>
      <c r="K231" s="3" t="s">
        <v>28</v>
      </c>
      <c r="L231" s="3" t="s">
        <v>6</v>
      </c>
      <c r="M231" s="3" t="s">
        <v>23</v>
      </c>
      <c r="N231" s="3" t="s">
        <v>4</v>
      </c>
      <c r="O231" s="3" t="s">
        <v>5</v>
      </c>
      <c r="P231" s="3" t="s">
        <v>3</v>
      </c>
      <c r="Q231" s="3">
        <v>110</v>
      </c>
      <c r="R231" s="3">
        <v>85</v>
      </c>
      <c r="S231" s="3">
        <v>9350</v>
      </c>
      <c r="T231" s="3">
        <v>935</v>
      </c>
      <c r="U231" s="3">
        <v>10285</v>
      </c>
    </row>
    <row r="232" spans="1:21" x14ac:dyDescent="0.25">
      <c r="A232" s="1">
        <v>231</v>
      </c>
      <c r="B232" s="2">
        <v>45295</v>
      </c>
      <c r="C232" s="2">
        <v>45295</v>
      </c>
      <c r="D232" s="4">
        <v>2024</v>
      </c>
      <c r="E232" s="4">
        <v>1</v>
      </c>
      <c r="F232" s="4">
        <v>4</v>
      </c>
      <c r="G232" s="1" t="s">
        <v>31</v>
      </c>
      <c r="I232" s="1" t="s">
        <v>69</v>
      </c>
      <c r="J232" s="1" t="s">
        <v>70</v>
      </c>
      <c r="K232" s="3" t="s">
        <v>28</v>
      </c>
      <c r="L232" s="3" t="s">
        <v>6</v>
      </c>
      <c r="M232" s="3" t="s">
        <v>23</v>
      </c>
      <c r="N232" s="3" t="s">
        <v>4</v>
      </c>
      <c r="O232" s="3" t="s">
        <v>5</v>
      </c>
      <c r="P232" s="3" t="s">
        <v>3</v>
      </c>
      <c r="Q232" s="3">
        <v>210</v>
      </c>
      <c r="R232" s="3">
        <v>85</v>
      </c>
      <c r="S232" s="3">
        <v>17850</v>
      </c>
      <c r="T232" s="3">
        <v>1785</v>
      </c>
      <c r="U232" s="3">
        <v>19635</v>
      </c>
    </row>
    <row r="233" spans="1:21" x14ac:dyDescent="0.25">
      <c r="A233" s="1">
        <v>232</v>
      </c>
      <c r="B233" s="2">
        <v>45295</v>
      </c>
      <c r="C233" s="2">
        <v>45295</v>
      </c>
      <c r="D233" s="4">
        <v>2024</v>
      </c>
      <c r="E233" s="4">
        <v>1</v>
      </c>
      <c r="F233" s="4">
        <v>4</v>
      </c>
      <c r="G233" s="1" t="s">
        <v>31</v>
      </c>
      <c r="I233" s="1" t="s">
        <v>100</v>
      </c>
      <c r="J233" s="1" t="s">
        <v>101</v>
      </c>
      <c r="K233" s="3" t="s">
        <v>28</v>
      </c>
      <c r="L233" s="3" t="s">
        <v>6</v>
      </c>
      <c r="M233" s="3" t="s">
        <v>23</v>
      </c>
      <c r="N233" s="3" t="s">
        <v>4</v>
      </c>
      <c r="O233" s="3" t="s">
        <v>5</v>
      </c>
      <c r="P233" s="3" t="s">
        <v>3</v>
      </c>
      <c r="Q233" s="3">
        <v>280</v>
      </c>
      <c r="R233" s="3">
        <v>85</v>
      </c>
      <c r="S233" s="3">
        <v>23800</v>
      </c>
      <c r="T233" s="3">
        <v>2380</v>
      </c>
      <c r="U233" s="3">
        <v>26180.000000000004</v>
      </c>
    </row>
    <row r="234" spans="1:21" x14ac:dyDescent="0.25">
      <c r="A234" s="1">
        <v>233</v>
      </c>
      <c r="B234" s="2">
        <v>45295</v>
      </c>
      <c r="C234" s="2">
        <v>45295</v>
      </c>
      <c r="D234" s="4">
        <v>2024</v>
      </c>
      <c r="E234" s="4">
        <v>1</v>
      </c>
      <c r="F234" s="4">
        <v>4</v>
      </c>
      <c r="G234" s="1" t="s">
        <v>31</v>
      </c>
      <c r="I234" s="1" t="s">
        <v>57</v>
      </c>
      <c r="J234" s="1" t="s">
        <v>58</v>
      </c>
      <c r="K234" s="3" t="s">
        <v>28</v>
      </c>
      <c r="L234" s="3" t="s">
        <v>6</v>
      </c>
      <c r="M234" s="3" t="s">
        <v>23</v>
      </c>
      <c r="N234" s="3" t="s">
        <v>4</v>
      </c>
      <c r="O234" s="3" t="s">
        <v>5</v>
      </c>
      <c r="P234" s="3" t="s">
        <v>3</v>
      </c>
      <c r="Q234" s="3">
        <v>190</v>
      </c>
      <c r="R234" s="3">
        <v>85</v>
      </c>
      <c r="S234" s="3">
        <v>16150</v>
      </c>
      <c r="T234" s="3">
        <v>1615</v>
      </c>
      <c r="U234" s="3">
        <v>17765</v>
      </c>
    </row>
    <row r="235" spans="1:21" x14ac:dyDescent="0.25">
      <c r="A235" s="1">
        <v>234</v>
      </c>
      <c r="B235" s="2">
        <v>45295</v>
      </c>
      <c r="C235" s="2">
        <v>45295</v>
      </c>
      <c r="D235" s="4">
        <v>2024</v>
      </c>
      <c r="E235" s="4">
        <v>1</v>
      </c>
      <c r="F235" s="4">
        <v>4</v>
      </c>
      <c r="G235" s="1" t="s">
        <v>31</v>
      </c>
      <c r="I235" s="1" t="s">
        <v>56</v>
      </c>
      <c r="J235" s="1" t="s">
        <v>31</v>
      </c>
      <c r="K235" s="3" t="s">
        <v>119</v>
      </c>
      <c r="L235" s="3" t="s">
        <v>6</v>
      </c>
      <c r="M235" s="3" t="s">
        <v>23</v>
      </c>
      <c r="N235" s="3" t="s">
        <v>4</v>
      </c>
      <c r="O235" s="3" t="s">
        <v>2</v>
      </c>
      <c r="P235" s="3" t="s">
        <v>3</v>
      </c>
      <c r="Q235" s="3">
        <v>3340</v>
      </c>
      <c r="R235" s="3">
        <v>85</v>
      </c>
      <c r="S235" s="3">
        <v>283900</v>
      </c>
      <c r="T235" s="3">
        <v>28390</v>
      </c>
      <c r="U235" s="3">
        <v>312290</v>
      </c>
    </row>
    <row r="236" spans="1:21" x14ac:dyDescent="0.25">
      <c r="A236" s="1">
        <v>235</v>
      </c>
      <c r="B236" s="2">
        <v>45295</v>
      </c>
      <c r="C236" s="2">
        <v>45295</v>
      </c>
      <c r="D236" s="4">
        <v>2024</v>
      </c>
      <c r="E236" s="4">
        <v>1</v>
      </c>
      <c r="F236" s="4">
        <v>4</v>
      </c>
      <c r="G236" s="1" t="s">
        <v>31</v>
      </c>
      <c r="I236" s="1" t="s">
        <v>135</v>
      </c>
      <c r="J236" s="1" t="s">
        <v>136</v>
      </c>
      <c r="K236" s="3" t="s">
        <v>28</v>
      </c>
      <c r="L236" s="3" t="s">
        <v>6</v>
      </c>
      <c r="M236" s="3" t="s">
        <v>23</v>
      </c>
      <c r="N236" s="3" t="s">
        <v>4</v>
      </c>
      <c r="O236" s="3" t="s">
        <v>5</v>
      </c>
      <c r="P236" s="3" t="s">
        <v>3</v>
      </c>
      <c r="Q236" s="3">
        <v>180</v>
      </c>
      <c r="R236" s="3">
        <v>85</v>
      </c>
      <c r="S236" s="3">
        <v>15300</v>
      </c>
      <c r="T236" s="3">
        <v>1530</v>
      </c>
      <c r="U236" s="3">
        <v>16830</v>
      </c>
    </row>
    <row r="237" spans="1:21" x14ac:dyDescent="0.25">
      <c r="A237" s="1">
        <v>236</v>
      </c>
      <c r="B237" s="2">
        <v>45295</v>
      </c>
      <c r="C237" s="2">
        <v>45295</v>
      </c>
      <c r="D237" s="4">
        <v>2024</v>
      </c>
      <c r="E237" s="4">
        <v>1</v>
      </c>
      <c r="F237" s="4">
        <v>4</v>
      </c>
      <c r="G237" s="1" t="s">
        <v>31</v>
      </c>
      <c r="I237" s="1" t="s">
        <v>69</v>
      </c>
      <c r="J237" s="1" t="s">
        <v>70</v>
      </c>
      <c r="K237" s="3" t="s">
        <v>28</v>
      </c>
      <c r="L237" s="3" t="s">
        <v>6</v>
      </c>
      <c r="M237" s="3" t="s">
        <v>23</v>
      </c>
      <c r="N237" s="3" t="s">
        <v>4</v>
      </c>
      <c r="O237" s="3" t="s">
        <v>5</v>
      </c>
      <c r="P237" s="3" t="s">
        <v>3</v>
      </c>
      <c r="Q237" s="3">
        <v>180</v>
      </c>
      <c r="R237" s="3">
        <v>85</v>
      </c>
      <c r="S237" s="3">
        <v>15300</v>
      </c>
      <c r="T237" s="3">
        <v>1530</v>
      </c>
      <c r="U237" s="3">
        <v>16830</v>
      </c>
    </row>
    <row r="238" spans="1:21" x14ac:dyDescent="0.25">
      <c r="A238" s="1">
        <v>237</v>
      </c>
      <c r="B238" s="2">
        <v>45295</v>
      </c>
      <c r="C238" s="2">
        <v>45295</v>
      </c>
      <c r="D238" s="4">
        <v>2024</v>
      </c>
      <c r="E238" s="4">
        <v>1</v>
      </c>
      <c r="F238" s="4">
        <v>4</v>
      </c>
      <c r="G238" s="1" t="s">
        <v>31</v>
      </c>
      <c r="I238" s="1" t="s">
        <v>67</v>
      </c>
      <c r="J238" s="1" t="s">
        <v>68</v>
      </c>
      <c r="K238" s="3" t="s">
        <v>28</v>
      </c>
      <c r="L238" s="3" t="s">
        <v>6</v>
      </c>
      <c r="M238" s="3" t="s">
        <v>23</v>
      </c>
      <c r="N238" s="3" t="s">
        <v>4</v>
      </c>
      <c r="O238" s="3" t="s">
        <v>5</v>
      </c>
      <c r="P238" s="3" t="s">
        <v>3</v>
      </c>
      <c r="Q238" s="3">
        <v>600</v>
      </c>
      <c r="R238" s="3">
        <v>85</v>
      </c>
      <c r="S238" s="3">
        <v>51000</v>
      </c>
      <c r="T238" s="3">
        <v>5100</v>
      </c>
      <c r="U238" s="3">
        <v>56100.000000000007</v>
      </c>
    </row>
    <row r="239" spans="1:21" x14ac:dyDescent="0.25">
      <c r="A239" s="1">
        <v>238</v>
      </c>
      <c r="B239" s="2">
        <v>45295</v>
      </c>
      <c r="C239" s="2">
        <v>45295</v>
      </c>
      <c r="D239" s="4">
        <v>2024</v>
      </c>
      <c r="E239" s="4">
        <v>1</v>
      </c>
      <c r="F239" s="4">
        <v>4</v>
      </c>
      <c r="G239" s="1" t="s">
        <v>31</v>
      </c>
      <c r="I239" s="1" t="s">
        <v>25</v>
      </c>
      <c r="J239" s="1" t="s">
        <v>29</v>
      </c>
      <c r="K239" s="3" t="s">
        <v>28</v>
      </c>
      <c r="L239" s="3" t="s">
        <v>6</v>
      </c>
      <c r="M239" s="3" t="s">
        <v>23</v>
      </c>
      <c r="N239" s="3" t="s">
        <v>4</v>
      </c>
      <c r="O239" s="3" t="s">
        <v>5</v>
      </c>
      <c r="P239" s="3" t="s">
        <v>3</v>
      </c>
      <c r="Q239" s="3">
        <v>80</v>
      </c>
      <c r="R239" s="3">
        <v>85</v>
      </c>
      <c r="S239" s="3">
        <v>6800</v>
      </c>
      <c r="T239" s="3">
        <v>680</v>
      </c>
      <c r="U239" s="3">
        <v>7480.0000000000009</v>
      </c>
    </row>
    <row r="240" spans="1:21" x14ac:dyDescent="0.25">
      <c r="A240" s="1">
        <v>239</v>
      </c>
      <c r="B240" s="2">
        <v>45295</v>
      </c>
      <c r="C240" s="2">
        <v>45295</v>
      </c>
      <c r="D240" s="4">
        <v>2024</v>
      </c>
      <c r="E240" s="4">
        <v>1</v>
      </c>
      <c r="F240" s="4">
        <v>4</v>
      </c>
      <c r="G240" s="1" t="s">
        <v>31</v>
      </c>
      <c r="I240" s="1" t="s">
        <v>67</v>
      </c>
      <c r="J240" s="1" t="s">
        <v>68</v>
      </c>
      <c r="K240" s="3" t="s">
        <v>28</v>
      </c>
      <c r="L240" s="3" t="s">
        <v>6</v>
      </c>
      <c r="M240" s="3" t="s">
        <v>23</v>
      </c>
      <c r="N240" s="3" t="s">
        <v>4</v>
      </c>
      <c r="O240" s="3" t="s">
        <v>5</v>
      </c>
      <c r="P240" s="3" t="s">
        <v>3</v>
      </c>
      <c r="Q240" s="3">
        <v>100</v>
      </c>
      <c r="R240" s="3">
        <v>85</v>
      </c>
      <c r="S240" s="3">
        <v>8500</v>
      </c>
      <c r="T240" s="3">
        <v>850</v>
      </c>
      <c r="U240" s="3">
        <v>9350</v>
      </c>
    </row>
    <row r="241" spans="1:21" x14ac:dyDescent="0.25">
      <c r="A241" s="1">
        <v>240</v>
      </c>
      <c r="B241" s="2">
        <v>45295</v>
      </c>
      <c r="C241" s="2">
        <v>45295</v>
      </c>
      <c r="D241" s="4">
        <v>2024</v>
      </c>
      <c r="E241" s="4">
        <v>1</v>
      </c>
      <c r="F241" s="4">
        <v>4</v>
      </c>
      <c r="G241" s="1" t="s">
        <v>31</v>
      </c>
      <c r="H241" s="1" t="s">
        <v>52</v>
      </c>
      <c r="I241" s="1" t="s">
        <v>53</v>
      </c>
      <c r="J241" s="1" t="s">
        <v>54</v>
      </c>
      <c r="K241" s="3" t="s">
        <v>28</v>
      </c>
      <c r="L241" s="3" t="s">
        <v>6</v>
      </c>
      <c r="M241" s="3" t="s">
        <v>23</v>
      </c>
      <c r="N241" s="3" t="s">
        <v>4</v>
      </c>
      <c r="O241" s="3" t="s">
        <v>5</v>
      </c>
      <c r="P241" s="3" t="s">
        <v>3</v>
      </c>
      <c r="Q241" s="3">
        <v>270</v>
      </c>
      <c r="R241" s="3">
        <v>85</v>
      </c>
      <c r="S241" s="3">
        <v>22950</v>
      </c>
      <c r="T241" s="3">
        <v>2295</v>
      </c>
      <c r="U241" s="3">
        <v>25245.000000000004</v>
      </c>
    </row>
    <row r="242" spans="1:21" x14ac:dyDescent="0.25">
      <c r="A242" s="1">
        <v>241</v>
      </c>
      <c r="B242" s="2">
        <v>45295</v>
      </c>
      <c r="C242" s="2">
        <v>45295</v>
      </c>
      <c r="D242" s="4">
        <v>2024</v>
      </c>
      <c r="E242" s="4">
        <v>1</v>
      </c>
      <c r="F242" s="4">
        <v>4</v>
      </c>
      <c r="G242" s="1" t="s">
        <v>31</v>
      </c>
      <c r="H242" s="1" t="s">
        <v>52</v>
      </c>
      <c r="I242" s="1" t="s">
        <v>53</v>
      </c>
      <c r="J242" s="1" t="s">
        <v>54</v>
      </c>
      <c r="K242" s="3" t="s">
        <v>28</v>
      </c>
      <c r="L242" s="3" t="s">
        <v>6</v>
      </c>
      <c r="M242" s="3" t="s">
        <v>23</v>
      </c>
      <c r="N242" s="3" t="s">
        <v>4</v>
      </c>
      <c r="O242" s="3" t="s">
        <v>5</v>
      </c>
      <c r="P242" s="3" t="s">
        <v>3</v>
      </c>
      <c r="Q242" s="3">
        <v>270</v>
      </c>
      <c r="R242" s="3">
        <v>85</v>
      </c>
      <c r="S242" s="3">
        <v>22950</v>
      </c>
      <c r="T242" s="3">
        <v>2295</v>
      </c>
      <c r="U242" s="3">
        <v>25245.000000000004</v>
      </c>
    </row>
    <row r="243" spans="1:21" x14ac:dyDescent="0.25">
      <c r="A243" s="1">
        <v>242</v>
      </c>
      <c r="B243" s="2">
        <v>45295</v>
      </c>
      <c r="C243" s="2">
        <v>45295</v>
      </c>
      <c r="D243" s="4">
        <v>2024</v>
      </c>
      <c r="E243" s="4">
        <v>1</v>
      </c>
      <c r="F243" s="4">
        <v>4</v>
      </c>
      <c r="G243" s="1" t="s">
        <v>31</v>
      </c>
      <c r="H243" s="1" t="s">
        <v>52</v>
      </c>
      <c r="I243" s="1" t="s">
        <v>53</v>
      </c>
      <c r="J243" s="1" t="s">
        <v>54</v>
      </c>
      <c r="K243" s="3" t="s">
        <v>28</v>
      </c>
      <c r="L243" s="3" t="s">
        <v>6</v>
      </c>
      <c r="M243" s="3" t="s">
        <v>23</v>
      </c>
      <c r="N243" s="3" t="s">
        <v>4</v>
      </c>
      <c r="O243" s="3" t="s">
        <v>5</v>
      </c>
      <c r="P243" s="3" t="s">
        <v>3</v>
      </c>
      <c r="Q243" s="3">
        <v>290</v>
      </c>
      <c r="R243" s="3">
        <v>85</v>
      </c>
      <c r="S243" s="3">
        <v>24650</v>
      </c>
      <c r="T243" s="3">
        <v>2465</v>
      </c>
      <c r="U243" s="3">
        <v>27115.000000000004</v>
      </c>
    </row>
    <row r="244" spans="1:21" x14ac:dyDescent="0.25">
      <c r="A244" s="1">
        <v>243</v>
      </c>
      <c r="B244" s="2">
        <v>45296</v>
      </c>
      <c r="C244" s="2">
        <v>45296</v>
      </c>
      <c r="D244" s="4">
        <v>2024</v>
      </c>
      <c r="E244" s="4">
        <v>1</v>
      </c>
      <c r="F244" s="4">
        <v>5</v>
      </c>
      <c r="G244" s="1" t="s">
        <v>32</v>
      </c>
      <c r="I244" s="1" t="s">
        <v>40</v>
      </c>
      <c r="J244" s="1" t="s">
        <v>32</v>
      </c>
      <c r="K244" s="3" t="s">
        <v>119</v>
      </c>
      <c r="L244" s="3" t="s">
        <v>6</v>
      </c>
      <c r="M244" s="3" t="s">
        <v>23</v>
      </c>
      <c r="N244" s="3" t="s">
        <v>4</v>
      </c>
      <c r="O244" s="3" t="s">
        <v>2</v>
      </c>
      <c r="P244" s="3" t="s">
        <v>3</v>
      </c>
      <c r="Q244" s="3">
        <v>4725</v>
      </c>
      <c r="R244" s="3">
        <v>90</v>
      </c>
      <c r="S244" s="3">
        <v>425250</v>
      </c>
      <c r="T244" s="3">
        <v>42525</v>
      </c>
      <c r="U244" s="3">
        <v>467775.00000000006</v>
      </c>
    </row>
    <row r="245" spans="1:21" x14ac:dyDescent="0.25">
      <c r="A245" s="1">
        <v>244</v>
      </c>
      <c r="B245" s="2">
        <v>45296</v>
      </c>
      <c r="C245" s="2">
        <v>45296</v>
      </c>
      <c r="D245" s="4">
        <v>2024</v>
      </c>
      <c r="E245" s="4">
        <v>1</v>
      </c>
      <c r="F245" s="4">
        <v>5</v>
      </c>
      <c r="G245" s="1" t="s">
        <v>36</v>
      </c>
      <c r="I245" s="1" t="s">
        <v>106</v>
      </c>
      <c r="J245" s="1" t="s">
        <v>36</v>
      </c>
      <c r="K245" s="3" t="s">
        <v>119</v>
      </c>
      <c r="L245" s="3" t="s">
        <v>46</v>
      </c>
      <c r="M245" s="3" t="s">
        <v>23</v>
      </c>
      <c r="N245" s="3" t="s">
        <v>47</v>
      </c>
      <c r="O245" s="3" t="s">
        <v>2</v>
      </c>
      <c r="P245" s="3" t="s">
        <v>3</v>
      </c>
      <c r="Q245" s="3">
        <v>3295</v>
      </c>
      <c r="R245" s="3">
        <v>0</v>
      </c>
      <c r="S245" s="3">
        <v>0</v>
      </c>
      <c r="T245" s="3">
        <v>0</v>
      </c>
      <c r="U245" s="3">
        <v>0</v>
      </c>
    </row>
    <row r="246" spans="1:21" x14ac:dyDescent="0.25">
      <c r="A246" s="1">
        <v>245</v>
      </c>
      <c r="B246" s="2">
        <v>45296</v>
      </c>
      <c r="C246" s="2">
        <v>45296</v>
      </c>
      <c r="D246" s="4">
        <v>2024</v>
      </c>
      <c r="E246" s="4">
        <v>1</v>
      </c>
      <c r="F246" s="4">
        <v>5</v>
      </c>
      <c r="G246" s="1" t="s">
        <v>32</v>
      </c>
      <c r="I246" s="1" t="s">
        <v>41</v>
      </c>
      <c r="J246" s="1" t="s">
        <v>32</v>
      </c>
      <c r="K246" s="3" t="s">
        <v>119</v>
      </c>
      <c r="L246" s="3" t="s">
        <v>6</v>
      </c>
      <c r="M246" s="3" t="s">
        <v>23</v>
      </c>
      <c r="N246" s="3" t="s">
        <v>4</v>
      </c>
      <c r="O246" s="3" t="s">
        <v>2</v>
      </c>
      <c r="P246" s="3" t="s">
        <v>3</v>
      </c>
      <c r="Q246" s="3">
        <v>5125</v>
      </c>
      <c r="R246" s="3">
        <v>90</v>
      </c>
      <c r="S246" s="3">
        <v>461250</v>
      </c>
      <c r="T246" s="3">
        <v>46125</v>
      </c>
      <c r="U246" s="3">
        <v>507375.00000000006</v>
      </c>
    </row>
    <row r="247" spans="1:21" x14ac:dyDescent="0.25">
      <c r="A247" s="1">
        <v>246</v>
      </c>
      <c r="B247" s="2">
        <v>45296</v>
      </c>
      <c r="C247" s="2">
        <v>45296</v>
      </c>
      <c r="D247" s="4">
        <v>2024</v>
      </c>
      <c r="E247" s="4">
        <v>1</v>
      </c>
      <c r="F247" s="4">
        <v>5</v>
      </c>
      <c r="G247" s="1" t="s">
        <v>36</v>
      </c>
      <c r="I247" s="1" t="s">
        <v>49</v>
      </c>
      <c r="J247" s="1" t="s">
        <v>36</v>
      </c>
      <c r="K247" s="3" t="s">
        <v>119</v>
      </c>
      <c r="L247" s="3" t="s">
        <v>46</v>
      </c>
      <c r="M247" s="3" t="s">
        <v>23</v>
      </c>
      <c r="N247" s="3" t="s">
        <v>47</v>
      </c>
      <c r="O247" s="3" t="s">
        <v>2</v>
      </c>
      <c r="P247" s="3" t="s">
        <v>3</v>
      </c>
      <c r="Q247" s="3">
        <v>2950</v>
      </c>
      <c r="R247" s="3">
        <v>0</v>
      </c>
      <c r="S247" s="3">
        <v>0</v>
      </c>
      <c r="T247" s="3">
        <v>0</v>
      </c>
      <c r="U247" s="3">
        <v>0</v>
      </c>
    </row>
    <row r="248" spans="1:21" x14ac:dyDescent="0.25">
      <c r="A248" s="1">
        <v>247</v>
      </c>
      <c r="B248" s="2">
        <v>45296</v>
      </c>
      <c r="C248" s="2">
        <v>45296</v>
      </c>
      <c r="D248" s="4">
        <v>2024</v>
      </c>
      <c r="E248" s="4">
        <v>1</v>
      </c>
      <c r="F248" s="4">
        <v>5</v>
      </c>
      <c r="G248" s="1" t="s">
        <v>127</v>
      </c>
      <c r="I248" s="1" t="s">
        <v>128</v>
      </c>
      <c r="J248" s="1" t="s">
        <v>127</v>
      </c>
      <c r="K248" s="3" t="s">
        <v>119</v>
      </c>
      <c r="L248" s="3" t="s">
        <v>75</v>
      </c>
      <c r="M248" s="3" t="s">
        <v>79</v>
      </c>
      <c r="N248" s="3" t="s">
        <v>79</v>
      </c>
      <c r="O248" s="3" t="s">
        <v>2</v>
      </c>
      <c r="P248" s="3" t="s">
        <v>3</v>
      </c>
      <c r="Q248" s="3">
        <v>12360</v>
      </c>
      <c r="R248" s="3">
        <v>0</v>
      </c>
      <c r="S248" s="3">
        <v>0</v>
      </c>
      <c r="T248" s="3">
        <v>0</v>
      </c>
      <c r="U248" s="3">
        <v>0</v>
      </c>
    </row>
    <row r="249" spans="1:21" x14ac:dyDescent="0.25">
      <c r="A249" s="1">
        <v>248</v>
      </c>
      <c r="B249" s="2">
        <v>45296</v>
      </c>
      <c r="C249" s="2">
        <v>45296</v>
      </c>
      <c r="D249" s="4">
        <v>2024</v>
      </c>
      <c r="E249" s="4">
        <v>1</v>
      </c>
      <c r="F249" s="4">
        <v>5</v>
      </c>
      <c r="G249" s="1" t="s">
        <v>36</v>
      </c>
      <c r="I249" s="1" t="s">
        <v>81</v>
      </c>
      <c r="J249" s="1" t="s">
        <v>36</v>
      </c>
      <c r="K249" s="3" t="s">
        <v>119</v>
      </c>
      <c r="L249" s="3" t="s">
        <v>77</v>
      </c>
      <c r="M249" s="3" t="s">
        <v>23</v>
      </c>
      <c r="N249" s="3" t="s">
        <v>78</v>
      </c>
      <c r="O249" s="3" t="s">
        <v>2</v>
      </c>
      <c r="P249" s="3" t="s">
        <v>3</v>
      </c>
      <c r="Q249" s="3">
        <v>3710</v>
      </c>
      <c r="R249" s="3">
        <v>0</v>
      </c>
      <c r="S249" s="3">
        <v>0</v>
      </c>
      <c r="T249" s="3">
        <v>0</v>
      </c>
      <c r="U249" s="3">
        <v>0</v>
      </c>
    </row>
    <row r="250" spans="1:21" x14ac:dyDescent="0.25">
      <c r="A250" s="1">
        <v>249</v>
      </c>
      <c r="B250" s="2">
        <v>45296</v>
      </c>
      <c r="C250" s="2">
        <v>45296</v>
      </c>
      <c r="D250" s="4">
        <v>2024</v>
      </c>
      <c r="E250" s="4">
        <v>1</v>
      </c>
      <c r="F250" s="4">
        <v>5</v>
      </c>
      <c r="G250" s="1" t="s">
        <v>32</v>
      </c>
      <c r="I250" s="1" t="s">
        <v>41</v>
      </c>
      <c r="J250" s="1" t="s">
        <v>32</v>
      </c>
      <c r="K250" s="3" t="s">
        <v>119</v>
      </c>
      <c r="L250" s="3" t="s">
        <v>6</v>
      </c>
      <c r="M250" s="3" t="s">
        <v>23</v>
      </c>
      <c r="N250" s="3" t="s">
        <v>4</v>
      </c>
      <c r="O250" s="3" t="s">
        <v>2</v>
      </c>
      <c r="P250" s="3" t="s">
        <v>3</v>
      </c>
      <c r="Q250" s="3">
        <v>5375</v>
      </c>
      <c r="R250" s="3">
        <v>90</v>
      </c>
      <c r="S250" s="3">
        <v>483750</v>
      </c>
      <c r="T250" s="3">
        <v>48375</v>
      </c>
      <c r="U250" s="3">
        <v>532125</v>
      </c>
    </row>
    <row r="251" spans="1:21" x14ac:dyDescent="0.25">
      <c r="A251" s="1">
        <v>250</v>
      </c>
      <c r="B251" s="2">
        <v>45296</v>
      </c>
      <c r="C251" s="2">
        <v>45296</v>
      </c>
      <c r="D251" s="4">
        <v>2024</v>
      </c>
      <c r="E251" s="4">
        <v>1</v>
      </c>
      <c r="F251" s="4">
        <v>5</v>
      </c>
      <c r="G251" s="1" t="s">
        <v>36</v>
      </c>
      <c r="I251" s="1" t="s">
        <v>48</v>
      </c>
      <c r="J251" s="1" t="s">
        <v>36</v>
      </c>
      <c r="K251" s="3" t="s">
        <v>119</v>
      </c>
      <c r="L251" s="3" t="s">
        <v>46</v>
      </c>
      <c r="M251" s="3" t="s">
        <v>23</v>
      </c>
      <c r="N251" s="3" t="s">
        <v>47</v>
      </c>
      <c r="O251" s="3" t="s">
        <v>2</v>
      </c>
      <c r="P251" s="3" t="s">
        <v>3</v>
      </c>
      <c r="Q251" s="3">
        <v>3085</v>
      </c>
      <c r="R251" s="3">
        <v>0</v>
      </c>
      <c r="S251" s="3">
        <v>0</v>
      </c>
      <c r="T251" s="3">
        <v>0</v>
      </c>
      <c r="U251" s="3">
        <v>0</v>
      </c>
    </row>
    <row r="252" spans="1:21" x14ac:dyDescent="0.25">
      <c r="A252" s="1">
        <v>251</v>
      </c>
      <c r="B252" s="2">
        <v>45296</v>
      </c>
      <c r="C252" s="2">
        <v>45296</v>
      </c>
      <c r="D252" s="4">
        <v>2024</v>
      </c>
      <c r="E252" s="4">
        <v>1</v>
      </c>
      <c r="F252" s="4">
        <v>5</v>
      </c>
      <c r="G252" s="1" t="s">
        <v>36</v>
      </c>
      <c r="I252" s="1" t="s">
        <v>118</v>
      </c>
      <c r="J252" s="1" t="s">
        <v>36</v>
      </c>
      <c r="K252" s="3" t="s">
        <v>119</v>
      </c>
      <c r="L252" s="3" t="s">
        <v>77</v>
      </c>
      <c r="M252" s="3" t="s">
        <v>23</v>
      </c>
      <c r="N252" s="3" t="s">
        <v>78</v>
      </c>
      <c r="O252" s="3" t="s">
        <v>2</v>
      </c>
      <c r="P252" s="3" t="s">
        <v>3</v>
      </c>
      <c r="Q252" s="3">
        <v>4045</v>
      </c>
      <c r="R252" s="3">
        <v>0</v>
      </c>
      <c r="S252" s="3">
        <v>0</v>
      </c>
      <c r="T252" s="3">
        <v>0</v>
      </c>
      <c r="U252" s="3">
        <v>0</v>
      </c>
    </row>
    <row r="253" spans="1:21" x14ac:dyDescent="0.25">
      <c r="A253" s="1">
        <v>252</v>
      </c>
      <c r="B253" s="2">
        <v>45296</v>
      </c>
      <c r="C253" s="2">
        <v>45296</v>
      </c>
      <c r="D253" s="4">
        <v>2024</v>
      </c>
      <c r="E253" s="4">
        <v>1</v>
      </c>
      <c r="F253" s="4">
        <v>5</v>
      </c>
      <c r="G253" s="1" t="s">
        <v>36</v>
      </c>
      <c r="I253" s="1" t="s">
        <v>51</v>
      </c>
      <c r="J253" s="1" t="s">
        <v>36</v>
      </c>
      <c r="K253" s="3" t="s">
        <v>119</v>
      </c>
      <c r="L253" s="3" t="s">
        <v>46</v>
      </c>
      <c r="M253" s="3" t="s">
        <v>23</v>
      </c>
      <c r="N253" s="3" t="s">
        <v>47</v>
      </c>
      <c r="O253" s="3" t="s">
        <v>2</v>
      </c>
      <c r="P253" s="3" t="s">
        <v>3</v>
      </c>
      <c r="Q253" s="3">
        <v>3330</v>
      </c>
      <c r="R253" s="3">
        <v>0</v>
      </c>
      <c r="S253" s="3">
        <v>0</v>
      </c>
      <c r="T253" s="3">
        <v>0</v>
      </c>
      <c r="U253" s="3">
        <v>0</v>
      </c>
    </row>
    <row r="254" spans="1:21" x14ac:dyDescent="0.25">
      <c r="A254" s="1">
        <v>253</v>
      </c>
      <c r="B254" s="2">
        <v>45296</v>
      </c>
      <c r="C254" s="2">
        <v>45296</v>
      </c>
      <c r="D254" s="4">
        <v>2024</v>
      </c>
      <c r="E254" s="4">
        <v>1</v>
      </c>
      <c r="F254" s="4">
        <v>5</v>
      </c>
      <c r="G254" s="1" t="s">
        <v>36</v>
      </c>
      <c r="I254" s="1" t="s">
        <v>80</v>
      </c>
      <c r="J254" s="1" t="s">
        <v>36</v>
      </c>
      <c r="K254" s="3" t="s">
        <v>119</v>
      </c>
      <c r="L254" s="3" t="s">
        <v>77</v>
      </c>
      <c r="M254" s="3" t="s">
        <v>23</v>
      </c>
      <c r="N254" s="3" t="s">
        <v>78</v>
      </c>
      <c r="O254" s="3" t="s">
        <v>2</v>
      </c>
      <c r="P254" s="3" t="s">
        <v>3</v>
      </c>
      <c r="Q254" s="3">
        <v>3990</v>
      </c>
      <c r="R254" s="3">
        <v>0</v>
      </c>
      <c r="S254" s="3">
        <v>0</v>
      </c>
      <c r="T254" s="3">
        <v>0</v>
      </c>
      <c r="U254" s="3">
        <v>0</v>
      </c>
    </row>
    <row r="255" spans="1:21" x14ac:dyDescent="0.25">
      <c r="A255" s="1">
        <v>254</v>
      </c>
      <c r="B255" s="2">
        <v>45296</v>
      </c>
      <c r="C255" s="2">
        <v>45296</v>
      </c>
      <c r="D255" s="4">
        <v>2024</v>
      </c>
      <c r="E255" s="4">
        <v>1</v>
      </c>
      <c r="F255" s="4">
        <v>5</v>
      </c>
      <c r="G255" s="1" t="s">
        <v>34</v>
      </c>
      <c r="I255" s="1" t="s">
        <v>71</v>
      </c>
      <c r="J255" s="1" t="s">
        <v>34</v>
      </c>
      <c r="K255" s="3" t="s">
        <v>119</v>
      </c>
      <c r="L255" s="3" t="s">
        <v>72</v>
      </c>
      <c r="M255" s="3" t="s">
        <v>73</v>
      </c>
      <c r="N255" s="3" t="s">
        <v>74</v>
      </c>
      <c r="O255" s="3" t="s">
        <v>2</v>
      </c>
      <c r="P255" s="3" t="s">
        <v>3</v>
      </c>
      <c r="Q255" s="3">
        <v>1825</v>
      </c>
      <c r="R255" s="3">
        <v>1450</v>
      </c>
      <c r="S255" s="3">
        <v>2646250</v>
      </c>
      <c r="T255" s="3">
        <v>264625</v>
      </c>
      <c r="U255" s="3">
        <v>2910875.0000000005</v>
      </c>
    </row>
    <row r="256" spans="1:21" x14ac:dyDescent="0.25">
      <c r="A256" s="1">
        <v>255</v>
      </c>
      <c r="B256" s="2">
        <v>45296</v>
      </c>
      <c r="C256" s="2">
        <v>45296</v>
      </c>
      <c r="D256" s="4">
        <v>2024</v>
      </c>
      <c r="E256" s="4">
        <v>1</v>
      </c>
      <c r="F256" s="4">
        <v>5</v>
      </c>
      <c r="G256" s="1" t="s">
        <v>31</v>
      </c>
      <c r="I256" s="1" t="s">
        <v>57</v>
      </c>
      <c r="J256" s="1" t="s">
        <v>58</v>
      </c>
      <c r="K256" s="3" t="s">
        <v>28</v>
      </c>
      <c r="L256" s="3" t="s">
        <v>6</v>
      </c>
      <c r="M256" s="3" t="s">
        <v>23</v>
      </c>
      <c r="N256" s="3" t="s">
        <v>4</v>
      </c>
      <c r="O256" s="3" t="s">
        <v>5</v>
      </c>
      <c r="P256" s="3" t="s">
        <v>3</v>
      </c>
      <c r="Q256" s="3">
        <v>130</v>
      </c>
      <c r="R256" s="3">
        <v>85</v>
      </c>
      <c r="S256" s="3">
        <v>11050</v>
      </c>
      <c r="T256" s="3">
        <v>1105</v>
      </c>
      <c r="U256" s="3">
        <v>12155.000000000002</v>
      </c>
    </row>
    <row r="257" spans="1:21" x14ac:dyDescent="0.25">
      <c r="A257" s="1">
        <v>256</v>
      </c>
      <c r="B257" s="2">
        <v>45296</v>
      </c>
      <c r="C257" s="2">
        <v>45296</v>
      </c>
      <c r="D257" s="4">
        <v>2024</v>
      </c>
      <c r="E257" s="4">
        <v>1</v>
      </c>
      <c r="F257" s="4">
        <v>5</v>
      </c>
      <c r="G257" s="1" t="s">
        <v>31</v>
      </c>
      <c r="I257" s="1" t="s">
        <v>59</v>
      </c>
      <c r="J257" s="1" t="s">
        <v>60</v>
      </c>
      <c r="K257" s="3" t="s">
        <v>28</v>
      </c>
      <c r="L257" s="3" t="s">
        <v>6</v>
      </c>
      <c r="M257" s="3" t="s">
        <v>23</v>
      </c>
      <c r="N257" s="3" t="s">
        <v>4</v>
      </c>
      <c r="O257" s="3" t="s">
        <v>5</v>
      </c>
      <c r="P257" s="3" t="s">
        <v>3</v>
      </c>
      <c r="Q257" s="3">
        <v>200</v>
      </c>
      <c r="R257" s="3">
        <v>85</v>
      </c>
      <c r="S257" s="3">
        <v>17000</v>
      </c>
      <c r="T257" s="3">
        <v>1700</v>
      </c>
      <c r="U257" s="3">
        <v>18700</v>
      </c>
    </row>
    <row r="258" spans="1:21" x14ac:dyDescent="0.25">
      <c r="A258" s="1">
        <v>257</v>
      </c>
      <c r="B258" s="2">
        <v>45296</v>
      </c>
      <c r="C258" s="2">
        <v>45296</v>
      </c>
      <c r="D258" s="4">
        <v>2024</v>
      </c>
      <c r="E258" s="4">
        <v>1</v>
      </c>
      <c r="F258" s="4">
        <v>5</v>
      </c>
      <c r="G258" s="1" t="s">
        <v>31</v>
      </c>
      <c r="I258" s="1" t="s">
        <v>59</v>
      </c>
      <c r="J258" s="1" t="s">
        <v>60</v>
      </c>
      <c r="K258" s="3" t="s">
        <v>28</v>
      </c>
      <c r="L258" s="3" t="s">
        <v>6</v>
      </c>
      <c r="M258" s="3" t="s">
        <v>23</v>
      </c>
      <c r="N258" s="3" t="s">
        <v>4</v>
      </c>
      <c r="O258" s="3" t="s">
        <v>5</v>
      </c>
      <c r="P258" s="3" t="s">
        <v>3</v>
      </c>
      <c r="Q258" s="3">
        <v>110</v>
      </c>
      <c r="R258" s="3">
        <v>85</v>
      </c>
      <c r="S258" s="3">
        <v>9350</v>
      </c>
      <c r="T258" s="3">
        <v>935</v>
      </c>
      <c r="U258" s="3">
        <v>10285</v>
      </c>
    </row>
    <row r="259" spans="1:21" x14ac:dyDescent="0.25">
      <c r="A259" s="1">
        <v>258</v>
      </c>
      <c r="B259" s="2">
        <v>45296</v>
      </c>
      <c r="C259" s="2">
        <v>45296</v>
      </c>
      <c r="D259" s="4">
        <v>2024</v>
      </c>
      <c r="E259" s="4">
        <v>1</v>
      </c>
      <c r="F259" s="4">
        <v>5</v>
      </c>
      <c r="G259" s="1" t="s">
        <v>31</v>
      </c>
      <c r="I259" s="1" t="s">
        <v>57</v>
      </c>
      <c r="J259" s="1" t="s">
        <v>58</v>
      </c>
      <c r="K259" s="3" t="s">
        <v>28</v>
      </c>
      <c r="L259" s="3" t="s">
        <v>6</v>
      </c>
      <c r="M259" s="3" t="s">
        <v>23</v>
      </c>
      <c r="N259" s="3" t="s">
        <v>4</v>
      </c>
      <c r="O259" s="3" t="s">
        <v>5</v>
      </c>
      <c r="P259" s="3" t="s">
        <v>3</v>
      </c>
      <c r="Q259" s="3">
        <v>140</v>
      </c>
      <c r="R259" s="3">
        <v>85</v>
      </c>
      <c r="S259" s="3">
        <v>11900</v>
      </c>
      <c r="T259" s="3">
        <v>1190</v>
      </c>
      <c r="U259" s="3">
        <v>13090.000000000002</v>
      </c>
    </row>
    <row r="260" spans="1:21" x14ac:dyDescent="0.25">
      <c r="A260" s="1">
        <v>259</v>
      </c>
      <c r="B260" s="2">
        <v>45296</v>
      </c>
      <c r="C260" s="2">
        <v>45296</v>
      </c>
      <c r="D260" s="4">
        <v>2024</v>
      </c>
      <c r="E260" s="4">
        <v>1</v>
      </c>
      <c r="F260" s="4">
        <v>5</v>
      </c>
      <c r="G260" s="1" t="s">
        <v>31</v>
      </c>
      <c r="I260" s="1" t="s">
        <v>63</v>
      </c>
      <c r="J260" s="1" t="s">
        <v>64</v>
      </c>
      <c r="K260" s="3" t="s">
        <v>28</v>
      </c>
      <c r="L260" s="3" t="s">
        <v>6</v>
      </c>
      <c r="M260" s="3" t="s">
        <v>23</v>
      </c>
      <c r="N260" s="3" t="s">
        <v>4</v>
      </c>
      <c r="O260" s="3" t="s">
        <v>5</v>
      </c>
      <c r="P260" s="3" t="s">
        <v>3</v>
      </c>
      <c r="Q260" s="3">
        <v>370</v>
      </c>
      <c r="R260" s="3">
        <v>85</v>
      </c>
      <c r="S260" s="3">
        <v>31450</v>
      </c>
      <c r="T260" s="3">
        <v>3145</v>
      </c>
      <c r="U260" s="3">
        <v>34595</v>
      </c>
    </row>
    <row r="261" spans="1:21" x14ac:dyDescent="0.25">
      <c r="A261" s="1">
        <v>260</v>
      </c>
      <c r="B261" s="2">
        <v>45296</v>
      </c>
      <c r="C261" s="2">
        <v>45296</v>
      </c>
      <c r="D261" s="4">
        <v>2024</v>
      </c>
      <c r="E261" s="4">
        <v>1</v>
      </c>
      <c r="F261" s="4">
        <v>5</v>
      </c>
      <c r="G261" s="1" t="s">
        <v>31</v>
      </c>
      <c r="I261" s="1" t="s">
        <v>55</v>
      </c>
      <c r="J261" s="1" t="s">
        <v>31</v>
      </c>
      <c r="K261" s="3" t="s">
        <v>119</v>
      </c>
      <c r="L261" s="3" t="s">
        <v>6</v>
      </c>
      <c r="M261" s="3" t="s">
        <v>23</v>
      </c>
      <c r="N261" s="3" t="s">
        <v>4</v>
      </c>
      <c r="O261" s="3" t="s">
        <v>2</v>
      </c>
      <c r="P261" s="3" t="s">
        <v>3</v>
      </c>
      <c r="Q261" s="3">
        <v>4090</v>
      </c>
      <c r="R261" s="3">
        <v>85</v>
      </c>
      <c r="S261" s="3">
        <v>347650</v>
      </c>
      <c r="T261" s="3">
        <v>34765</v>
      </c>
      <c r="U261" s="3">
        <v>382415.00000000006</v>
      </c>
    </row>
    <row r="262" spans="1:21" x14ac:dyDescent="0.25">
      <c r="A262" s="1">
        <v>261</v>
      </c>
      <c r="B262" s="2">
        <v>45296</v>
      </c>
      <c r="C262" s="2">
        <v>45296</v>
      </c>
      <c r="D262" s="4">
        <v>2024</v>
      </c>
      <c r="E262" s="4">
        <v>1</v>
      </c>
      <c r="F262" s="4">
        <v>5</v>
      </c>
      <c r="G262" s="1" t="s">
        <v>31</v>
      </c>
      <c r="I262" s="1" t="s">
        <v>25</v>
      </c>
      <c r="J262" s="1" t="s">
        <v>29</v>
      </c>
      <c r="K262" s="3" t="s">
        <v>28</v>
      </c>
      <c r="L262" s="3" t="s">
        <v>6</v>
      </c>
      <c r="M262" s="3" t="s">
        <v>23</v>
      </c>
      <c r="N262" s="3" t="s">
        <v>4</v>
      </c>
      <c r="O262" s="3" t="s">
        <v>5</v>
      </c>
      <c r="P262" s="3" t="s">
        <v>3</v>
      </c>
      <c r="Q262" s="3">
        <v>230</v>
      </c>
      <c r="R262" s="3">
        <v>85</v>
      </c>
      <c r="S262" s="3">
        <v>19550</v>
      </c>
      <c r="T262" s="3">
        <v>1955</v>
      </c>
      <c r="U262" s="3">
        <v>21505</v>
      </c>
    </row>
    <row r="263" spans="1:21" x14ac:dyDescent="0.25">
      <c r="A263" s="1">
        <v>262</v>
      </c>
      <c r="B263" s="2">
        <v>45296</v>
      </c>
      <c r="C263" s="2">
        <v>45296</v>
      </c>
      <c r="D263" s="4">
        <v>2024</v>
      </c>
      <c r="E263" s="4">
        <v>1</v>
      </c>
      <c r="F263" s="4">
        <v>5</v>
      </c>
      <c r="G263" s="1" t="s">
        <v>31</v>
      </c>
      <c r="I263" s="1" t="s">
        <v>65</v>
      </c>
      <c r="J263" s="1" t="s">
        <v>66</v>
      </c>
      <c r="K263" s="3" t="s">
        <v>28</v>
      </c>
      <c r="L263" s="3" t="s">
        <v>6</v>
      </c>
      <c r="M263" s="3" t="s">
        <v>23</v>
      </c>
      <c r="N263" s="3" t="s">
        <v>4</v>
      </c>
      <c r="O263" s="3" t="s">
        <v>5</v>
      </c>
      <c r="P263" s="3" t="s">
        <v>3</v>
      </c>
      <c r="Q263" s="3">
        <v>390</v>
      </c>
      <c r="R263" s="3">
        <v>85</v>
      </c>
      <c r="S263" s="3">
        <v>33150</v>
      </c>
      <c r="T263" s="3">
        <v>3315</v>
      </c>
      <c r="U263" s="3">
        <v>36465</v>
      </c>
    </row>
    <row r="264" spans="1:21" x14ac:dyDescent="0.25">
      <c r="A264" s="1">
        <v>263</v>
      </c>
      <c r="B264" s="2">
        <v>45296</v>
      </c>
      <c r="C264" s="2">
        <v>45296</v>
      </c>
      <c r="D264" s="4">
        <v>2024</v>
      </c>
      <c r="E264" s="4">
        <v>1</v>
      </c>
      <c r="F264" s="4">
        <v>5</v>
      </c>
      <c r="G264" s="1" t="s">
        <v>31</v>
      </c>
      <c r="I264" s="1" t="s">
        <v>37</v>
      </c>
      <c r="J264" s="1" t="s">
        <v>38</v>
      </c>
      <c r="K264" s="3" t="s">
        <v>28</v>
      </c>
      <c r="L264" s="3" t="s">
        <v>6</v>
      </c>
      <c r="M264" s="3" t="s">
        <v>23</v>
      </c>
      <c r="N264" s="3" t="s">
        <v>4</v>
      </c>
      <c r="O264" s="3" t="s">
        <v>5</v>
      </c>
      <c r="P264" s="3" t="s">
        <v>3</v>
      </c>
      <c r="Q264" s="3">
        <v>200</v>
      </c>
      <c r="R264" s="3">
        <v>85</v>
      </c>
      <c r="S264" s="3">
        <v>17000</v>
      </c>
      <c r="T264" s="3">
        <v>1700</v>
      </c>
      <c r="U264" s="3">
        <v>18700</v>
      </c>
    </row>
    <row r="265" spans="1:21" x14ac:dyDescent="0.25">
      <c r="A265" s="1">
        <v>264</v>
      </c>
      <c r="B265" s="2">
        <v>45296</v>
      </c>
      <c r="C265" s="2">
        <v>45296</v>
      </c>
      <c r="D265" s="4">
        <v>2024</v>
      </c>
      <c r="E265" s="4">
        <v>1</v>
      </c>
      <c r="F265" s="4">
        <v>5</v>
      </c>
      <c r="G265" s="1" t="s">
        <v>31</v>
      </c>
      <c r="I265" s="1" t="s">
        <v>59</v>
      </c>
      <c r="J265" s="1" t="s">
        <v>60</v>
      </c>
      <c r="K265" s="3" t="s">
        <v>28</v>
      </c>
      <c r="L265" s="3" t="s">
        <v>6</v>
      </c>
      <c r="M265" s="3" t="s">
        <v>23</v>
      </c>
      <c r="N265" s="3" t="s">
        <v>4</v>
      </c>
      <c r="O265" s="3" t="s">
        <v>5</v>
      </c>
      <c r="P265" s="3" t="s">
        <v>3</v>
      </c>
      <c r="Q265" s="3">
        <v>110</v>
      </c>
      <c r="R265" s="3">
        <v>85</v>
      </c>
      <c r="S265" s="3">
        <v>9350</v>
      </c>
      <c r="T265" s="3">
        <v>935</v>
      </c>
      <c r="U265" s="3">
        <v>10285</v>
      </c>
    </row>
    <row r="266" spans="1:21" x14ac:dyDescent="0.25">
      <c r="A266" s="1">
        <v>265</v>
      </c>
      <c r="B266" s="2">
        <v>45296</v>
      </c>
      <c r="C266" s="2">
        <v>45296</v>
      </c>
      <c r="D266" s="4">
        <v>2024</v>
      </c>
      <c r="E266" s="4">
        <v>1</v>
      </c>
      <c r="F266" s="4">
        <v>5</v>
      </c>
      <c r="G266" s="1" t="s">
        <v>31</v>
      </c>
      <c r="I266" s="1" t="s">
        <v>67</v>
      </c>
      <c r="J266" s="1" t="s">
        <v>68</v>
      </c>
      <c r="K266" s="3" t="s">
        <v>28</v>
      </c>
      <c r="L266" s="3" t="s">
        <v>6</v>
      </c>
      <c r="M266" s="3" t="s">
        <v>23</v>
      </c>
      <c r="N266" s="3" t="s">
        <v>4</v>
      </c>
      <c r="O266" s="3" t="s">
        <v>5</v>
      </c>
      <c r="P266" s="3" t="s">
        <v>3</v>
      </c>
      <c r="Q266" s="3">
        <v>290</v>
      </c>
      <c r="R266" s="3">
        <v>85</v>
      </c>
      <c r="S266" s="3">
        <v>24650</v>
      </c>
      <c r="T266" s="3">
        <v>2465</v>
      </c>
      <c r="U266" s="3">
        <v>27115.000000000004</v>
      </c>
    </row>
    <row r="267" spans="1:21" x14ac:dyDescent="0.25">
      <c r="A267" s="1">
        <v>266</v>
      </c>
      <c r="B267" s="2">
        <v>45296</v>
      </c>
      <c r="C267" s="2">
        <v>45296</v>
      </c>
      <c r="D267" s="4">
        <v>2024</v>
      </c>
      <c r="E267" s="4">
        <v>1</v>
      </c>
      <c r="F267" s="4">
        <v>5</v>
      </c>
      <c r="G267" s="1" t="s">
        <v>31</v>
      </c>
      <c r="I267" s="1" t="s">
        <v>100</v>
      </c>
      <c r="J267" s="1" t="s">
        <v>101</v>
      </c>
      <c r="K267" s="3" t="s">
        <v>28</v>
      </c>
      <c r="L267" s="3" t="s">
        <v>6</v>
      </c>
      <c r="M267" s="3" t="s">
        <v>23</v>
      </c>
      <c r="N267" s="3" t="s">
        <v>4</v>
      </c>
      <c r="O267" s="3" t="s">
        <v>5</v>
      </c>
      <c r="P267" s="3" t="s">
        <v>3</v>
      </c>
      <c r="Q267" s="3">
        <v>250</v>
      </c>
      <c r="R267" s="3">
        <v>85</v>
      </c>
      <c r="S267" s="3">
        <v>21250</v>
      </c>
      <c r="T267" s="3">
        <v>2125</v>
      </c>
      <c r="U267" s="3">
        <v>23375.000000000004</v>
      </c>
    </row>
    <row r="268" spans="1:21" x14ac:dyDescent="0.25">
      <c r="A268" s="1">
        <v>267</v>
      </c>
      <c r="B268" s="2">
        <v>45296</v>
      </c>
      <c r="C268" s="2">
        <v>45296</v>
      </c>
      <c r="D268" s="4">
        <v>2024</v>
      </c>
      <c r="E268" s="4">
        <v>1</v>
      </c>
      <c r="F268" s="4">
        <v>5</v>
      </c>
      <c r="G268" s="1" t="s">
        <v>31</v>
      </c>
      <c r="I268" s="1" t="s">
        <v>69</v>
      </c>
      <c r="J268" s="1" t="s">
        <v>70</v>
      </c>
      <c r="K268" s="3" t="s">
        <v>28</v>
      </c>
      <c r="L268" s="3" t="s">
        <v>6</v>
      </c>
      <c r="M268" s="3" t="s">
        <v>23</v>
      </c>
      <c r="N268" s="3" t="s">
        <v>4</v>
      </c>
      <c r="O268" s="3" t="s">
        <v>5</v>
      </c>
      <c r="P268" s="3" t="s">
        <v>3</v>
      </c>
      <c r="Q268" s="3">
        <v>260</v>
      </c>
      <c r="R268" s="3">
        <v>85</v>
      </c>
      <c r="S268" s="3">
        <v>22100</v>
      </c>
      <c r="T268" s="3">
        <v>2210</v>
      </c>
      <c r="U268" s="3">
        <v>24310.000000000004</v>
      </c>
    </row>
    <row r="269" spans="1:21" x14ac:dyDescent="0.25">
      <c r="A269" s="1">
        <v>268</v>
      </c>
      <c r="B269" s="2">
        <v>45296</v>
      </c>
      <c r="C269" s="2">
        <v>45296</v>
      </c>
      <c r="D269" s="4">
        <v>2024</v>
      </c>
      <c r="E269" s="4">
        <v>1</v>
      </c>
      <c r="F269" s="4">
        <v>5</v>
      </c>
      <c r="G269" s="1" t="s">
        <v>31</v>
      </c>
      <c r="I269" s="1" t="s">
        <v>25</v>
      </c>
      <c r="J269" s="1" t="s">
        <v>29</v>
      </c>
      <c r="K269" s="3" t="s">
        <v>28</v>
      </c>
      <c r="L269" s="3" t="s">
        <v>6</v>
      </c>
      <c r="M269" s="3" t="s">
        <v>23</v>
      </c>
      <c r="N269" s="3" t="s">
        <v>4</v>
      </c>
      <c r="O269" s="3" t="s">
        <v>5</v>
      </c>
      <c r="P269" s="3" t="s">
        <v>3</v>
      </c>
      <c r="Q269" s="3">
        <v>70</v>
      </c>
      <c r="R269" s="3">
        <v>85</v>
      </c>
      <c r="S269" s="3">
        <v>5950</v>
      </c>
      <c r="T269" s="3">
        <v>595</v>
      </c>
      <c r="U269" s="3">
        <v>6545.0000000000009</v>
      </c>
    </row>
    <row r="270" spans="1:21" x14ac:dyDescent="0.25">
      <c r="A270" s="1">
        <v>269</v>
      </c>
      <c r="B270" s="2">
        <v>45296</v>
      </c>
      <c r="C270" s="2">
        <v>45296</v>
      </c>
      <c r="D270" s="4">
        <v>2024</v>
      </c>
      <c r="E270" s="4">
        <v>1</v>
      </c>
      <c r="F270" s="4">
        <v>5</v>
      </c>
      <c r="G270" s="1" t="s">
        <v>31</v>
      </c>
      <c r="I270" s="1" t="s">
        <v>55</v>
      </c>
      <c r="J270" s="1" t="s">
        <v>31</v>
      </c>
      <c r="K270" s="3" t="s">
        <v>119</v>
      </c>
      <c r="L270" s="3" t="s">
        <v>6</v>
      </c>
      <c r="M270" s="3" t="s">
        <v>23</v>
      </c>
      <c r="N270" s="3" t="s">
        <v>4</v>
      </c>
      <c r="O270" s="3" t="s">
        <v>2</v>
      </c>
      <c r="P270" s="3" t="s">
        <v>3</v>
      </c>
      <c r="Q270" s="3">
        <v>3830</v>
      </c>
      <c r="R270" s="3">
        <v>85</v>
      </c>
      <c r="S270" s="3">
        <v>325550</v>
      </c>
      <c r="T270" s="3">
        <v>32555</v>
      </c>
      <c r="U270" s="3">
        <v>358105</v>
      </c>
    </row>
    <row r="271" spans="1:21" x14ac:dyDescent="0.25">
      <c r="A271" s="1">
        <v>270</v>
      </c>
      <c r="B271" s="2">
        <v>45296</v>
      </c>
      <c r="C271" s="2">
        <v>45296</v>
      </c>
      <c r="D271" s="4">
        <v>2024</v>
      </c>
      <c r="E271" s="4">
        <v>1</v>
      </c>
      <c r="F271" s="4">
        <v>5</v>
      </c>
      <c r="G271" s="1" t="s">
        <v>31</v>
      </c>
      <c r="I271" s="1" t="s">
        <v>67</v>
      </c>
      <c r="J271" s="1" t="s">
        <v>68</v>
      </c>
      <c r="K271" s="3" t="s">
        <v>28</v>
      </c>
      <c r="L271" s="3" t="s">
        <v>6</v>
      </c>
      <c r="M271" s="3" t="s">
        <v>23</v>
      </c>
      <c r="N271" s="3" t="s">
        <v>4</v>
      </c>
      <c r="O271" s="3" t="s">
        <v>5</v>
      </c>
      <c r="P271" s="3" t="s">
        <v>3</v>
      </c>
      <c r="Q271" s="3">
        <v>120</v>
      </c>
      <c r="R271" s="3">
        <v>85</v>
      </c>
      <c r="S271" s="3">
        <v>10200</v>
      </c>
      <c r="T271" s="3">
        <v>1020</v>
      </c>
      <c r="U271" s="3">
        <v>11220</v>
      </c>
    </row>
    <row r="272" spans="1:21" x14ac:dyDescent="0.25">
      <c r="A272" s="1">
        <v>271</v>
      </c>
      <c r="B272" s="2">
        <v>45296</v>
      </c>
      <c r="C272" s="2">
        <v>45296</v>
      </c>
      <c r="D272" s="4">
        <v>2024</v>
      </c>
      <c r="E272" s="4">
        <v>1</v>
      </c>
      <c r="F272" s="4">
        <v>5</v>
      </c>
      <c r="G272" s="1" t="s">
        <v>31</v>
      </c>
      <c r="I272" s="1" t="s">
        <v>57</v>
      </c>
      <c r="J272" s="1" t="s">
        <v>58</v>
      </c>
      <c r="K272" s="3" t="s">
        <v>28</v>
      </c>
      <c r="L272" s="3" t="s">
        <v>6</v>
      </c>
      <c r="M272" s="3" t="s">
        <v>23</v>
      </c>
      <c r="N272" s="3" t="s">
        <v>4</v>
      </c>
      <c r="O272" s="3" t="s">
        <v>5</v>
      </c>
      <c r="P272" s="3" t="s">
        <v>3</v>
      </c>
      <c r="Q272" s="3">
        <v>320</v>
      </c>
      <c r="R272" s="3">
        <v>85</v>
      </c>
      <c r="S272" s="3">
        <v>27200</v>
      </c>
      <c r="T272" s="3">
        <v>2720</v>
      </c>
      <c r="U272" s="3">
        <v>29920.000000000004</v>
      </c>
    </row>
    <row r="273" spans="1:21" x14ac:dyDescent="0.25">
      <c r="A273" s="1">
        <v>272</v>
      </c>
      <c r="B273" s="2">
        <v>45296</v>
      </c>
      <c r="C273" s="2">
        <v>45296</v>
      </c>
      <c r="D273" s="4">
        <v>2024</v>
      </c>
      <c r="E273" s="4">
        <v>1</v>
      </c>
      <c r="F273" s="4">
        <v>5</v>
      </c>
      <c r="G273" s="1" t="s">
        <v>31</v>
      </c>
      <c r="I273" s="1" t="s">
        <v>135</v>
      </c>
      <c r="J273" s="1" t="s">
        <v>136</v>
      </c>
      <c r="K273" s="3" t="s">
        <v>28</v>
      </c>
      <c r="L273" s="3" t="s">
        <v>6</v>
      </c>
      <c r="M273" s="3" t="s">
        <v>23</v>
      </c>
      <c r="N273" s="3" t="s">
        <v>4</v>
      </c>
      <c r="O273" s="3" t="s">
        <v>5</v>
      </c>
      <c r="P273" s="3" t="s">
        <v>3</v>
      </c>
      <c r="Q273" s="3">
        <v>210</v>
      </c>
      <c r="R273" s="3">
        <v>85</v>
      </c>
      <c r="S273" s="3">
        <v>17850</v>
      </c>
      <c r="T273" s="3">
        <v>1785</v>
      </c>
      <c r="U273" s="3">
        <v>19635</v>
      </c>
    </row>
    <row r="274" spans="1:21" x14ac:dyDescent="0.25">
      <c r="A274" s="1">
        <v>273</v>
      </c>
      <c r="B274" s="2">
        <v>45296</v>
      </c>
      <c r="C274" s="2">
        <v>45296</v>
      </c>
      <c r="D274" s="4">
        <v>2024</v>
      </c>
      <c r="E274" s="4">
        <v>1</v>
      </c>
      <c r="F274" s="4">
        <v>5</v>
      </c>
      <c r="G274" s="1" t="s">
        <v>31</v>
      </c>
      <c r="I274" s="1" t="s">
        <v>69</v>
      </c>
      <c r="J274" s="1" t="s">
        <v>70</v>
      </c>
      <c r="K274" s="3" t="s">
        <v>28</v>
      </c>
      <c r="L274" s="3" t="s">
        <v>6</v>
      </c>
      <c r="M274" s="3" t="s">
        <v>23</v>
      </c>
      <c r="N274" s="3" t="s">
        <v>4</v>
      </c>
      <c r="O274" s="3" t="s">
        <v>5</v>
      </c>
      <c r="P274" s="3" t="s">
        <v>3</v>
      </c>
      <c r="Q274" s="3">
        <v>190</v>
      </c>
      <c r="R274" s="3">
        <v>85</v>
      </c>
      <c r="S274" s="3">
        <v>16150</v>
      </c>
      <c r="T274" s="3">
        <v>1615</v>
      </c>
      <c r="U274" s="3">
        <v>17765</v>
      </c>
    </row>
    <row r="275" spans="1:21" x14ac:dyDescent="0.25">
      <c r="A275" s="1">
        <v>274</v>
      </c>
      <c r="B275" s="2">
        <v>45296</v>
      </c>
      <c r="C275" s="2">
        <v>45296</v>
      </c>
      <c r="D275" s="4">
        <v>2024</v>
      </c>
      <c r="E275" s="4">
        <v>1</v>
      </c>
      <c r="F275" s="4">
        <v>5</v>
      </c>
      <c r="G275" s="1" t="s">
        <v>31</v>
      </c>
      <c r="I275" s="1" t="s">
        <v>55</v>
      </c>
      <c r="J275" s="1" t="s">
        <v>31</v>
      </c>
      <c r="K275" s="3" t="s">
        <v>119</v>
      </c>
      <c r="L275" s="3" t="s">
        <v>6</v>
      </c>
      <c r="M275" s="3" t="s">
        <v>23</v>
      </c>
      <c r="N275" s="3" t="s">
        <v>4</v>
      </c>
      <c r="O275" s="3" t="s">
        <v>2</v>
      </c>
      <c r="P275" s="3" t="s">
        <v>3</v>
      </c>
      <c r="Q275" s="3">
        <v>3620</v>
      </c>
      <c r="R275" s="3">
        <v>85</v>
      </c>
      <c r="S275" s="3">
        <v>307700</v>
      </c>
      <c r="T275" s="3">
        <v>30770</v>
      </c>
      <c r="U275" s="3">
        <v>338470</v>
      </c>
    </row>
    <row r="276" spans="1:21" x14ac:dyDescent="0.25">
      <c r="A276" s="1">
        <v>275</v>
      </c>
      <c r="B276" s="2">
        <v>45296</v>
      </c>
      <c r="C276" s="2">
        <v>45296</v>
      </c>
      <c r="D276" s="4">
        <v>2024</v>
      </c>
      <c r="E276" s="4">
        <v>1</v>
      </c>
      <c r="F276" s="4">
        <v>5</v>
      </c>
      <c r="G276" s="1" t="s">
        <v>31</v>
      </c>
      <c r="I276" s="1" t="s">
        <v>65</v>
      </c>
      <c r="J276" s="1" t="s">
        <v>66</v>
      </c>
      <c r="K276" s="3" t="s">
        <v>28</v>
      </c>
      <c r="L276" s="3" t="s">
        <v>6</v>
      </c>
      <c r="M276" s="3" t="s">
        <v>23</v>
      </c>
      <c r="N276" s="3" t="s">
        <v>4</v>
      </c>
      <c r="O276" s="3" t="s">
        <v>5</v>
      </c>
      <c r="P276" s="3" t="s">
        <v>3</v>
      </c>
      <c r="Q276" s="3">
        <v>240</v>
      </c>
      <c r="R276" s="3">
        <v>85</v>
      </c>
      <c r="S276" s="3">
        <v>20400</v>
      </c>
      <c r="T276" s="3">
        <v>2040</v>
      </c>
      <c r="U276" s="3">
        <v>22440</v>
      </c>
    </row>
    <row r="277" spans="1:21" x14ac:dyDescent="0.25">
      <c r="A277" s="1">
        <v>276</v>
      </c>
      <c r="B277" s="2">
        <v>45296</v>
      </c>
      <c r="C277" s="2">
        <v>45296</v>
      </c>
      <c r="D277" s="4">
        <v>2024</v>
      </c>
      <c r="E277" s="4">
        <v>1</v>
      </c>
      <c r="F277" s="4">
        <v>5</v>
      </c>
      <c r="G277" s="1" t="s">
        <v>31</v>
      </c>
      <c r="I277" s="1" t="s">
        <v>135</v>
      </c>
      <c r="J277" s="1" t="s">
        <v>136</v>
      </c>
      <c r="K277" s="3" t="s">
        <v>28</v>
      </c>
      <c r="L277" s="3" t="s">
        <v>6</v>
      </c>
      <c r="M277" s="3" t="s">
        <v>23</v>
      </c>
      <c r="N277" s="3" t="s">
        <v>4</v>
      </c>
      <c r="O277" s="3" t="s">
        <v>5</v>
      </c>
      <c r="P277" s="3" t="s">
        <v>3</v>
      </c>
      <c r="Q277" s="3">
        <v>270</v>
      </c>
      <c r="R277" s="3">
        <v>85</v>
      </c>
      <c r="S277" s="3">
        <v>22950</v>
      </c>
      <c r="T277" s="3">
        <v>2295</v>
      </c>
      <c r="U277" s="3">
        <v>25245.000000000004</v>
      </c>
    </row>
    <row r="278" spans="1:21" x14ac:dyDescent="0.25">
      <c r="A278" s="1">
        <v>277</v>
      </c>
      <c r="B278" s="2">
        <v>45296</v>
      </c>
      <c r="C278" s="2">
        <v>45296</v>
      </c>
      <c r="D278" s="4">
        <v>2024</v>
      </c>
      <c r="E278" s="4">
        <v>1</v>
      </c>
      <c r="F278" s="4">
        <v>5</v>
      </c>
      <c r="G278" s="1" t="s">
        <v>31</v>
      </c>
      <c r="I278" s="1" t="s">
        <v>67</v>
      </c>
      <c r="J278" s="1" t="s">
        <v>68</v>
      </c>
      <c r="K278" s="3" t="s">
        <v>28</v>
      </c>
      <c r="L278" s="3" t="s">
        <v>6</v>
      </c>
      <c r="M278" s="3" t="s">
        <v>23</v>
      </c>
      <c r="N278" s="3" t="s">
        <v>4</v>
      </c>
      <c r="O278" s="3" t="s">
        <v>5</v>
      </c>
      <c r="P278" s="3" t="s">
        <v>3</v>
      </c>
      <c r="Q278" s="3">
        <v>340</v>
      </c>
      <c r="R278" s="3">
        <v>85</v>
      </c>
      <c r="S278" s="3">
        <v>28900</v>
      </c>
      <c r="T278" s="3">
        <v>2890</v>
      </c>
      <c r="U278" s="3">
        <v>31790.000000000004</v>
      </c>
    </row>
    <row r="279" spans="1:21" x14ac:dyDescent="0.25">
      <c r="A279" s="1">
        <v>278</v>
      </c>
      <c r="B279" s="2">
        <v>45296</v>
      </c>
      <c r="C279" s="2">
        <v>45296</v>
      </c>
      <c r="D279" s="4">
        <v>2024</v>
      </c>
      <c r="E279" s="4">
        <v>1</v>
      </c>
      <c r="F279" s="4">
        <v>5</v>
      </c>
      <c r="G279" s="1" t="s">
        <v>31</v>
      </c>
      <c r="I279" s="1" t="s">
        <v>67</v>
      </c>
      <c r="J279" s="1" t="s">
        <v>68</v>
      </c>
      <c r="K279" s="3" t="s">
        <v>28</v>
      </c>
      <c r="L279" s="3" t="s">
        <v>6</v>
      </c>
      <c r="M279" s="3" t="s">
        <v>23</v>
      </c>
      <c r="N279" s="3" t="s">
        <v>4</v>
      </c>
      <c r="O279" s="3" t="s">
        <v>5</v>
      </c>
      <c r="P279" s="3" t="s">
        <v>3</v>
      </c>
      <c r="Q279" s="3">
        <v>80</v>
      </c>
      <c r="R279" s="3">
        <v>85</v>
      </c>
      <c r="S279" s="3">
        <v>6800</v>
      </c>
      <c r="T279" s="3">
        <v>680</v>
      </c>
      <c r="U279" s="3">
        <v>7480.0000000000009</v>
      </c>
    </row>
    <row r="280" spans="1:21" x14ac:dyDescent="0.25">
      <c r="A280" s="1">
        <v>279</v>
      </c>
      <c r="B280" s="2">
        <v>45296</v>
      </c>
      <c r="C280" s="2">
        <v>45296</v>
      </c>
      <c r="D280" s="4">
        <v>2024</v>
      </c>
      <c r="E280" s="4">
        <v>1</v>
      </c>
      <c r="F280" s="4">
        <v>5</v>
      </c>
      <c r="G280" s="1" t="s">
        <v>30</v>
      </c>
      <c r="I280" s="1" t="s">
        <v>86</v>
      </c>
      <c r="J280" s="1" t="s">
        <v>87</v>
      </c>
      <c r="K280" s="3" t="s">
        <v>28</v>
      </c>
      <c r="L280" s="3" t="s">
        <v>6</v>
      </c>
      <c r="M280" s="3" t="s">
        <v>23</v>
      </c>
      <c r="N280" s="3" t="s">
        <v>4</v>
      </c>
      <c r="O280" s="3" t="s">
        <v>5</v>
      </c>
      <c r="P280" s="3" t="s">
        <v>3</v>
      </c>
      <c r="Q280" s="3">
        <v>310</v>
      </c>
      <c r="R280" s="3">
        <v>95</v>
      </c>
      <c r="S280" s="3">
        <v>29450</v>
      </c>
      <c r="T280" s="3">
        <v>2945</v>
      </c>
      <c r="U280" s="3">
        <v>32395.000000000004</v>
      </c>
    </row>
    <row r="281" spans="1:21" x14ac:dyDescent="0.25">
      <c r="A281" s="1">
        <v>280</v>
      </c>
      <c r="B281" s="2">
        <v>45296</v>
      </c>
      <c r="C281" s="2">
        <v>45296</v>
      </c>
      <c r="D281" s="4">
        <v>2024</v>
      </c>
      <c r="E281" s="4">
        <v>1</v>
      </c>
      <c r="F281" s="4">
        <v>5</v>
      </c>
      <c r="G281" s="1" t="s">
        <v>30</v>
      </c>
      <c r="I281" s="1" t="s">
        <v>107</v>
      </c>
      <c r="J281" s="1" t="s">
        <v>108</v>
      </c>
      <c r="K281" s="3" t="s">
        <v>28</v>
      </c>
      <c r="L281" s="3" t="s">
        <v>6</v>
      </c>
      <c r="M281" s="3" t="s">
        <v>23</v>
      </c>
      <c r="N281" s="3" t="s">
        <v>4</v>
      </c>
      <c r="O281" s="3" t="s">
        <v>5</v>
      </c>
      <c r="P281" s="3" t="s">
        <v>3</v>
      </c>
      <c r="Q281" s="3">
        <v>200</v>
      </c>
      <c r="R281" s="3">
        <v>95</v>
      </c>
      <c r="S281" s="3">
        <v>19000</v>
      </c>
      <c r="T281" s="3">
        <v>1900</v>
      </c>
      <c r="U281" s="3">
        <v>20900</v>
      </c>
    </row>
    <row r="282" spans="1:21" x14ac:dyDescent="0.25">
      <c r="A282" s="1">
        <v>281</v>
      </c>
      <c r="B282" s="2">
        <v>45296</v>
      </c>
      <c r="C282" s="2">
        <v>45296</v>
      </c>
      <c r="D282" s="4">
        <v>2024</v>
      </c>
      <c r="E282" s="4">
        <v>1</v>
      </c>
      <c r="F282" s="4">
        <v>5</v>
      </c>
      <c r="G282" s="1" t="s">
        <v>30</v>
      </c>
      <c r="I282" s="1" t="s">
        <v>86</v>
      </c>
      <c r="J282" s="1" t="s">
        <v>87</v>
      </c>
      <c r="K282" s="3" t="s">
        <v>28</v>
      </c>
      <c r="L282" s="3" t="s">
        <v>6</v>
      </c>
      <c r="M282" s="3" t="s">
        <v>23</v>
      </c>
      <c r="N282" s="3" t="s">
        <v>4</v>
      </c>
      <c r="O282" s="3" t="s">
        <v>5</v>
      </c>
      <c r="P282" s="3" t="s">
        <v>3</v>
      </c>
      <c r="Q282" s="3">
        <v>210</v>
      </c>
      <c r="R282" s="3">
        <v>95</v>
      </c>
      <c r="S282" s="3">
        <v>19950</v>
      </c>
      <c r="T282" s="3">
        <v>1995</v>
      </c>
      <c r="U282" s="3">
        <v>21945</v>
      </c>
    </row>
    <row r="283" spans="1:21" x14ac:dyDescent="0.25">
      <c r="A283" s="1">
        <v>282</v>
      </c>
      <c r="B283" s="2">
        <v>45296</v>
      </c>
      <c r="C283" s="2">
        <v>45296</v>
      </c>
      <c r="D283" s="4">
        <v>2024</v>
      </c>
      <c r="E283" s="4">
        <v>1</v>
      </c>
      <c r="F283" s="4">
        <v>5</v>
      </c>
      <c r="G283" s="1" t="s">
        <v>30</v>
      </c>
      <c r="I283" s="1" t="s">
        <v>92</v>
      </c>
      <c r="J283" s="1" t="s">
        <v>93</v>
      </c>
      <c r="K283" s="3" t="s">
        <v>28</v>
      </c>
      <c r="L283" s="3" t="s">
        <v>6</v>
      </c>
      <c r="M283" s="3" t="s">
        <v>23</v>
      </c>
      <c r="N283" s="3" t="s">
        <v>4</v>
      </c>
      <c r="O283" s="3" t="s">
        <v>5</v>
      </c>
      <c r="P283" s="3" t="s">
        <v>3</v>
      </c>
      <c r="Q283" s="3">
        <v>170</v>
      </c>
      <c r="R283" s="3">
        <v>95</v>
      </c>
      <c r="S283" s="3">
        <v>16150</v>
      </c>
      <c r="T283" s="3">
        <v>1615</v>
      </c>
      <c r="U283" s="3">
        <v>17765</v>
      </c>
    </row>
    <row r="284" spans="1:21" x14ac:dyDescent="0.25">
      <c r="A284" s="1">
        <v>283</v>
      </c>
      <c r="B284" s="2">
        <v>45296</v>
      </c>
      <c r="C284" s="2">
        <v>45296</v>
      </c>
      <c r="D284" s="4">
        <v>2024</v>
      </c>
      <c r="E284" s="4">
        <v>1</v>
      </c>
      <c r="F284" s="4">
        <v>5</v>
      </c>
      <c r="G284" s="1" t="s">
        <v>30</v>
      </c>
      <c r="I284" s="1" t="s">
        <v>94</v>
      </c>
      <c r="J284" s="1" t="s">
        <v>95</v>
      </c>
      <c r="K284" s="3" t="s">
        <v>28</v>
      </c>
      <c r="L284" s="3" t="s">
        <v>6</v>
      </c>
      <c r="M284" s="3" t="s">
        <v>23</v>
      </c>
      <c r="N284" s="3" t="s">
        <v>4</v>
      </c>
      <c r="O284" s="3" t="s">
        <v>5</v>
      </c>
      <c r="P284" s="3" t="s">
        <v>3</v>
      </c>
      <c r="Q284" s="3">
        <v>160</v>
      </c>
      <c r="R284" s="3">
        <v>95</v>
      </c>
      <c r="S284" s="3">
        <v>15200</v>
      </c>
      <c r="T284" s="3">
        <v>1520</v>
      </c>
      <c r="U284" s="3">
        <v>16720</v>
      </c>
    </row>
    <row r="285" spans="1:21" x14ac:dyDescent="0.25">
      <c r="A285" s="1">
        <v>284</v>
      </c>
      <c r="B285" s="2">
        <v>45296</v>
      </c>
      <c r="C285" s="2">
        <v>45296</v>
      </c>
      <c r="D285" s="4">
        <v>2024</v>
      </c>
      <c r="E285" s="4">
        <v>1</v>
      </c>
      <c r="F285" s="4">
        <v>5</v>
      </c>
      <c r="G285" s="1" t="s">
        <v>30</v>
      </c>
      <c r="I285" s="1" t="s">
        <v>98</v>
      </c>
      <c r="J285" s="1" t="s">
        <v>99</v>
      </c>
      <c r="K285" s="3" t="s">
        <v>28</v>
      </c>
      <c r="L285" s="3" t="s">
        <v>6</v>
      </c>
      <c r="M285" s="3" t="s">
        <v>23</v>
      </c>
      <c r="N285" s="3" t="s">
        <v>4</v>
      </c>
      <c r="O285" s="3" t="s">
        <v>5</v>
      </c>
      <c r="P285" s="3" t="s">
        <v>3</v>
      </c>
      <c r="Q285" s="3">
        <v>160</v>
      </c>
      <c r="R285" s="3">
        <v>95</v>
      </c>
      <c r="S285" s="3">
        <v>15200</v>
      </c>
      <c r="T285" s="3">
        <v>1520</v>
      </c>
      <c r="U285" s="3">
        <v>16720</v>
      </c>
    </row>
    <row r="286" spans="1:21" x14ac:dyDescent="0.25">
      <c r="A286" s="1">
        <v>285</v>
      </c>
      <c r="B286" s="2">
        <v>45296</v>
      </c>
      <c r="C286" s="2">
        <v>45296</v>
      </c>
      <c r="D286" s="4">
        <v>2024</v>
      </c>
      <c r="E286" s="4">
        <v>1</v>
      </c>
      <c r="F286" s="4">
        <v>5</v>
      </c>
      <c r="G286" s="1" t="s">
        <v>30</v>
      </c>
      <c r="I286" s="1" t="s">
        <v>88</v>
      </c>
      <c r="J286" s="1" t="s">
        <v>89</v>
      </c>
      <c r="K286" s="3" t="s">
        <v>28</v>
      </c>
      <c r="L286" s="3" t="s">
        <v>6</v>
      </c>
      <c r="M286" s="3" t="s">
        <v>23</v>
      </c>
      <c r="N286" s="3" t="s">
        <v>4</v>
      </c>
      <c r="O286" s="3" t="s">
        <v>5</v>
      </c>
      <c r="P286" s="3" t="s">
        <v>3</v>
      </c>
      <c r="Q286" s="3">
        <v>160</v>
      </c>
      <c r="R286" s="3">
        <v>95</v>
      </c>
      <c r="S286" s="3">
        <v>15200</v>
      </c>
      <c r="T286" s="3">
        <v>1520</v>
      </c>
      <c r="U286" s="3">
        <v>16720</v>
      </c>
    </row>
    <row r="287" spans="1:21" x14ac:dyDescent="0.25">
      <c r="A287" s="1">
        <v>286</v>
      </c>
      <c r="B287" s="2">
        <v>45296</v>
      </c>
      <c r="C287" s="2">
        <v>45296</v>
      </c>
      <c r="D287" s="4">
        <v>2024</v>
      </c>
      <c r="E287" s="4">
        <v>1</v>
      </c>
      <c r="F287" s="4">
        <v>5</v>
      </c>
      <c r="G287" s="1" t="s">
        <v>30</v>
      </c>
      <c r="I287" s="1" t="s">
        <v>90</v>
      </c>
      <c r="J287" s="1" t="s">
        <v>91</v>
      </c>
      <c r="K287" s="3" t="s">
        <v>28</v>
      </c>
      <c r="L287" s="3" t="s">
        <v>6</v>
      </c>
      <c r="M287" s="3" t="s">
        <v>23</v>
      </c>
      <c r="N287" s="3" t="s">
        <v>4</v>
      </c>
      <c r="O287" s="3" t="s">
        <v>5</v>
      </c>
      <c r="P287" s="3" t="s">
        <v>3</v>
      </c>
      <c r="Q287" s="3">
        <v>150</v>
      </c>
      <c r="R287" s="3">
        <v>95</v>
      </c>
      <c r="S287" s="3">
        <v>14250</v>
      </c>
      <c r="T287" s="3">
        <v>1425</v>
      </c>
      <c r="U287" s="3">
        <v>15675.000000000002</v>
      </c>
    </row>
    <row r="288" spans="1:21" x14ac:dyDescent="0.25">
      <c r="A288" s="1">
        <v>287</v>
      </c>
      <c r="B288" s="2">
        <v>45296</v>
      </c>
      <c r="C288" s="2">
        <v>45296</v>
      </c>
      <c r="D288" s="4">
        <v>2024</v>
      </c>
      <c r="E288" s="4">
        <v>1</v>
      </c>
      <c r="F288" s="4">
        <v>5</v>
      </c>
      <c r="G288" s="1" t="s">
        <v>30</v>
      </c>
      <c r="I288" s="1" t="s">
        <v>82</v>
      </c>
      <c r="J288" s="1" t="s">
        <v>83</v>
      </c>
      <c r="K288" s="3" t="s">
        <v>28</v>
      </c>
      <c r="L288" s="3" t="s">
        <v>6</v>
      </c>
      <c r="M288" s="3" t="s">
        <v>23</v>
      </c>
      <c r="N288" s="3" t="s">
        <v>4</v>
      </c>
      <c r="O288" s="3" t="s">
        <v>5</v>
      </c>
      <c r="P288" s="3" t="s">
        <v>3</v>
      </c>
      <c r="Q288" s="3">
        <v>100</v>
      </c>
      <c r="R288" s="3">
        <v>95</v>
      </c>
      <c r="S288" s="3">
        <v>9500</v>
      </c>
      <c r="T288" s="3">
        <v>950</v>
      </c>
      <c r="U288" s="3">
        <v>10450</v>
      </c>
    </row>
    <row r="289" spans="1:21" x14ac:dyDescent="0.25">
      <c r="A289" s="1">
        <v>288</v>
      </c>
      <c r="B289" s="2">
        <v>45296</v>
      </c>
      <c r="C289" s="2">
        <v>45296</v>
      </c>
      <c r="D289" s="4">
        <v>2024</v>
      </c>
      <c r="E289" s="4">
        <v>1</v>
      </c>
      <c r="F289" s="4">
        <v>5</v>
      </c>
      <c r="G289" s="1" t="s">
        <v>30</v>
      </c>
      <c r="I289" s="1" t="s">
        <v>92</v>
      </c>
      <c r="J289" s="1" t="s">
        <v>93</v>
      </c>
      <c r="K289" s="3" t="s">
        <v>28</v>
      </c>
      <c r="L289" s="3" t="s">
        <v>6</v>
      </c>
      <c r="M289" s="3" t="s">
        <v>23</v>
      </c>
      <c r="N289" s="3" t="s">
        <v>4</v>
      </c>
      <c r="O289" s="3" t="s">
        <v>5</v>
      </c>
      <c r="P289" s="3" t="s">
        <v>3</v>
      </c>
      <c r="Q289" s="3">
        <v>250</v>
      </c>
      <c r="R289" s="3">
        <v>95</v>
      </c>
      <c r="S289" s="3">
        <v>23750</v>
      </c>
      <c r="T289" s="3">
        <v>2375</v>
      </c>
      <c r="U289" s="3">
        <v>26125.000000000004</v>
      </c>
    </row>
    <row r="290" spans="1:21" x14ac:dyDescent="0.25">
      <c r="A290" s="1">
        <v>289</v>
      </c>
      <c r="B290" s="2">
        <v>45296</v>
      </c>
      <c r="C290" s="2">
        <v>45296</v>
      </c>
      <c r="D290" s="4">
        <v>2024</v>
      </c>
      <c r="E290" s="4">
        <v>1</v>
      </c>
      <c r="F290" s="4">
        <v>5</v>
      </c>
      <c r="G290" s="1" t="s">
        <v>30</v>
      </c>
      <c r="I290" s="1" t="s">
        <v>86</v>
      </c>
      <c r="J290" s="1" t="s">
        <v>87</v>
      </c>
      <c r="K290" s="3" t="s">
        <v>28</v>
      </c>
      <c r="L290" s="3" t="s">
        <v>6</v>
      </c>
      <c r="M290" s="3" t="s">
        <v>23</v>
      </c>
      <c r="N290" s="3" t="s">
        <v>4</v>
      </c>
      <c r="O290" s="3" t="s">
        <v>5</v>
      </c>
      <c r="P290" s="3" t="s">
        <v>3</v>
      </c>
      <c r="Q290" s="3">
        <v>210</v>
      </c>
      <c r="R290" s="3">
        <v>95</v>
      </c>
      <c r="S290" s="3">
        <v>19950</v>
      </c>
      <c r="T290" s="3">
        <v>1995</v>
      </c>
      <c r="U290" s="3">
        <v>21945</v>
      </c>
    </row>
    <row r="291" spans="1:21" x14ac:dyDescent="0.25">
      <c r="A291" s="1">
        <v>290</v>
      </c>
      <c r="B291" s="2">
        <v>45296</v>
      </c>
      <c r="C291" s="2">
        <v>45296</v>
      </c>
      <c r="D291" s="4">
        <v>2024</v>
      </c>
      <c r="E291" s="4">
        <v>1</v>
      </c>
      <c r="F291" s="4">
        <v>5</v>
      </c>
      <c r="G291" s="1" t="s">
        <v>30</v>
      </c>
      <c r="I291" s="1" t="s">
        <v>88</v>
      </c>
      <c r="J291" s="1" t="s">
        <v>89</v>
      </c>
      <c r="K291" s="3" t="s">
        <v>28</v>
      </c>
      <c r="L291" s="3" t="s">
        <v>6</v>
      </c>
      <c r="M291" s="3" t="s">
        <v>23</v>
      </c>
      <c r="N291" s="3" t="s">
        <v>4</v>
      </c>
      <c r="O291" s="3" t="s">
        <v>5</v>
      </c>
      <c r="P291" s="3" t="s">
        <v>3</v>
      </c>
      <c r="Q291" s="3">
        <v>140</v>
      </c>
      <c r="R291" s="3">
        <v>95</v>
      </c>
      <c r="S291" s="3">
        <v>13300</v>
      </c>
      <c r="T291" s="3">
        <v>1330</v>
      </c>
      <c r="U291" s="3">
        <v>14630.000000000002</v>
      </c>
    </row>
    <row r="292" spans="1:21" x14ac:dyDescent="0.25">
      <c r="A292" s="1">
        <v>291</v>
      </c>
      <c r="B292" s="2">
        <v>45296</v>
      </c>
      <c r="C292" s="2">
        <v>45296</v>
      </c>
      <c r="D292" s="4">
        <v>2024</v>
      </c>
      <c r="E292" s="4">
        <v>1</v>
      </c>
      <c r="F292" s="4">
        <v>5</v>
      </c>
      <c r="G292" s="1" t="s">
        <v>30</v>
      </c>
      <c r="I292" s="1" t="s">
        <v>90</v>
      </c>
      <c r="J292" s="1" t="s">
        <v>91</v>
      </c>
      <c r="K292" s="3" t="s">
        <v>28</v>
      </c>
      <c r="L292" s="3" t="s">
        <v>6</v>
      </c>
      <c r="M292" s="3" t="s">
        <v>23</v>
      </c>
      <c r="N292" s="3" t="s">
        <v>4</v>
      </c>
      <c r="O292" s="3" t="s">
        <v>5</v>
      </c>
      <c r="P292" s="3" t="s">
        <v>3</v>
      </c>
      <c r="Q292" s="3">
        <v>130</v>
      </c>
      <c r="R292" s="3">
        <v>95</v>
      </c>
      <c r="S292" s="3">
        <v>12350</v>
      </c>
      <c r="T292" s="3">
        <v>1235</v>
      </c>
      <c r="U292" s="3">
        <v>13585.000000000002</v>
      </c>
    </row>
    <row r="293" spans="1:21" x14ac:dyDescent="0.25">
      <c r="A293" s="1">
        <v>292</v>
      </c>
      <c r="B293" s="2">
        <v>45296</v>
      </c>
      <c r="C293" s="2">
        <v>45296</v>
      </c>
      <c r="D293" s="4">
        <v>2024</v>
      </c>
      <c r="E293" s="4">
        <v>1</v>
      </c>
      <c r="F293" s="4">
        <v>5</v>
      </c>
      <c r="G293" s="1" t="s">
        <v>30</v>
      </c>
      <c r="I293" s="1" t="s">
        <v>84</v>
      </c>
      <c r="J293" s="1" t="s">
        <v>85</v>
      </c>
      <c r="K293" s="3" t="s">
        <v>28</v>
      </c>
      <c r="L293" s="3" t="s">
        <v>6</v>
      </c>
      <c r="M293" s="3" t="s">
        <v>23</v>
      </c>
      <c r="N293" s="3" t="s">
        <v>4</v>
      </c>
      <c r="O293" s="3" t="s">
        <v>5</v>
      </c>
      <c r="P293" s="3" t="s">
        <v>3</v>
      </c>
      <c r="Q293" s="3">
        <v>150</v>
      </c>
      <c r="R293" s="3">
        <v>95</v>
      </c>
      <c r="S293" s="3">
        <v>14250</v>
      </c>
      <c r="T293" s="3">
        <v>1425</v>
      </c>
      <c r="U293" s="3">
        <v>15675.000000000002</v>
      </c>
    </row>
    <row r="294" spans="1:21" x14ac:dyDescent="0.25">
      <c r="A294" s="1">
        <v>293</v>
      </c>
      <c r="B294" s="2">
        <v>45296</v>
      </c>
      <c r="C294" s="2">
        <v>45296</v>
      </c>
      <c r="D294" s="4">
        <v>2024</v>
      </c>
      <c r="E294" s="4">
        <v>1</v>
      </c>
      <c r="F294" s="4">
        <v>5</v>
      </c>
      <c r="G294" s="1" t="s">
        <v>30</v>
      </c>
      <c r="I294" s="1" t="s">
        <v>94</v>
      </c>
      <c r="J294" s="1" t="s">
        <v>95</v>
      </c>
      <c r="K294" s="3" t="s">
        <v>28</v>
      </c>
      <c r="L294" s="3" t="s">
        <v>6</v>
      </c>
      <c r="M294" s="3" t="s">
        <v>23</v>
      </c>
      <c r="N294" s="3" t="s">
        <v>4</v>
      </c>
      <c r="O294" s="3" t="s">
        <v>5</v>
      </c>
      <c r="P294" s="3" t="s">
        <v>3</v>
      </c>
      <c r="Q294" s="3">
        <v>270</v>
      </c>
      <c r="R294" s="3">
        <v>95</v>
      </c>
      <c r="S294" s="3">
        <v>25650</v>
      </c>
      <c r="T294" s="3">
        <v>2565</v>
      </c>
      <c r="U294" s="3">
        <v>28215.000000000004</v>
      </c>
    </row>
    <row r="295" spans="1:21" x14ac:dyDescent="0.25">
      <c r="A295" s="1">
        <v>294</v>
      </c>
      <c r="B295" s="2">
        <v>45296</v>
      </c>
      <c r="C295" s="2">
        <v>45296</v>
      </c>
      <c r="D295" s="4">
        <v>2024</v>
      </c>
      <c r="E295" s="4">
        <v>1</v>
      </c>
      <c r="F295" s="4">
        <v>5</v>
      </c>
      <c r="G295" s="1" t="s">
        <v>30</v>
      </c>
      <c r="I295" s="1" t="s">
        <v>110</v>
      </c>
      <c r="J295" s="1" t="s">
        <v>111</v>
      </c>
      <c r="K295" s="3" t="s">
        <v>28</v>
      </c>
      <c r="L295" s="3" t="s">
        <v>6</v>
      </c>
      <c r="M295" s="3" t="s">
        <v>23</v>
      </c>
      <c r="N295" s="3" t="s">
        <v>4</v>
      </c>
      <c r="O295" s="3" t="s">
        <v>5</v>
      </c>
      <c r="P295" s="3" t="s">
        <v>3</v>
      </c>
      <c r="Q295" s="3">
        <v>260</v>
      </c>
      <c r="R295" s="3">
        <v>95</v>
      </c>
      <c r="S295" s="3">
        <v>24700</v>
      </c>
      <c r="T295" s="3">
        <v>2470</v>
      </c>
      <c r="U295" s="3">
        <v>27170.000000000004</v>
      </c>
    </row>
    <row r="296" spans="1:21" x14ac:dyDescent="0.25">
      <c r="A296" s="1">
        <v>295</v>
      </c>
      <c r="B296" s="2">
        <v>45296</v>
      </c>
      <c r="C296" s="2">
        <v>45296</v>
      </c>
      <c r="D296" s="4">
        <v>2024</v>
      </c>
      <c r="E296" s="4">
        <v>1</v>
      </c>
      <c r="F296" s="4">
        <v>5</v>
      </c>
      <c r="G296" s="1" t="s">
        <v>30</v>
      </c>
      <c r="I296" s="1" t="s">
        <v>86</v>
      </c>
      <c r="J296" s="1" t="s">
        <v>87</v>
      </c>
      <c r="K296" s="3" t="s">
        <v>28</v>
      </c>
      <c r="L296" s="3" t="s">
        <v>6</v>
      </c>
      <c r="M296" s="3" t="s">
        <v>23</v>
      </c>
      <c r="N296" s="3" t="s">
        <v>4</v>
      </c>
      <c r="O296" s="3" t="s">
        <v>5</v>
      </c>
      <c r="P296" s="3" t="s">
        <v>3</v>
      </c>
      <c r="Q296" s="3">
        <v>320</v>
      </c>
      <c r="R296" s="3">
        <v>95</v>
      </c>
      <c r="S296" s="3">
        <v>30400</v>
      </c>
      <c r="T296" s="3">
        <v>3040</v>
      </c>
      <c r="U296" s="3">
        <v>33440</v>
      </c>
    </row>
    <row r="297" spans="1:21" x14ac:dyDescent="0.25">
      <c r="A297" s="1">
        <v>296</v>
      </c>
      <c r="B297" s="2">
        <v>45296</v>
      </c>
      <c r="C297" s="2">
        <v>45296</v>
      </c>
      <c r="D297" s="4">
        <v>2024</v>
      </c>
      <c r="E297" s="4">
        <v>1</v>
      </c>
      <c r="F297" s="4">
        <v>5</v>
      </c>
      <c r="G297" s="1" t="s">
        <v>30</v>
      </c>
      <c r="I297" s="1" t="s">
        <v>82</v>
      </c>
      <c r="J297" s="1" t="s">
        <v>83</v>
      </c>
      <c r="K297" s="3" t="s">
        <v>28</v>
      </c>
      <c r="L297" s="3" t="s">
        <v>6</v>
      </c>
      <c r="M297" s="3" t="s">
        <v>23</v>
      </c>
      <c r="N297" s="3" t="s">
        <v>4</v>
      </c>
      <c r="O297" s="3" t="s">
        <v>5</v>
      </c>
      <c r="P297" s="3" t="s">
        <v>3</v>
      </c>
      <c r="Q297" s="3">
        <v>230</v>
      </c>
      <c r="R297" s="3">
        <v>95</v>
      </c>
      <c r="S297" s="3">
        <v>21850</v>
      </c>
      <c r="T297" s="3">
        <v>2185</v>
      </c>
      <c r="U297" s="3">
        <v>24035.000000000004</v>
      </c>
    </row>
    <row r="298" spans="1:21" x14ac:dyDescent="0.25">
      <c r="A298" s="1">
        <v>297</v>
      </c>
      <c r="B298" s="2">
        <v>45296</v>
      </c>
      <c r="C298" s="2">
        <v>45296</v>
      </c>
      <c r="D298" s="4">
        <v>2024</v>
      </c>
      <c r="E298" s="4">
        <v>1</v>
      </c>
      <c r="F298" s="4">
        <v>5</v>
      </c>
      <c r="G298" s="1" t="s">
        <v>30</v>
      </c>
      <c r="I298" s="1" t="s">
        <v>104</v>
      </c>
      <c r="J298" s="1" t="s">
        <v>105</v>
      </c>
      <c r="K298" s="3" t="s">
        <v>28</v>
      </c>
      <c r="L298" s="3" t="s">
        <v>6</v>
      </c>
      <c r="M298" s="3" t="s">
        <v>23</v>
      </c>
      <c r="N298" s="3" t="s">
        <v>4</v>
      </c>
      <c r="O298" s="3" t="s">
        <v>5</v>
      </c>
      <c r="P298" s="3" t="s">
        <v>3</v>
      </c>
      <c r="Q298" s="3">
        <v>150</v>
      </c>
      <c r="R298" s="3">
        <v>95</v>
      </c>
      <c r="S298" s="3">
        <v>14250</v>
      </c>
      <c r="T298" s="3">
        <v>1425</v>
      </c>
      <c r="U298" s="3">
        <v>15675.000000000002</v>
      </c>
    </row>
    <row r="299" spans="1:21" x14ac:dyDescent="0.25">
      <c r="A299" s="1">
        <v>298</v>
      </c>
      <c r="B299" s="2">
        <v>45296</v>
      </c>
      <c r="C299" s="2">
        <v>45296</v>
      </c>
      <c r="D299" s="4">
        <v>2024</v>
      </c>
      <c r="E299" s="4">
        <v>1</v>
      </c>
      <c r="F299" s="4">
        <v>5</v>
      </c>
      <c r="G299" s="1" t="s">
        <v>30</v>
      </c>
      <c r="I299" s="1" t="s">
        <v>25</v>
      </c>
      <c r="J299" s="1" t="s">
        <v>29</v>
      </c>
      <c r="K299" s="3" t="s">
        <v>28</v>
      </c>
      <c r="L299" s="3" t="s">
        <v>6</v>
      </c>
      <c r="M299" s="3" t="s">
        <v>23</v>
      </c>
      <c r="N299" s="3" t="s">
        <v>4</v>
      </c>
      <c r="O299" s="3" t="s">
        <v>5</v>
      </c>
      <c r="P299" s="3" t="s">
        <v>3</v>
      </c>
      <c r="Q299" s="3">
        <v>150</v>
      </c>
      <c r="R299" s="3">
        <v>95</v>
      </c>
      <c r="S299" s="3">
        <v>14250</v>
      </c>
      <c r="T299" s="3">
        <v>1425</v>
      </c>
      <c r="U299" s="3">
        <v>15675.000000000002</v>
      </c>
    </row>
    <row r="300" spans="1:21" x14ac:dyDescent="0.25">
      <c r="A300" s="1">
        <v>299</v>
      </c>
      <c r="B300" s="2">
        <v>45296</v>
      </c>
      <c r="C300" s="2">
        <v>45296</v>
      </c>
      <c r="D300" s="4">
        <v>2024</v>
      </c>
      <c r="E300" s="4">
        <v>1</v>
      </c>
      <c r="F300" s="4">
        <v>5</v>
      </c>
      <c r="G300" s="1" t="s">
        <v>30</v>
      </c>
      <c r="I300" s="1" t="s">
        <v>96</v>
      </c>
      <c r="J300" s="1" t="s">
        <v>97</v>
      </c>
      <c r="K300" s="3" t="s">
        <v>28</v>
      </c>
      <c r="L300" s="3" t="s">
        <v>6</v>
      </c>
      <c r="M300" s="3" t="s">
        <v>23</v>
      </c>
      <c r="N300" s="3" t="s">
        <v>4</v>
      </c>
      <c r="O300" s="3" t="s">
        <v>5</v>
      </c>
      <c r="P300" s="3" t="s">
        <v>3</v>
      </c>
      <c r="Q300" s="3">
        <v>130</v>
      </c>
      <c r="R300" s="3">
        <v>95</v>
      </c>
      <c r="S300" s="3">
        <v>12350</v>
      </c>
      <c r="T300" s="3">
        <v>1235</v>
      </c>
      <c r="U300" s="3">
        <v>13585.000000000002</v>
      </c>
    </row>
    <row r="301" spans="1:21" x14ac:dyDescent="0.25">
      <c r="A301" s="1">
        <v>300</v>
      </c>
      <c r="B301" s="2">
        <v>45296</v>
      </c>
      <c r="C301" s="2">
        <v>45296</v>
      </c>
      <c r="D301" s="4">
        <v>2024</v>
      </c>
      <c r="E301" s="4">
        <v>1</v>
      </c>
      <c r="F301" s="4">
        <v>5</v>
      </c>
      <c r="G301" s="1" t="s">
        <v>30</v>
      </c>
      <c r="I301" s="1" t="s">
        <v>94</v>
      </c>
      <c r="J301" s="1" t="s">
        <v>95</v>
      </c>
      <c r="K301" s="3" t="s">
        <v>28</v>
      </c>
      <c r="L301" s="3" t="s">
        <v>6</v>
      </c>
      <c r="M301" s="3" t="s">
        <v>23</v>
      </c>
      <c r="N301" s="3" t="s">
        <v>4</v>
      </c>
      <c r="O301" s="3" t="s">
        <v>5</v>
      </c>
      <c r="P301" s="3" t="s">
        <v>3</v>
      </c>
      <c r="Q301" s="3">
        <v>230</v>
      </c>
      <c r="R301" s="3">
        <v>95</v>
      </c>
      <c r="S301" s="3">
        <v>21850</v>
      </c>
      <c r="T301" s="3">
        <v>2185</v>
      </c>
      <c r="U301" s="3">
        <v>24035.000000000004</v>
      </c>
    </row>
    <row r="302" spans="1:21" x14ac:dyDescent="0.25">
      <c r="A302" s="1">
        <v>301</v>
      </c>
      <c r="B302" s="2">
        <v>45296</v>
      </c>
      <c r="C302" s="2">
        <v>45296</v>
      </c>
      <c r="D302" s="4">
        <v>2024</v>
      </c>
      <c r="E302" s="4">
        <v>1</v>
      </c>
      <c r="F302" s="4">
        <v>5</v>
      </c>
      <c r="G302" s="1" t="s">
        <v>30</v>
      </c>
      <c r="I302" s="1" t="s">
        <v>84</v>
      </c>
      <c r="J302" s="1" t="s">
        <v>85</v>
      </c>
      <c r="K302" s="3" t="s">
        <v>28</v>
      </c>
      <c r="L302" s="3" t="s">
        <v>6</v>
      </c>
      <c r="M302" s="3" t="s">
        <v>23</v>
      </c>
      <c r="N302" s="3" t="s">
        <v>4</v>
      </c>
      <c r="O302" s="3" t="s">
        <v>5</v>
      </c>
      <c r="P302" s="3" t="s">
        <v>3</v>
      </c>
      <c r="Q302" s="3">
        <v>360</v>
      </c>
      <c r="R302" s="3">
        <v>95</v>
      </c>
      <c r="S302" s="3">
        <v>34200</v>
      </c>
      <c r="T302" s="3">
        <v>3420</v>
      </c>
      <c r="U302" s="3">
        <v>37620</v>
      </c>
    </row>
    <row r="303" spans="1:21" x14ac:dyDescent="0.25">
      <c r="A303" s="1">
        <v>302</v>
      </c>
      <c r="B303" s="2">
        <v>45296</v>
      </c>
      <c r="C303" s="2">
        <v>45296</v>
      </c>
      <c r="D303" s="4">
        <v>2024</v>
      </c>
      <c r="E303" s="4">
        <v>1</v>
      </c>
      <c r="F303" s="4">
        <v>5</v>
      </c>
      <c r="G303" s="1" t="s">
        <v>30</v>
      </c>
      <c r="I303" s="1" t="s">
        <v>98</v>
      </c>
      <c r="J303" s="1" t="s">
        <v>99</v>
      </c>
      <c r="K303" s="3" t="s">
        <v>28</v>
      </c>
      <c r="L303" s="3" t="s">
        <v>6</v>
      </c>
      <c r="M303" s="3" t="s">
        <v>23</v>
      </c>
      <c r="N303" s="3" t="s">
        <v>4</v>
      </c>
      <c r="O303" s="3" t="s">
        <v>5</v>
      </c>
      <c r="P303" s="3" t="s">
        <v>3</v>
      </c>
      <c r="Q303" s="3">
        <v>310</v>
      </c>
      <c r="R303" s="3">
        <v>95</v>
      </c>
      <c r="S303" s="3">
        <v>29450</v>
      </c>
      <c r="T303" s="3">
        <v>2945</v>
      </c>
      <c r="U303" s="3">
        <v>32395.000000000004</v>
      </c>
    </row>
    <row r="304" spans="1:21" x14ac:dyDescent="0.25">
      <c r="A304" s="1">
        <v>303</v>
      </c>
      <c r="B304" s="2">
        <v>45296</v>
      </c>
      <c r="C304" s="2">
        <v>45296</v>
      </c>
      <c r="D304" s="4">
        <v>2024</v>
      </c>
      <c r="E304" s="4">
        <v>1</v>
      </c>
      <c r="F304" s="4">
        <v>5</v>
      </c>
      <c r="G304" s="1" t="s">
        <v>30</v>
      </c>
      <c r="I304" s="1" t="s">
        <v>82</v>
      </c>
      <c r="J304" s="1" t="s">
        <v>83</v>
      </c>
      <c r="K304" s="3" t="s">
        <v>28</v>
      </c>
      <c r="L304" s="3" t="s">
        <v>6</v>
      </c>
      <c r="M304" s="3" t="s">
        <v>23</v>
      </c>
      <c r="N304" s="3" t="s">
        <v>4</v>
      </c>
      <c r="O304" s="3" t="s">
        <v>5</v>
      </c>
      <c r="P304" s="3" t="s">
        <v>3</v>
      </c>
      <c r="Q304" s="3">
        <v>80</v>
      </c>
      <c r="R304" s="3">
        <v>95</v>
      </c>
      <c r="S304" s="3">
        <v>7600</v>
      </c>
      <c r="T304" s="3">
        <v>760</v>
      </c>
      <c r="U304" s="3">
        <v>8360</v>
      </c>
    </row>
    <row r="305" spans="1:21" x14ac:dyDescent="0.25">
      <c r="A305" s="1">
        <v>304</v>
      </c>
      <c r="B305" s="2">
        <v>45296</v>
      </c>
      <c r="C305" s="2">
        <v>45296</v>
      </c>
      <c r="D305" s="4">
        <v>2024</v>
      </c>
      <c r="E305" s="4">
        <v>1</v>
      </c>
      <c r="F305" s="4">
        <v>5</v>
      </c>
      <c r="G305" s="1" t="s">
        <v>30</v>
      </c>
      <c r="I305" s="1" t="s">
        <v>84</v>
      </c>
      <c r="J305" s="1" t="s">
        <v>85</v>
      </c>
      <c r="K305" s="3" t="s">
        <v>28</v>
      </c>
      <c r="L305" s="3" t="s">
        <v>6</v>
      </c>
      <c r="M305" s="3" t="s">
        <v>23</v>
      </c>
      <c r="N305" s="3" t="s">
        <v>4</v>
      </c>
      <c r="O305" s="3" t="s">
        <v>5</v>
      </c>
      <c r="P305" s="3" t="s">
        <v>3</v>
      </c>
      <c r="Q305" s="3">
        <v>160</v>
      </c>
      <c r="R305" s="3">
        <v>95</v>
      </c>
      <c r="S305" s="3">
        <v>15200</v>
      </c>
      <c r="T305" s="3">
        <v>1520</v>
      </c>
      <c r="U305" s="3">
        <v>16720</v>
      </c>
    </row>
    <row r="306" spans="1:21" x14ac:dyDescent="0.25">
      <c r="A306" s="1">
        <v>305</v>
      </c>
      <c r="B306" s="2">
        <v>45296</v>
      </c>
      <c r="C306" s="2">
        <v>45296</v>
      </c>
      <c r="D306" s="4">
        <v>2024</v>
      </c>
      <c r="E306" s="4">
        <v>1</v>
      </c>
      <c r="F306" s="4">
        <v>5</v>
      </c>
      <c r="G306" s="1" t="s">
        <v>30</v>
      </c>
      <c r="I306" s="1" t="s">
        <v>90</v>
      </c>
      <c r="J306" s="1" t="s">
        <v>91</v>
      </c>
      <c r="K306" s="3" t="s">
        <v>28</v>
      </c>
      <c r="L306" s="3" t="s">
        <v>6</v>
      </c>
      <c r="M306" s="3" t="s">
        <v>23</v>
      </c>
      <c r="N306" s="3" t="s">
        <v>4</v>
      </c>
      <c r="O306" s="3" t="s">
        <v>5</v>
      </c>
      <c r="P306" s="3" t="s">
        <v>3</v>
      </c>
      <c r="Q306" s="3">
        <v>260</v>
      </c>
      <c r="R306" s="3">
        <v>95</v>
      </c>
      <c r="S306" s="3">
        <v>24700</v>
      </c>
      <c r="T306" s="3">
        <v>2470</v>
      </c>
      <c r="U306" s="3">
        <v>27170.000000000004</v>
      </c>
    </row>
    <row r="307" spans="1:21" x14ac:dyDescent="0.25">
      <c r="A307" s="1">
        <v>306</v>
      </c>
      <c r="B307" s="2">
        <v>45296</v>
      </c>
      <c r="C307" s="2">
        <v>45296</v>
      </c>
      <c r="D307" s="4">
        <v>2024</v>
      </c>
      <c r="E307" s="4">
        <v>1</v>
      </c>
      <c r="F307" s="4">
        <v>5</v>
      </c>
      <c r="G307" s="1" t="s">
        <v>30</v>
      </c>
      <c r="I307" s="1" t="s">
        <v>98</v>
      </c>
      <c r="J307" s="1" t="s">
        <v>99</v>
      </c>
      <c r="K307" s="3" t="s">
        <v>28</v>
      </c>
      <c r="L307" s="3" t="s">
        <v>6</v>
      </c>
      <c r="M307" s="3" t="s">
        <v>23</v>
      </c>
      <c r="N307" s="3" t="s">
        <v>4</v>
      </c>
      <c r="O307" s="3" t="s">
        <v>5</v>
      </c>
      <c r="P307" s="3" t="s">
        <v>3</v>
      </c>
      <c r="Q307" s="3">
        <v>130</v>
      </c>
      <c r="R307" s="3">
        <v>95</v>
      </c>
      <c r="S307" s="3">
        <v>12350</v>
      </c>
      <c r="T307" s="3">
        <v>1235</v>
      </c>
      <c r="U307" s="3">
        <v>13585.000000000002</v>
      </c>
    </row>
    <row r="308" spans="1:21" x14ac:dyDescent="0.25">
      <c r="A308" s="1">
        <v>307</v>
      </c>
      <c r="B308" s="2">
        <v>45297</v>
      </c>
      <c r="C308" s="2">
        <v>45296</v>
      </c>
      <c r="D308" s="4">
        <v>2024</v>
      </c>
      <c r="E308" s="4">
        <v>1</v>
      </c>
      <c r="F308" s="4">
        <v>5</v>
      </c>
      <c r="G308" s="1" t="s">
        <v>31</v>
      </c>
      <c r="H308" s="1" t="s">
        <v>52</v>
      </c>
      <c r="I308" s="1" t="s">
        <v>53</v>
      </c>
      <c r="J308" s="1" t="s">
        <v>54</v>
      </c>
      <c r="K308" s="3" t="s">
        <v>28</v>
      </c>
      <c r="L308" s="3" t="s">
        <v>6</v>
      </c>
      <c r="M308" s="3" t="s">
        <v>23</v>
      </c>
      <c r="N308" s="3" t="s">
        <v>4</v>
      </c>
      <c r="O308" s="3" t="s">
        <v>5</v>
      </c>
      <c r="P308" s="3" t="s">
        <v>3</v>
      </c>
      <c r="Q308" s="3">
        <v>320</v>
      </c>
      <c r="R308" s="3">
        <v>85</v>
      </c>
      <c r="S308" s="3">
        <v>27200</v>
      </c>
      <c r="T308" s="3">
        <v>2720</v>
      </c>
      <c r="U308" s="3">
        <v>29920.000000000004</v>
      </c>
    </row>
    <row r="309" spans="1:21" x14ac:dyDescent="0.25">
      <c r="A309" s="1">
        <v>308</v>
      </c>
      <c r="B309" s="2">
        <v>45297</v>
      </c>
      <c r="C309" s="2">
        <v>45296</v>
      </c>
      <c r="D309" s="4">
        <v>2024</v>
      </c>
      <c r="E309" s="4">
        <v>1</v>
      </c>
      <c r="F309" s="4">
        <v>5</v>
      </c>
      <c r="G309" s="1" t="s">
        <v>31</v>
      </c>
      <c r="H309" s="1" t="s">
        <v>52</v>
      </c>
      <c r="I309" s="1" t="s">
        <v>53</v>
      </c>
      <c r="J309" s="1" t="s">
        <v>54</v>
      </c>
      <c r="K309" s="3" t="s">
        <v>28</v>
      </c>
      <c r="L309" s="3" t="s">
        <v>6</v>
      </c>
      <c r="M309" s="3" t="s">
        <v>23</v>
      </c>
      <c r="N309" s="3" t="s">
        <v>4</v>
      </c>
      <c r="O309" s="3" t="s">
        <v>5</v>
      </c>
      <c r="P309" s="3" t="s">
        <v>3</v>
      </c>
      <c r="Q309" s="3">
        <v>220</v>
      </c>
      <c r="R309" s="3">
        <v>85</v>
      </c>
      <c r="S309" s="3">
        <v>18700</v>
      </c>
      <c r="T309" s="3">
        <v>1870</v>
      </c>
      <c r="U309" s="3">
        <v>20570</v>
      </c>
    </row>
    <row r="310" spans="1:21" x14ac:dyDescent="0.25">
      <c r="A310" s="1">
        <v>309</v>
      </c>
      <c r="B310" s="2">
        <v>45297</v>
      </c>
      <c r="C310" s="2">
        <v>45296</v>
      </c>
      <c r="D310" s="4">
        <v>2024</v>
      </c>
      <c r="E310" s="4">
        <v>1</v>
      </c>
      <c r="F310" s="4">
        <v>5</v>
      </c>
      <c r="G310" s="1" t="s">
        <v>31</v>
      </c>
      <c r="H310" s="1" t="s">
        <v>52</v>
      </c>
      <c r="I310" s="1" t="s">
        <v>53</v>
      </c>
      <c r="J310" s="1" t="s">
        <v>54</v>
      </c>
      <c r="K310" s="3" t="s">
        <v>28</v>
      </c>
      <c r="L310" s="3" t="s">
        <v>6</v>
      </c>
      <c r="M310" s="3" t="s">
        <v>23</v>
      </c>
      <c r="N310" s="3" t="s">
        <v>4</v>
      </c>
      <c r="O310" s="3" t="s">
        <v>5</v>
      </c>
      <c r="P310" s="3" t="s">
        <v>3</v>
      </c>
      <c r="Q310" s="3">
        <v>290</v>
      </c>
      <c r="R310" s="3">
        <v>85</v>
      </c>
      <c r="S310" s="3">
        <v>24650</v>
      </c>
      <c r="T310" s="3">
        <v>2465</v>
      </c>
      <c r="U310" s="3">
        <v>27115.000000000004</v>
      </c>
    </row>
    <row r="311" spans="1:21" x14ac:dyDescent="0.25">
      <c r="A311" s="1">
        <v>310</v>
      </c>
      <c r="B311" s="2">
        <v>45297</v>
      </c>
      <c r="C311" s="2">
        <v>45297</v>
      </c>
      <c r="D311" s="4">
        <v>2024</v>
      </c>
      <c r="E311" s="4">
        <v>1</v>
      </c>
      <c r="F311" s="4">
        <v>6</v>
      </c>
      <c r="G311" s="1" t="s">
        <v>31</v>
      </c>
      <c r="H311" s="1" t="s">
        <v>52</v>
      </c>
      <c r="I311" s="1" t="s">
        <v>53</v>
      </c>
      <c r="J311" s="1" t="s">
        <v>54</v>
      </c>
      <c r="K311" s="3" t="s">
        <v>28</v>
      </c>
      <c r="L311" s="3" t="s">
        <v>6</v>
      </c>
      <c r="M311" s="3" t="s">
        <v>23</v>
      </c>
      <c r="N311" s="3" t="s">
        <v>4</v>
      </c>
      <c r="O311" s="3" t="s">
        <v>5</v>
      </c>
      <c r="P311" s="3" t="s">
        <v>3</v>
      </c>
      <c r="Q311" s="3">
        <v>300</v>
      </c>
      <c r="R311" s="3">
        <v>85</v>
      </c>
      <c r="S311" s="3">
        <v>25500</v>
      </c>
      <c r="T311" s="3">
        <v>2550</v>
      </c>
      <c r="U311" s="3">
        <v>28050.000000000004</v>
      </c>
    </row>
    <row r="312" spans="1:21" x14ac:dyDescent="0.25">
      <c r="A312" s="1">
        <v>311</v>
      </c>
      <c r="B312" s="2">
        <v>45297</v>
      </c>
      <c r="C312" s="2">
        <v>45297</v>
      </c>
      <c r="D312" s="4">
        <v>2024</v>
      </c>
      <c r="E312" s="4">
        <v>1</v>
      </c>
      <c r="F312" s="4">
        <v>6</v>
      </c>
      <c r="G312" s="1" t="s">
        <v>31</v>
      </c>
      <c r="H312" s="1" t="s">
        <v>52</v>
      </c>
      <c r="I312" s="1" t="s">
        <v>53</v>
      </c>
      <c r="J312" s="1" t="s">
        <v>54</v>
      </c>
      <c r="K312" s="3" t="s">
        <v>28</v>
      </c>
      <c r="L312" s="3" t="s">
        <v>6</v>
      </c>
      <c r="M312" s="3" t="s">
        <v>23</v>
      </c>
      <c r="N312" s="3" t="s">
        <v>4</v>
      </c>
      <c r="O312" s="3" t="s">
        <v>5</v>
      </c>
      <c r="P312" s="3" t="s">
        <v>3</v>
      </c>
      <c r="Q312" s="3">
        <v>190</v>
      </c>
      <c r="R312" s="3">
        <v>85</v>
      </c>
      <c r="S312" s="3">
        <v>16150</v>
      </c>
      <c r="T312" s="3">
        <v>1615</v>
      </c>
      <c r="U312" s="3">
        <v>17765</v>
      </c>
    </row>
    <row r="313" spans="1:21" x14ac:dyDescent="0.25">
      <c r="A313" s="1">
        <v>312</v>
      </c>
      <c r="B313" s="2">
        <v>45297</v>
      </c>
      <c r="C313" s="2">
        <v>45297</v>
      </c>
      <c r="D313" s="4">
        <v>2024</v>
      </c>
      <c r="E313" s="4">
        <v>1</v>
      </c>
      <c r="F313" s="4">
        <v>6</v>
      </c>
      <c r="G313" s="1" t="s">
        <v>31</v>
      </c>
      <c r="H313" s="1" t="s">
        <v>52</v>
      </c>
      <c r="I313" s="1" t="s">
        <v>53</v>
      </c>
      <c r="J313" s="1" t="s">
        <v>54</v>
      </c>
      <c r="K313" s="3" t="s">
        <v>28</v>
      </c>
      <c r="L313" s="3" t="s">
        <v>6</v>
      </c>
      <c r="M313" s="3" t="s">
        <v>23</v>
      </c>
      <c r="N313" s="3" t="s">
        <v>4</v>
      </c>
      <c r="O313" s="3" t="s">
        <v>5</v>
      </c>
      <c r="P313" s="3" t="s">
        <v>3</v>
      </c>
      <c r="Q313" s="3">
        <v>310</v>
      </c>
      <c r="R313" s="3">
        <v>85</v>
      </c>
      <c r="S313" s="3">
        <v>26350</v>
      </c>
      <c r="T313" s="3">
        <v>2635</v>
      </c>
      <c r="U313" s="3">
        <v>28985.000000000004</v>
      </c>
    </row>
    <row r="314" spans="1:21" x14ac:dyDescent="0.25">
      <c r="A314" s="1">
        <v>313</v>
      </c>
      <c r="B314" s="2">
        <v>45297</v>
      </c>
      <c r="C314" s="2">
        <v>45297</v>
      </c>
      <c r="D314" s="4">
        <v>2024</v>
      </c>
      <c r="E314" s="4">
        <v>1</v>
      </c>
      <c r="F314" s="4">
        <v>6</v>
      </c>
      <c r="G314" s="1" t="s">
        <v>32</v>
      </c>
      <c r="I314" s="1" t="s">
        <v>40</v>
      </c>
      <c r="J314" s="1" t="s">
        <v>32</v>
      </c>
      <c r="K314" s="3" t="s">
        <v>119</v>
      </c>
      <c r="L314" s="3" t="s">
        <v>6</v>
      </c>
      <c r="M314" s="3" t="s">
        <v>23</v>
      </c>
      <c r="N314" s="3" t="s">
        <v>4</v>
      </c>
      <c r="O314" s="3" t="s">
        <v>2</v>
      </c>
      <c r="P314" s="3" t="s">
        <v>3</v>
      </c>
      <c r="Q314" s="3">
        <v>5230</v>
      </c>
      <c r="R314" s="3">
        <v>90</v>
      </c>
      <c r="S314" s="3">
        <v>470700</v>
      </c>
      <c r="T314" s="3">
        <v>47070</v>
      </c>
      <c r="U314" s="3">
        <v>517770.00000000006</v>
      </c>
    </row>
    <row r="315" spans="1:21" x14ac:dyDescent="0.25">
      <c r="A315" s="1">
        <v>314</v>
      </c>
      <c r="B315" s="2">
        <v>45297</v>
      </c>
      <c r="C315" s="2">
        <v>45297</v>
      </c>
      <c r="D315" s="4">
        <v>2024</v>
      </c>
      <c r="E315" s="4">
        <v>1</v>
      </c>
      <c r="F315" s="4">
        <v>6</v>
      </c>
      <c r="G315" s="1" t="s">
        <v>36</v>
      </c>
      <c r="I315" s="1" t="s">
        <v>115</v>
      </c>
      <c r="J315" s="1" t="s">
        <v>36</v>
      </c>
      <c r="K315" s="3" t="s">
        <v>119</v>
      </c>
      <c r="L315" s="3" t="s">
        <v>77</v>
      </c>
      <c r="M315" s="3" t="s">
        <v>23</v>
      </c>
      <c r="N315" s="3" t="s">
        <v>78</v>
      </c>
      <c r="O315" s="3" t="s">
        <v>2</v>
      </c>
      <c r="P315" s="3" t="s">
        <v>3</v>
      </c>
      <c r="Q315" s="3">
        <v>3910</v>
      </c>
      <c r="R315" s="3">
        <v>0</v>
      </c>
      <c r="S315" s="3">
        <v>0</v>
      </c>
      <c r="T315" s="3">
        <v>0</v>
      </c>
      <c r="U315" s="3">
        <v>0</v>
      </c>
    </row>
    <row r="316" spans="1:21" x14ac:dyDescent="0.25">
      <c r="A316" s="1">
        <v>315</v>
      </c>
      <c r="B316" s="2">
        <v>45297</v>
      </c>
      <c r="C316" s="2">
        <v>45297</v>
      </c>
      <c r="D316" s="4">
        <v>2024</v>
      </c>
      <c r="E316" s="4">
        <v>1</v>
      </c>
      <c r="F316" s="4">
        <v>6</v>
      </c>
      <c r="G316" s="1" t="s">
        <v>36</v>
      </c>
      <c r="I316" s="1" t="s">
        <v>120</v>
      </c>
      <c r="J316" s="1" t="s">
        <v>36</v>
      </c>
      <c r="K316" s="3" t="s">
        <v>119</v>
      </c>
      <c r="L316" s="3" t="s">
        <v>46</v>
      </c>
      <c r="M316" s="3" t="s">
        <v>23</v>
      </c>
      <c r="N316" s="3" t="s">
        <v>47</v>
      </c>
      <c r="O316" s="3" t="s">
        <v>2</v>
      </c>
      <c r="P316" s="3" t="s">
        <v>3</v>
      </c>
      <c r="Q316" s="3">
        <v>3720</v>
      </c>
      <c r="R316" s="3">
        <v>0</v>
      </c>
      <c r="S316" s="3">
        <v>0</v>
      </c>
      <c r="T316" s="3">
        <v>0</v>
      </c>
      <c r="U316" s="3">
        <v>0</v>
      </c>
    </row>
    <row r="317" spans="1:21" x14ac:dyDescent="0.25">
      <c r="A317" s="1">
        <v>316</v>
      </c>
      <c r="B317" s="2">
        <v>45297</v>
      </c>
      <c r="C317" s="2">
        <v>45297</v>
      </c>
      <c r="D317" s="4">
        <v>2024</v>
      </c>
      <c r="E317" s="4">
        <v>1</v>
      </c>
      <c r="F317" s="4">
        <v>6</v>
      </c>
      <c r="G317" s="1" t="s">
        <v>36</v>
      </c>
      <c r="I317" s="1" t="s">
        <v>81</v>
      </c>
      <c r="J317" s="1" t="s">
        <v>36</v>
      </c>
      <c r="K317" s="3" t="s">
        <v>119</v>
      </c>
      <c r="L317" s="3" t="s">
        <v>46</v>
      </c>
      <c r="M317" s="3" t="s">
        <v>23</v>
      </c>
      <c r="N317" s="3" t="s">
        <v>47</v>
      </c>
      <c r="O317" s="3" t="s">
        <v>2</v>
      </c>
      <c r="P317" s="3" t="s">
        <v>3</v>
      </c>
      <c r="Q317" s="3">
        <v>3575</v>
      </c>
      <c r="R317" s="3">
        <v>0</v>
      </c>
      <c r="S317" s="3">
        <v>0</v>
      </c>
      <c r="T317" s="3">
        <v>0</v>
      </c>
      <c r="U317" s="3">
        <v>0</v>
      </c>
    </row>
    <row r="318" spans="1:21" x14ac:dyDescent="0.25">
      <c r="A318" s="1">
        <v>317</v>
      </c>
      <c r="B318" s="2">
        <v>45297</v>
      </c>
      <c r="C318" s="2">
        <v>45297</v>
      </c>
      <c r="D318" s="4">
        <v>2024</v>
      </c>
      <c r="E318" s="4">
        <v>1</v>
      </c>
      <c r="F318" s="4">
        <v>6</v>
      </c>
      <c r="G318" s="1" t="s">
        <v>32</v>
      </c>
      <c r="I318" s="1" t="s">
        <v>143</v>
      </c>
      <c r="J318" s="1" t="s">
        <v>32</v>
      </c>
      <c r="K318" s="3" t="s">
        <v>119</v>
      </c>
      <c r="L318" s="3" t="s">
        <v>6</v>
      </c>
      <c r="M318" s="3" t="s">
        <v>23</v>
      </c>
      <c r="N318" s="3" t="s">
        <v>4</v>
      </c>
      <c r="O318" s="3" t="s">
        <v>2</v>
      </c>
      <c r="P318" s="3" t="s">
        <v>3</v>
      </c>
      <c r="Q318" s="3">
        <v>5120</v>
      </c>
      <c r="R318" s="3">
        <v>90</v>
      </c>
      <c r="S318" s="3">
        <v>460800</v>
      </c>
      <c r="T318" s="3">
        <v>46080</v>
      </c>
      <c r="U318" s="3">
        <v>506880.00000000006</v>
      </c>
    </row>
    <row r="319" spans="1:21" x14ac:dyDescent="0.25">
      <c r="A319" s="1">
        <v>318</v>
      </c>
      <c r="B319" s="2">
        <v>45297</v>
      </c>
      <c r="C319" s="2">
        <v>45297</v>
      </c>
      <c r="D319" s="4">
        <v>2024</v>
      </c>
      <c r="E319" s="4">
        <v>1</v>
      </c>
      <c r="F319" s="4">
        <v>6</v>
      </c>
      <c r="G319" s="1" t="s">
        <v>36</v>
      </c>
      <c r="I319" s="1" t="s">
        <v>49</v>
      </c>
      <c r="J319" s="1" t="s">
        <v>36</v>
      </c>
      <c r="K319" s="3" t="s">
        <v>119</v>
      </c>
      <c r="L319" s="3" t="s">
        <v>77</v>
      </c>
      <c r="M319" s="3" t="s">
        <v>23</v>
      </c>
      <c r="N319" s="3" t="s">
        <v>78</v>
      </c>
      <c r="O319" s="3" t="s">
        <v>2</v>
      </c>
      <c r="P319" s="3" t="s">
        <v>3</v>
      </c>
      <c r="Q319" s="3">
        <v>4225</v>
      </c>
      <c r="R319" s="3">
        <v>0</v>
      </c>
      <c r="S319" s="3">
        <v>0</v>
      </c>
      <c r="T319" s="3">
        <v>0</v>
      </c>
      <c r="U319" s="3">
        <v>0</v>
      </c>
    </row>
    <row r="320" spans="1:21" x14ac:dyDescent="0.25">
      <c r="A320" s="1">
        <v>319</v>
      </c>
      <c r="B320" s="2">
        <v>45297</v>
      </c>
      <c r="C320" s="2">
        <v>45297</v>
      </c>
      <c r="D320" s="4">
        <v>2024</v>
      </c>
      <c r="E320" s="4">
        <v>1</v>
      </c>
      <c r="F320" s="4">
        <v>6</v>
      </c>
      <c r="G320" s="1" t="s">
        <v>36</v>
      </c>
      <c r="I320" s="1" t="s">
        <v>80</v>
      </c>
      <c r="J320" s="1" t="s">
        <v>36</v>
      </c>
      <c r="K320" s="3" t="s">
        <v>119</v>
      </c>
      <c r="L320" s="3" t="s">
        <v>46</v>
      </c>
      <c r="M320" s="3" t="s">
        <v>23</v>
      </c>
      <c r="N320" s="3" t="s">
        <v>47</v>
      </c>
      <c r="O320" s="3" t="s">
        <v>2</v>
      </c>
      <c r="P320" s="3" t="s">
        <v>3</v>
      </c>
      <c r="Q320" s="3">
        <v>2855</v>
      </c>
      <c r="R320" s="3">
        <v>0</v>
      </c>
      <c r="S320" s="3">
        <v>0</v>
      </c>
      <c r="T320" s="3">
        <v>0</v>
      </c>
      <c r="U320" s="3">
        <v>0</v>
      </c>
    </row>
    <row r="321" spans="1:21" x14ac:dyDescent="0.25">
      <c r="A321" s="1">
        <v>320</v>
      </c>
      <c r="B321" s="2">
        <v>45297</v>
      </c>
      <c r="C321" s="2">
        <v>45297</v>
      </c>
      <c r="D321" s="4">
        <v>2024</v>
      </c>
      <c r="E321" s="4">
        <v>1</v>
      </c>
      <c r="F321" s="4">
        <v>6</v>
      </c>
      <c r="G321" s="1" t="s">
        <v>32</v>
      </c>
      <c r="I321" s="1" t="s">
        <v>143</v>
      </c>
      <c r="J321" s="1" t="s">
        <v>32</v>
      </c>
      <c r="K321" s="3" t="s">
        <v>119</v>
      </c>
      <c r="L321" s="3" t="s">
        <v>6</v>
      </c>
      <c r="M321" s="3" t="s">
        <v>23</v>
      </c>
      <c r="N321" s="3" t="s">
        <v>4</v>
      </c>
      <c r="O321" s="3" t="s">
        <v>2</v>
      </c>
      <c r="P321" s="3" t="s">
        <v>3</v>
      </c>
      <c r="Q321" s="3">
        <v>4535</v>
      </c>
      <c r="R321" s="3">
        <v>90</v>
      </c>
      <c r="S321" s="3">
        <v>408150</v>
      </c>
      <c r="T321" s="3">
        <v>40815</v>
      </c>
      <c r="U321" s="3">
        <v>448965.00000000006</v>
      </c>
    </row>
    <row r="322" spans="1:21" x14ac:dyDescent="0.25">
      <c r="A322" s="1">
        <v>321</v>
      </c>
      <c r="B322" s="2">
        <v>45297</v>
      </c>
      <c r="C322" s="2">
        <v>45297</v>
      </c>
      <c r="D322" s="4">
        <v>2024</v>
      </c>
      <c r="E322" s="4">
        <v>1</v>
      </c>
      <c r="F322" s="4">
        <v>6</v>
      </c>
      <c r="G322" s="1" t="s">
        <v>36</v>
      </c>
      <c r="I322" s="1" t="s">
        <v>51</v>
      </c>
      <c r="J322" s="1" t="s">
        <v>36</v>
      </c>
      <c r="K322" s="3" t="s">
        <v>119</v>
      </c>
      <c r="L322" s="3" t="s">
        <v>46</v>
      </c>
      <c r="M322" s="3" t="s">
        <v>23</v>
      </c>
      <c r="N322" s="3" t="s">
        <v>47</v>
      </c>
      <c r="O322" s="3" t="s">
        <v>2</v>
      </c>
      <c r="P322" s="3" t="s">
        <v>3</v>
      </c>
      <c r="Q322" s="3">
        <v>3890</v>
      </c>
      <c r="R322" s="3">
        <v>0</v>
      </c>
      <c r="S322" s="3">
        <v>0</v>
      </c>
      <c r="T322" s="3">
        <v>0</v>
      </c>
      <c r="U322" s="3">
        <v>0</v>
      </c>
    </row>
    <row r="323" spans="1:21" x14ac:dyDescent="0.25">
      <c r="A323" s="1">
        <v>322</v>
      </c>
      <c r="B323" s="2">
        <v>45297</v>
      </c>
      <c r="C323" s="2">
        <v>45297</v>
      </c>
      <c r="D323" s="4">
        <v>2024</v>
      </c>
      <c r="E323" s="4">
        <v>1</v>
      </c>
      <c r="F323" s="4">
        <v>6</v>
      </c>
      <c r="G323" s="1" t="s">
        <v>33</v>
      </c>
      <c r="I323" s="1" t="s">
        <v>137</v>
      </c>
      <c r="J323" s="1" t="s">
        <v>33</v>
      </c>
      <c r="K323" s="3" t="s">
        <v>119</v>
      </c>
      <c r="L323" s="3" t="s">
        <v>75</v>
      </c>
      <c r="M323" s="3" t="s">
        <v>76</v>
      </c>
      <c r="N323" s="3" t="s">
        <v>76</v>
      </c>
      <c r="O323" s="3" t="s">
        <v>2</v>
      </c>
      <c r="P323" s="3" t="s">
        <v>3</v>
      </c>
      <c r="Q323" s="3">
        <v>2415</v>
      </c>
      <c r="R323" s="3">
        <v>220</v>
      </c>
      <c r="S323" s="3">
        <v>531300</v>
      </c>
      <c r="T323" s="3">
        <v>53130</v>
      </c>
      <c r="U323" s="3">
        <v>584430</v>
      </c>
    </row>
    <row r="324" spans="1:21" x14ac:dyDescent="0.25">
      <c r="A324" s="1">
        <v>323</v>
      </c>
      <c r="B324" s="2">
        <v>45297</v>
      </c>
      <c r="C324" s="2">
        <v>45297</v>
      </c>
      <c r="D324" s="4">
        <v>2024</v>
      </c>
      <c r="E324" s="4">
        <v>1</v>
      </c>
      <c r="F324" s="4">
        <v>6</v>
      </c>
      <c r="G324" s="1" t="s">
        <v>30</v>
      </c>
      <c r="I324" s="1" t="s">
        <v>107</v>
      </c>
      <c r="J324" s="1" t="s">
        <v>108</v>
      </c>
      <c r="K324" s="3" t="s">
        <v>28</v>
      </c>
      <c r="L324" s="3" t="s">
        <v>6</v>
      </c>
      <c r="M324" s="3" t="s">
        <v>23</v>
      </c>
      <c r="N324" s="3" t="s">
        <v>4</v>
      </c>
      <c r="O324" s="3" t="s">
        <v>5</v>
      </c>
      <c r="P324" s="3" t="s">
        <v>3</v>
      </c>
      <c r="Q324" s="3">
        <v>140</v>
      </c>
      <c r="R324" s="3">
        <v>95</v>
      </c>
      <c r="S324" s="3">
        <v>13300</v>
      </c>
      <c r="T324" s="3">
        <v>1330</v>
      </c>
      <c r="U324" s="3">
        <v>14630.000000000002</v>
      </c>
    </row>
    <row r="325" spans="1:21" x14ac:dyDescent="0.25">
      <c r="A325" s="1">
        <v>324</v>
      </c>
      <c r="B325" s="2">
        <v>45297</v>
      </c>
      <c r="C325" s="2">
        <v>45297</v>
      </c>
      <c r="D325" s="4">
        <v>2024</v>
      </c>
      <c r="E325" s="4">
        <v>1</v>
      </c>
      <c r="F325" s="4">
        <v>6</v>
      </c>
      <c r="G325" s="1" t="s">
        <v>30</v>
      </c>
      <c r="I325" s="1" t="s">
        <v>86</v>
      </c>
      <c r="J325" s="1" t="s">
        <v>87</v>
      </c>
      <c r="K325" s="3" t="s">
        <v>28</v>
      </c>
      <c r="L325" s="3" t="s">
        <v>6</v>
      </c>
      <c r="M325" s="3" t="s">
        <v>23</v>
      </c>
      <c r="N325" s="3" t="s">
        <v>4</v>
      </c>
      <c r="O325" s="3" t="s">
        <v>5</v>
      </c>
      <c r="P325" s="3" t="s">
        <v>3</v>
      </c>
      <c r="Q325" s="3">
        <v>210</v>
      </c>
      <c r="R325" s="3">
        <v>95</v>
      </c>
      <c r="S325" s="3">
        <v>19950</v>
      </c>
      <c r="T325" s="3">
        <v>1995</v>
      </c>
      <c r="U325" s="3">
        <v>21945</v>
      </c>
    </row>
    <row r="326" spans="1:21" x14ac:dyDescent="0.25">
      <c r="A326" s="1">
        <v>325</v>
      </c>
      <c r="B326" s="2">
        <v>45297</v>
      </c>
      <c r="C326" s="2">
        <v>45297</v>
      </c>
      <c r="D326" s="4">
        <v>2024</v>
      </c>
      <c r="E326" s="4">
        <v>1</v>
      </c>
      <c r="F326" s="4">
        <v>6</v>
      </c>
      <c r="G326" s="1" t="s">
        <v>30</v>
      </c>
      <c r="I326" s="1" t="s">
        <v>98</v>
      </c>
      <c r="J326" s="1" t="s">
        <v>99</v>
      </c>
      <c r="K326" s="3" t="s">
        <v>28</v>
      </c>
      <c r="L326" s="3" t="s">
        <v>6</v>
      </c>
      <c r="M326" s="3" t="s">
        <v>23</v>
      </c>
      <c r="N326" s="3" t="s">
        <v>4</v>
      </c>
      <c r="O326" s="3" t="s">
        <v>5</v>
      </c>
      <c r="P326" s="3" t="s">
        <v>3</v>
      </c>
      <c r="Q326" s="3">
        <v>120</v>
      </c>
      <c r="R326" s="3">
        <v>95</v>
      </c>
      <c r="S326" s="3">
        <v>11400</v>
      </c>
      <c r="T326" s="3">
        <v>1140</v>
      </c>
      <c r="U326" s="3">
        <v>12540.000000000002</v>
      </c>
    </row>
    <row r="327" spans="1:21" x14ac:dyDescent="0.25">
      <c r="A327" s="1">
        <v>326</v>
      </c>
      <c r="B327" s="2">
        <v>45297</v>
      </c>
      <c r="C327" s="2">
        <v>45297</v>
      </c>
      <c r="D327" s="4">
        <v>2024</v>
      </c>
      <c r="E327" s="4">
        <v>1</v>
      </c>
      <c r="F327" s="4">
        <v>6</v>
      </c>
      <c r="G327" s="1" t="s">
        <v>30</v>
      </c>
      <c r="I327" s="1" t="s">
        <v>86</v>
      </c>
      <c r="J327" s="1" t="s">
        <v>87</v>
      </c>
      <c r="K327" s="3" t="s">
        <v>28</v>
      </c>
      <c r="L327" s="3" t="s">
        <v>6</v>
      </c>
      <c r="M327" s="3" t="s">
        <v>23</v>
      </c>
      <c r="N327" s="3" t="s">
        <v>4</v>
      </c>
      <c r="O327" s="3" t="s">
        <v>5</v>
      </c>
      <c r="P327" s="3" t="s">
        <v>3</v>
      </c>
      <c r="Q327" s="3">
        <v>170</v>
      </c>
      <c r="R327" s="3">
        <v>95</v>
      </c>
      <c r="S327" s="3">
        <v>16150</v>
      </c>
      <c r="T327" s="3">
        <v>1615</v>
      </c>
      <c r="U327" s="3">
        <v>17765</v>
      </c>
    </row>
    <row r="328" spans="1:21" x14ac:dyDescent="0.25">
      <c r="A328" s="1">
        <v>327</v>
      </c>
      <c r="B328" s="2">
        <v>45297</v>
      </c>
      <c r="C328" s="2">
        <v>45297</v>
      </c>
      <c r="D328" s="4">
        <v>2024</v>
      </c>
      <c r="E328" s="4">
        <v>1</v>
      </c>
      <c r="F328" s="4">
        <v>6</v>
      </c>
      <c r="G328" s="1" t="s">
        <v>30</v>
      </c>
      <c r="I328" s="1" t="s">
        <v>94</v>
      </c>
      <c r="J328" s="1" t="s">
        <v>95</v>
      </c>
      <c r="K328" s="3" t="s">
        <v>28</v>
      </c>
      <c r="L328" s="3" t="s">
        <v>6</v>
      </c>
      <c r="M328" s="3" t="s">
        <v>23</v>
      </c>
      <c r="N328" s="3" t="s">
        <v>4</v>
      </c>
      <c r="O328" s="3" t="s">
        <v>5</v>
      </c>
      <c r="P328" s="3" t="s">
        <v>3</v>
      </c>
      <c r="Q328" s="3">
        <v>150</v>
      </c>
      <c r="R328" s="3">
        <v>95</v>
      </c>
      <c r="S328" s="3">
        <v>14250</v>
      </c>
      <c r="T328" s="3">
        <v>1425</v>
      </c>
      <c r="U328" s="3">
        <v>15675.000000000002</v>
      </c>
    </row>
    <row r="329" spans="1:21" x14ac:dyDescent="0.25">
      <c r="A329" s="1">
        <v>328</v>
      </c>
      <c r="B329" s="2">
        <v>45297</v>
      </c>
      <c r="C329" s="2">
        <v>45297</v>
      </c>
      <c r="D329" s="4">
        <v>2024</v>
      </c>
      <c r="E329" s="4">
        <v>1</v>
      </c>
      <c r="F329" s="4">
        <v>6</v>
      </c>
      <c r="G329" s="1" t="s">
        <v>30</v>
      </c>
      <c r="I329" s="1" t="s">
        <v>92</v>
      </c>
      <c r="J329" s="1" t="s">
        <v>93</v>
      </c>
      <c r="K329" s="3" t="s">
        <v>28</v>
      </c>
      <c r="L329" s="3" t="s">
        <v>6</v>
      </c>
      <c r="M329" s="3" t="s">
        <v>23</v>
      </c>
      <c r="N329" s="3" t="s">
        <v>4</v>
      </c>
      <c r="O329" s="3" t="s">
        <v>5</v>
      </c>
      <c r="P329" s="3" t="s">
        <v>3</v>
      </c>
      <c r="Q329" s="3">
        <v>160</v>
      </c>
      <c r="R329" s="3">
        <v>95</v>
      </c>
      <c r="S329" s="3">
        <v>15200</v>
      </c>
      <c r="T329" s="3">
        <v>1520</v>
      </c>
      <c r="U329" s="3">
        <v>16720</v>
      </c>
    </row>
    <row r="330" spans="1:21" x14ac:dyDescent="0.25">
      <c r="A330" s="1">
        <v>329</v>
      </c>
      <c r="B330" s="2">
        <v>45297</v>
      </c>
      <c r="C330" s="2">
        <v>45297</v>
      </c>
      <c r="D330" s="4">
        <v>2024</v>
      </c>
      <c r="E330" s="4">
        <v>1</v>
      </c>
      <c r="F330" s="4">
        <v>6</v>
      </c>
      <c r="G330" s="1" t="s">
        <v>30</v>
      </c>
      <c r="I330" s="1" t="s">
        <v>88</v>
      </c>
      <c r="J330" s="1" t="s">
        <v>89</v>
      </c>
      <c r="K330" s="3" t="s">
        <v>28</v>
      </c>
      <c r="L330" s="3" t="s">
        <v>6</v>
      </c>
      <c r="M330" s="3" t="s">
        <v>23</v>
      </c>
      <c r="N330" s="3" t="s">
        <v>4</v>
      </c>
      <c r="O330" s="3" t="s">
        <v>5</v>
      </c>
      <c r="P330" s="3" t="s">
        <v>3</v>
      </c>
      <c r="Q330" s="3">
        <v>160</v>
      </c>
      <c r="R330" s="3">
        <v>95</v>
      </c>
      <c r="S330" s="3">
        <v>15200</v>
      </c>
      <c r="T330" s="3">
        <v>1520</v>
      </c>
      <c r="U330" s="3">
        <v>16720</v>
      </c>
    </row>
    <row r="331" spans="1:21" x14ac:dyDescent="0.25">
      <c r="A331" s="1">
        <v>330</v>
      </c>
      <c r="B331" s="2">
        <v>45297</v>
      </c>
      <c r="C331" s="2">
        <v>45297</v>
      </c>
      <c r="D331" s="4">
        <v>2024</v>
      </c>
      <c r="E331" s="4">
        <v>1</v>
      </c>
      <c r="F331" s="4">
        <v>6</v>
      </c>
      <c r="G331" s="1" t="s">
        <v>30</v>
      </c>
      <c r="I331" s="1" t="s">
        <v>90</v>
      </c>
      <c r="J331" s="1" t="s">
        <v>91</v>
      </c>
      <c r="K331" s="3" t="s">
        <v>28</v>
      </c>
      <c r="L331" s="3" t="s">
        <v>6</v>
      </c>
      <c r="M331" s="3" t="s">
        <v>23</v>
      </c>
      <c r="N331" s="3" t="s">
        <v>4</v>
      </c>
      <c r="O331" s="3" t="s">
        <v>5</v>
      </c>
      <c r="P331" s="3" t="s">
        <v>3</v>
      </c>
      <c r="Q331" s="3">
        <v>270</v>
      </c>
      <c r="R331" s="3">
        <v>95</v>
      </c>
      <c r="S331" s="3">
        <v>25650</v>
      </c>
      <c r="T331" s="3">
        <v>2565</v>
      </c>
      <c r="U331" s="3">
        <v>28215.000000000004</v>
      </c>
    </row>
    <row r="332" spans="1:21" x14ac:dyDescent="0.25">
      <c r="A332" s="1">
        <v>331</v>
      </c>
      <c r="B332" s="2">
        <v>45297</v>
      </c>
      <c r="C332" s="2">
        <v>45297</v>
      </c>
      <c r="D332" s="4">
        <v>2024</v>
      </c>
      <c r="E332" s="4">
        <v>1</v>
      </c>
      <c r="F332" s="4">
        <v>6</v>
      </c>
      <c r="G332" s="1" t="s">
        <v>30</v>
      </c>
      <c r="I332" s="1" t="s">
        <v>86</v>
      </c>
      <c r="J332" s="1" t="s">
        <v>87</v>
      </c>
      <c r="K332" s="3" t="s">
        <v>28</v>
      </c>
      <c r="L332" s="3" t="s">
        <v>6</v>
      </c>
      <c r="M332" s="3" t="s">
        <v>23</v>
      </c>
      <c r="N332" s="3" t="s">
        <v>4</v>
      </c>
      <c r="O332" s="3" t="s">
        <v>5</v>
      </c>
      <c r="P332" s="3" t="s">
        <v>3</v>
      </c>
      <c r="Q332" s="3">
        <v>180</v>
      </c>
      <c r="R332" s="3">
        <v>95</v>
      </c>
      <c r="S332" s="3">
        <v>17100</v>
      </c>
      <c r="T332" s="3">
        <v>1710</v>
      </c>
      <c r="U332" s="3">
        <v>18810</v>
      </c>
    </row>
    <row r="333" spans="1:21" x14ac:dyDescent="0.25">
      <c r="A333" s="1">
        <v>332</v>
      </c>
      <c r="B333" s="2">
        <v>45297</v>
      </c>
      <c r="C333" s="2">
        <v>45297</v>
      </c>
      <c r="D333" s="4">
        <v>2024</v>
      </c>
      <c r="E333" s="4">
        <v>1</v>
      </c>
      <c r="F333" s="4">
        <v>6</v>
      </c>
      <c r="G333" s="1" t="s">
        <v>30</v>
      </c>
      <c r="I333" s="1" t="s">
        <v>88</v>
      </c>
      <c r="J333" s="1" t="s">
        <v>89</v>
      </c>
      <c r="K333" s="3" t="s">
        <v>28</v>
      </c>
      <c r="L333" s="3" t="s">
        <v>6</v>
      </c>
      <c r="M333" s="3" t="s">
        <v>23</v>
      </c>
      <c r="N333" s="3" t="s">
        <v>4</v>
      </c>
      <c r="O333" s="3" t="s">
        <v>5</v>
      </c>
      <c r="P333" s="3" t="s">
        <v>3</v>
      </c>
      <c r="Q333" s="3">
        <v>110</v>
      </c>
      <c r="R333" s="3">
        <v>95</v>
      </c>
      <c r="S333" s="3">
        <v>10450</v>
      </c>
      <c r="T333" s="3">
        <v>1045</v>
      </c>
      <c r="U333" s="3">
        <v>11495.000000000002</v>
      </c>
    </row>
    <row r="334" spans="1:21" x14ac:dyDescent="0.25">
      <c r="A334" s="1">
        <v>333</v>
      </c>
      <c r="B334" s="2">
        <v>45297</v>
      </c>
      <c r="C334" s="2">
        <v>45297</v>
      </c>
      <c r="D334" s="4">
        <v>2024</v>
      </c>
      <c r="E334" s="4">
        <v>1</v>
      </c>
      <c r="F334" s="4">
        <v>6</v>
      </c>
      <c r="G334" s="1" t="s">
        <v>30</v>
      </c>
      <c r="I334" s="1" t="s">
        <v>82</v>
      </c>
      <c r="J334" s="1" t="s">
        <v>83</v>
      </c>
      <c r="K334" s="3" t="s">
        <v>28</v>
      </c>
      <c r="L334" s="3" t="s">
        <v>6</v>
      </c>
      <c r="M334" s="3" t="s">
        <v>23</v>
      </c>
      <c r="N334" s="3" t="s">
        <v>4</v>
      </c>
      <c r="O334" s="3" t="s">
        <v>5</v>
      </c>
      <c r="P334" s="3" t="s">
        <v>3</v>
      </c>
      <c r="Q334" s="3">
        <v>150</v>
      </c>
      <c r="R334" s="3">
        <v>95</v>
      </c>
      <c r="S334" s="3">
        <v>14250</v>
      </c>
      <c r="T334" s="3">
        <v>1425</v>
      </c>
      <c r="U334" s="3">
        <v>15675.000000000002</v>
      </c>
    </row>
    <row r="335" spans="1:21" x14ac:dyDescent="0.25">
      <c r="A335" s="1">
        <v>334</v>
      </c>
      <c r="B335" s="2">
        <v>45297</v>
      </c>
      <c r="C335" s="2">
        <v>45297</v>
      </c>
      <c r="D335" s="4">
        <v>2024</v>
      </c>
      <c r="E335" s="4">
        <v>1</v>
      </c>
      <c r="F335" s="4">
        <v>6</v>
      </c>
      <c r="G335" s="1" t="s">
        <v>30</v>
      </c>
      <c r="I335" s="1" t="s">
        <v>94</v>
      </c>
      <c r="J335" s="1" t="s">
        <v>95</v>
      </c>
      <c r="K335" s="3" t="s">
        <v>28</v>
      </c>
      <c r="L335" s="3" t="s">
        <v>6</v>
      </c>
      <c r="M335" s="3" t="s">
        <v>23</v>
      </c>
      <c r="N335" s="3" t="s">
        <v>4</v>
      </c>
      <c r="O335" s="3" t="s">
        <v>5</v>
      </c>
      <c r="P335" s="3" t="s">
        <v>3</v>
      </c>
      <c r="Q335" s="3">
        <v>240</v>
      </c>
      <c r="R335" s="3">
        <v>95</v>
      </c>
      <c r="S335" s="3">
        <v>22800</v>
      </c>
      <c r="T335" s="3">
        <v>2280</v>
      </c>
      <c r="U335" s="3">
        <v>25080.000000000004</v>
      </c>
    </row>
    <row r="336" spans="1:21" x14ac:dyDescent="0.25">
      <c r="A336" s="1">
        <v>335</v>
      </c>
      <c r="B336" s="2">
        <v>45297</v>
      </c>
      <c r="C336" s="2">
        <v>45297</v>
      </c>
      <c r="D336" s="4">
        <v>2024</v>
      </c>
      <c r="E336" s="4">
        <v>1</v>
      </c>
      <c r="F336" s="4">
        <v>6</v>
      </c>
      <c r="G336" s="1" t="s">
        <v>30</v>
      </c>
      <c r="I336" s="1" t="s">
        <v>104</v>
      </c>
      <c r="J336" s="1" t="s">
        <v>105</v>
      </c>
      <c r="K336" s="3" t="s">
        <v>28</v>
      </c>
      <c r="L336" s="3" t="s">
        <v>6</v>
      </c>
      <c r="M336" s="3" t="s">
        <v>23</v>
      </c>
      <c r="N336" s="3" t="s">
        <v>4</v>
      </c>
      <c r="O336" s="3" t="s">
        <v>5</v>
      </c>
      <c r="P336" s="3" t="s">
        <v>3</v>
      </c>
      <c r="Q336" s="3">
        <v>100</v>
      </c>
      <c r="R336" s="3">
        <v>95</v>
      </c>
      <c r="S336" s="3">
        <v>9500</v>
      </c>
      <c r="T336" s="3">
        <v>950</v>
      </c>
      <c r="U336" s="3">
        <v>10450</v>
      </c>
    </row>
    <row r="337" spans="1:21" x14ac:dyDescent="0.25">
      <c r="A337" s="1">
        <v>336</v>
      </c>
      <c r="B337" s="2">
        <v>45297</v>
      </c>
      <c r="C337" s="2">
        <v>45297</v>
      </c>
      <c r="D337" s="4">
        <v>2024</v>
      </c>
      <c r="E337" s="4">
        <v>1</v>
      </c>
      <c r="F337" s="4">
        <v>6</v>
      </c>
      <c r="G337" s="1" t="s">
        <v>30</v>
      </c>
      <c r="I337" s="1" t="s">
        <v>92</v>
      </c>
      <c r="J337" s="1" t="s">
        <v>93</v>
      </c>
      <c r="K337" s="3" t="s">
        <v>28</v>
      </c>
      <c r="L337" s="3" t="s">
        <v>6</v>
      </c>
      <c r="M337" s="3" t="s">
        <v>23</v>
      </c>
      <c r="N337" s="3" t="s">
        <v>4</v>
      </c>
      <c r="O337" s="3" t="s">
        <v>5</v>
      </c>
      <c r="P337" s="3" t="s">
        <v>3</v>
      </c>
      <c r="Q337" s="3">
        <v>210</v>
      </c>
      <c r="R337" s="3">
        <v>95</v>
      </c>
      <c r="S337" s="3">
        <v>19950</v>
      </c>
      <c r="T337" s="3">
        <v>1995</v>
      </c>
      <c r="U337" s="3">
        <v>21945</v>
      </c>
    </row>
    <row r="338" spans="1:21" x14ac:dyDescent="0.25">
      <c r="A338" s="1">
        <v>337</v>
      </c>
      <c r="B338" s="2">
        <v>45297</v>
      </c>
      <c r="C338" s="2">
        <v>45297</v>
      </c>
      <c r="D338" s="4">
        <v>2024</v>
      </c>
      <c r="E338" s="4">
        <v>1</v>
      </c>
      <c r="F338" s="4">
        <v>6</v>
      </c>
      <c r="G338" s="1" t="s">
        <v>30</v>
      </c>
      <c r="I338" s="1" t="s">
        <v>86</v>
      </c>
      <c r="J338" s="1" t="s">
        <v>87</v>
      </c>
      <c r="K338" s="3" t="s">
        <v>28</v>
      </c>
      <c r="L338" s="3" t="s">
        <v>6</v>
      </c>
      <c r="M338" s="3" t="s">
        <v>23</v>
      </c>
      <c r="N338" s="3" t="s">
        <v>4</v>
      </c>
      <c r="O338" s="3" t="s">
        <v>5</v>
      </c>
      <c r="P338" s="3" t="s">
        <v>3</v>
      </c>
      <c r="Q338" s="3">
        <v>230</v>
      </c>
      <c r="R338" s="3">
        <v>95</v>
      </c>
      <c r="S338" s="3">
        <v>21850</v>
      </c>
      <c r="T338" s="3">
        <v>2185</v>
      </c>
      <c r="U338" s="3">
        <v>24035.000000000004</v>
      </c>
    </row>
    <row r="339" spans="1:21" x14ac:dyDescent="0.25">
      <c r="A339" s="1">
        <v>338</v>
      </c>
      <c r="B339" s="2">
        <v>45297</v>
      </c>
      <c r="C339" s="2">
        <v>45297</v>
      </c>
      <c r="D339" s="4">
        <v>2024</v>
      </c>
      <c r="E339" s="4">
        <v>1</v>
      </c>
      <c r="F339" s="4">
        <v>6</v>
      </c>
      <c r="G339" s="1" t="s">
        <v>30</v>
      </c>
      <c r="I339" s="1" t="s">
        <v>90</v>
      </c>
      <c r="J339" s="1" t="s">
        <v>91</v>
      </c>
      <c r="K339" s="3" t="s">
        <v>28</v>
      </c>
      <c r="L339" s="3" t="s">
        <v>6</v>
      </c>
      <c r="M339" s="3" t="s">
        <v>23</v>
      </c>
      <c r="N339" s="3" t="s">
        <v>4</v>
      </c>
      <c r="O339" s="3" t="s">
        <v>5</v>
      </c>
      <c r="P339" s="3" t="s">
        <v>3</v>
      </c>
      <c r="Q339" s="3">
        <v>120</v>
      </c>
      <c r="R339" s="3">
        <v>95</v>
      </c>
      <c r="S339" s="3">
        <v>11400</v>
      </c>
      <c r="T339" s="3">
        <v>1140</v>
      </c>
      <c r="U339" s="3">
        <v>12540.000000000002</v>
      </c>
    </row>
    <row r="340" spans="1:21" x14ac:dyDescent="0.25">
      <c r="A340" s="1">
        <v>339</v>
      </c>
      <c r="B340" s="2">
        <v>45297</v>
      </c>
      <c r="C340" s="2">
        <v>45297</v>
      </c>
      <c r="D340" s="4">
        <v>2024</v>
      </c>
      <c r="E340" s="4">
        <v>1</v>
      </c>
      <c r="F340" s="4">
        <v>6</v>
      </c>
      <c r="G340" s="1" t="s">
        <v>30</v>
      </c>
      <c r="I340" s="1" t="s">
        <v>84</v>
      </c>
      <c r="J340" s="1" t="s">
        <v>85</v>
      </c>
      <c r="K340" s="3" t="s">
        <v>28</v>
      </c>
      <c r="L340" s="3" t="s">
        <v>6</v>
      </c>
      <c r="M340" s="3" t="s">
        <v>23</v>
      </c>
      <c r="N340" s="3" t="s">
        <v>4</v>
      </c>
      <c r="O340" s="3" t="s">
        <v>5</v>
      </c>
      <c r="P340" s="3" t="s">
        <v>3</v>
      </c>
      <c r="Q340" s="3">
        <v>210</v>
      </c>
      <c r="R340" s="3">
        <v>95</v>
      </c>
      <c r="S340" s="3">
        <v>19950</v>
      </c>
      <c r="T340" s="3">
        <v>1995</v>
      </c>
      <c r="U340" s="3">
        <v>21945</v>
      </c>
    </row>
    <row r="341" spans="1:21" x14ac:dyDescent="0.25">
      <c r="A341" s="1">
        <v>340</v>
      </c>
      <c r="B341" s="2">
        <v>45297</v>
      </c>
      <c r="C341" s="2">
        <v>45297</v>
      </c>
      <c r="D341" s="4">
        <v>2024</v>
      </c>
      <c r="E341" s="4">
        <v>1</v>
      </c>
      <c r="F341" s="4">
        <v>6</v>
      </c>
      <c r="G341" s="1" t="s">
        <v>30</v>
      </c>
      <c r="I341" s="1" t="s">
        <v>82</v>
      </c>
      <c r="J341" s="1" t="s">
        <v>83</v>
      </c>
      <c r="K341" s="3" t="s">
        <v>28</v>
      </c>
      <c r="L341" s="3" t="s">
        <v>6</v>
      </c>
      <c r="M341" s="3" t="s">
        <v>23</v>
      </c>
      <c r="N341" s="3" t="s">
        <v>4</v>
      </c>
      <c r="O341" s="3" t="s">
        <v>5</v>
      </c>
      <c r="P341" s="3" t="s">
        <v>3</v>
      </c>
      <c r="Q341" s="3">
        <v>190</v>
      </c>
      <c r="R341" s="3">
        <v>95</v>
      </c>
      <c r="S341" s="3">
        <v>18050</v>
      </c>
      <c r="T341" s="3">
        <v>1805</v>
      </c>
      <c r="U341" s="3">
        <v>19855</v>
      </c>
    </row>
    <row r="342" spans="1:21" x14ac:dyDescent="0.25">
      <c r="A342" s="1">
        <v>341</v>
      </c>
      <c r="B342" s="2">
        <v>45297</v>
      </c>
      <c r="C342" s="2">
        <v>45297</v>
      </c>
      <c r="D342" s="4">
        <v>2024</v>
      </c>
      <c r="E342" s="4">
        <v>1</v>
      </c>
      <c r="F342" s="4">
        <v>6</v>
      </c>
      <c r="G342" s="1" t="s">
        <v>30</v>
      </c>
      <c r="I342" s="1" t="s">
        <v>110</v>
      </c>
      <c r="J342" s="1" t="s">
        <v>111</v>
      </c>
      <c r="K342" s="3" t="s">
        <v>28</v>
      </c>
      <c r="L342" s="3" t="s">
        <v>6</v>
      </c>
      <c r="M342" s="3" t="s">
        <v>23</v>
      </c>
      <c r="N342" s="3" t="s">
        <v>4</v>
      </c>
      <c r="O342" s="3" t="s">
        <v>5</v>
      </c>
      <c r="P342" s="3" t="s">
        <v>3</v>
      </c>
      <c r="Q342" s="3">
        <v>250</v>
      </c>
      <c r="R342" s="3">
        <v>95</v>
      </c>
      <c r="S342" s="3">
        <v>23750</v>
      </c>
      <c r="T342" s="3">
        <v>2375</v>
      </c>
      <c r="U342" s="3">
        <v>26125.000000000004</v>
      </c>
    </row>
    <row r="343" spans="1:21" x14ac:dyDescent="0.25">
      <c r="A343" s="1">
        <v>342</v>
      </c>
      <c r="B343" s="2">
        <v>45297</v>
      </c>
      <c r="C343" s="2">
        <v>45297</v>
      </c>
      <c r="D343" s="4">
        <v>2024</v>
      </c>
      <c r="E343" s="4">
        <v>1</v>
      </c>
      <c r="F343" s="4">
        <v>6</v>
      </c>
      <c r="G343" s="1" t="s">
        <v>30</v>
      </c>
      <c r="I343" s="1" t="s">
        <v>25</v>
      </c>
      <c r="J343" s="1" t="s">
        <v>29</v>
      </c>
      <c r="K343" s="3" t="s">
        <v>28</v>
      </c>
      <c r="L343" s="3" t="s">
        <v>6</v>
      </c>
      <c r="M343" s="3" t="s">
        <v>23</v>
      </c>
      <c r="N343" s="3" t="s">
        <v>4</v>
      </c>
      <c r="O343" s="3" t="s">
        <v>5</v>
      </c>
      <c r="P343" s="3" t="s">
        <v>3</v>
      </c>
      <c r="Q343" s="3">
        <v>180</v>
      </c>
      <c r="R343" s="3">
        <v>95</v>
      </c>
      <c r="S343" s="3">
        <v>17100</v>
      </c>
      <c r="T343" s="3">
        <v>1710</v>
      </c>
      <c r="U343" s="3">
        <v>18810</v>
      </c>
    </row>
    <row r="344" spans="1:21" x14ac:dyDescent="0.25">
      <c r="A344" s="1">
        <v>343</v>
      </c>
      <c r="B344" s="2">
        <v>45297</v>
      </c>
      <c r="C344" s="2">
        <v>45297</v>
      </c>
      <c r="D344" s="4">
        <v>2024</v>
      </c>
      <c r="E344" s="4">
        <v>1</v>
      </c>
      <c r="F344" s="4">
        <v>6</v>
      </c>
      <c r="G344" s="1" t="s">
        <v>30</v>
      </c>
      <c r="I344" s="1" t="s">
        <v>82</v>
      </c>
      <c r="J344" s="1" t="s">
        <v>83</v>
      </c>
      <c r="K344" s="3" t="s">
        <v>28</v>
      </c>
      <c r="L344" s="3" t="s">
        <v>6</v>
      </c>
      <c r="M344" s="3" t="s">
        <v>23</v>
      </c>
      <c r="N344" s="3" t="s">
        <v>4</v>
      </c>
      <c r="O344" s="3" t="s">
        <v>5</v>
      </c>
      <c r="P344" s="3" t="s">
        <v>3</v>
      </c>
      <c r="Q344" s="3">
        <v>150</v>
      </c>
      <c r="R344" s="3">
        <v>95</v>
      </c>
      <c r="S344" s="3">
        <v>14250</v>
      </c>
      <c r="T344" s="3">
        <v>1425</v>
      </c>
      <c r="U344" s="3">
        <v>15675.000000000002</v>
      </c>
    </row>
    <row r="345" spans="1:21" x14ac:dyDescent="0.25">
      <c r="A345" s="1">
        <v>344</v>
      </c>
      <c r="B345" s="2">
        <v>45297</v>
      </c>
      <c r="C345" s="2">
        <v>45297</v>
      </c>
      <c r="D345" s="4">
        <v>2024</v>
      </c>
      <c r="E345" s="4">
        <v>1</v>
      </c>
      <c r="F345" s="4">
        <v>6</v>
      </c>
      <c r="G345" s="1" t="s">
        <v>30</v>
      </c>
      <c r="I345" s="1" t="s">
        <v>102</v>
      </c>
      <c r="J345" s="1" t="s">
        <v>103</v>
      </c>
      <c r="K345" s="3" t="s">
        <v>28</v>
      </c>
      <c r="L345" s="3" t="s">
        <v>6</v>
      </c>
      <c r="M345" s="3" t="s">
        <v>23</v>
      </c>
      <c r="N345" s="3" t="s">
        <v>4</v>
      </c>
      <c r="O345" s="3" t="s">
        <v>5</v>
      </c>
      <c r="P345" s="3" t="s">
        <v>3</v>
      </c>
      <c r="Q345" s="3">
        <v>450</v>
      </c>
      <c r="R345" s="3">
        <v>95</v>
      </c>
      <c r="S345" s="3">
        <v>42750</v>
      </c>
      <c r="T345" s="3">
        <v>4275</v>
      </c>
      <c r="U345" s="3">
        <v>47025.000000000007</v>
      </c>
    </row>
    <row r="346" spans="1:21" x14ac:dyDescent="0.25">
      <c r="A346" s="1">
        <v>345</v>
      </c>
      <c r="B346" s="2">
        <v>45297</v>
      </c>
      <c r="C346" s="2">
        <v>45297</v>
      </c>
      <c r="D346" s="4">
        <v>2024</v>
      </c>
      <c r="E346" s="4">
        <v>1</v>
      </c>
      <c r="F346" s="4">
        <v>6</v>
      </c>
      <c r="G346" s="1" t="s">
        <v>30</v>
      </c>
      <c r="I346" s="1" t="s">
        <v>84</v>
      </c>
      <c r="J346" s="1" t="s">
        <v>85</v>
      </c>
      <c r="K346" s="3" t="s">
        <v>28</v>
      </c>
      <c r="L346" s="3" t="s">
        <v>6</v>
      </c>
      <c r="M346" s="3" t="s">
        <v>23</v>
      </c>
      <c r="N346" s="3" t="s">
        <v>4</v>
      </c>
      <c r="O346" s="3" t="s">
        <v>5</v>
      </c>
      <c r="P346" s="3" t="s">
        <v>3</v>
      </c>
      <c r="Q346" s="3">
        <v>480</v>
      </c>
      <c r="R346" s="3">
        <v>95</v>
      </c>
      <c r="S346" s="3">
        <v>45600</v>
      </c>
      <c r="T346" s="3">
        <v>4560</v>
      </c>
      <c r="U346" s="3">
        <v>50160.000000000007</v>
      </c>
    </row>
    <row r="347" spans="1:21" x14ac:dyDescent="0.25">
      <c r="A347" s="1">
        <v>346</v>
      </c>
      <c r="B347" s="2">
        <v>45297</v>
      </c>
      <c r="C347" s="2">
        <v>45297</v>
      </c>
      <c r="D347" s="4">
        <v>2024</v>
      </c>
      <c r="E347" s="4">
        <v>1</v>
      </c>
      <c r="F347" s="4">
        <v>6</v>
      </c>
      <c r="G347" s="1" t="s">
        <v>30</v>
      </c>
      <c r="I347" s="1" t="s">
        <v>84</v>
      </c>
      <c r="J347" s="1" t="s">
        <v>85</v>
      </c>
      <c r="K347" s="3" t="s">
        <v>28</v>
      </c>
      <c r="L347" s="3" t="s">
        <v>6</v>
      </c>
      <c r="M347" s="3" t="s">
        <v>23</v>
      </c>
      <c r="N347" s="3" t="s">
        <v>4</v>
      </c>
      <c r="O347" s="3" t="s">
        <v>5</v>
      </c>
      <c r="P347" s="3" t="s">
        <v>3</v>
      </c>
      <c r="Q347" s="3">
        <v>230</v>
      </c>
      <c r="R347" s="3">
        <v>95</v>
      </c>
      <c r="S347" s="3">
        <v>21850</v>
      </c>
      <c r="T347" s="3">
        <v>2185</v>
      </c>
      <c r="U347" s="3">
        <v>24035.000000000004</v>
      </c>
    </row>
    <row r="348" spans="1:21" x14ac:dyDescent="0.25">
      <c r="A348" s="1">
        <v>347</v>
      </c>
      <c r="B348" s="2">
        <v>45297</v>
      </c>
      <c r="C348" s="2">
        <v>45297</v>
      </c>
      <c r="D348" s="4">
        <v>2024</v>
      </c>
      <c r="E348" s="4">
        <v>1</v>
      </c>
      <c r="F348" s="4">
        <v>6</v>
      </c>
      <c r="G348" s="1" t="s">
        <v>30</v>
      </c>
      <c r="I348" s="1" t="s">
        <v>88</v>
      </c>
      <c r="J348" s="1" t="s">
        <v>89</v>
      </c>
      <c r="K348" s="3" t="s">
        <v>28</v>
      </c>
      <c r="L348" s="3" t="s">
        <v>6</v>
      </c>
      <c r="M348" s="3" t="s">
        <v>23</v>
      </c>
      <c r="N348" s="3" t="s">
        <v>4</v>
      </c>
      <c r="O348" s="3" t="s">
        <v>5</v>
      </c>
      <c r="P348" s="3" t="s">
        <v>3</v>
      </c>
      <c r="Q348" s="3">
        <v>400</v>
      </c>
      <c r="R348" s="3">
        <v>95</v>
      </c>
      <c r="S348" s="3">
        <v>38000</v>
      </c>
      <c r="T348" s="3">
        <v>3800</v>
      </c>
      <c r="U348" s="3">
        <v>41800</v>
      </c>
    </row>
    <row r="349" spans="1:21" x14ac:dyDescent="0.25">
      <c r="A349" s="1">
        <v>348</v>
      </c>
      <c r="B349" s="2">
        <v>45297</v>
      </c>
      <c r="C349" s="2">
        <v>45297</v>
      </c>
      <c r="D349" s="4">
        <v>2024</v>
      </c>
      <c r="E349" s="4">
        <v>1</v>
      </c>
      <c r="F349" s="4">
        <v>6</v>
      </c>
      <c r="G349" s="1" t="s">
        <v>30</v>
      </c>
      <c r="I349" s="1" t="s">
        <v>138</v>
      </c>
      <c r="J349" s="1" t="s">
        <v>139</v>
      </c>
      <c r="K349" s="3" t="s">
        <v>28</v>
      </c>
      <c r="L349" s="3" t="s">
        <v>6</v>
      </c>
      <c r="M349" s="3" t="s">
        <v>23</v>
      </c>
      <c r="N349" s="3" t="s">
        <v>42</v>
      </c>
      <c r="O349" s="3" t="s">
        <v>5</v>
      </c>
      <c r="P349" s="3" t="s">
        <v>3</v>
      </c>
      <c r="Q349" s="3">
        <v>150</v>
      </c>
      <c r="R349" s="3">
        <v>190</v>
      </c>
      <c r="S349" s="3">
        <v>28500</v>
      </c>
      <c r="T349" s="3">
        <v>2850</v>
      </c>
      <c r="U349" s="3">
        <v>31350.000000000004</v>
      </c>
    </row>
    <row r="350" spans="1:21" x14ac:dyDescent="0.25">
      <c r="A350" s="1">
        <v>349</v>
      </c>
      <c r="B350" s="2">
        <v>45297</v>
      </c>
      <c r="C350" s="2">
        <v>45297</v>
      </c>
      <c r="D350" s="4">
        <v>2024</v>
      </c>
      <c r="E350" s="4">
        <v>1</v>
      </c>
      <c r="F350" s="4">
        <v>6</v>
      </c>
      <c r="G350" s="1" t="s">
        <v>30</v>
      </c>
      <c r="I350" s="1" t="s">
        <v>138</v>
      </c>
      <c r="J350" s="1" t="s">
        <v>139</v>
      </c>
      <c r="K350" s="3" t="s">
        <v>28</v>
      </c>
      <c r="L350" s="3" t="s">
        <v>6</v>
      </c>
      <c r="M350" s="3" t="s">
        <v>23</v>
      </c>
      <c r="N350" s="3" t="s">
        <v>4</v>
      </c>
      <c r="O350" s="3" t="s">
        <v>5</v>
      </c>
      <c r="P350" s="3" t="s">
        <v>3</v>
      </c>
      <c r="Q350" s="3">
        <v>260</v>
      </c>
      <c r="R350" s="3">
        <v>95</v>
      </c>
      <c r="S350" s="3">
        <v>24700</v>
      </c>
      <c r="T350" s="3">
        <v>2470</v>
      </c>
      <c r="U350" s="3">
        <v>27170.000000000004</v>
      </c>
    </row>
    <row r="351" spans="1:21" x14ac:dyDescent="0.25">
      <c r="A351" s="1">
        <v>350</v>
      </c>
      <c r="B351" s="2">
        <v>45297</v>
      </c>
      <c r="C351" s="2">
        <v>45297</v>
      </c>
      <c r="D351" s="4">
        <v>2024</v>
      </c>
      <c r="E351" s="4">
        <v>1</v>
      </c>
      <c r="F351" s="4">
        <v>6</v>
      </c>
      <c r="G351" s="1" t="s">
        <v>31</v>
      </c>
      <c r="I351" s="1" t="s">
        <v>59</v>
      </c>
      <c r="J351" s="1" t="s">
        <v>60</v>
      </c>
      <c r="K351" s="3" t="s">
        <v>28</v>
      </c>
      <c r="L351" s="3" t="s">
        <v>6</v>
      </c>
      <c r="M351" s="3" t="s">
        <v>23</v>
      </c>
      <c r="N351" s="3" t="s">
        <v>4</v>
      </c>
      <c r="O351" s="3" t="s">
        <v>5</v>
      </c>
      <c r="P351" s="3" t="s">
        <v>3</v>
      </c>
      <c r="Q351" s="3">
        <v>180</v>
      </c>
      <c r="R351" s="3">
        <v>85</v>
      </c>
      <c r="S351" s="3">
        <v>15300</v>
      </c>
      <c r="T351" s="3">
        <v>1530</v>
      </c>
      <c r="U351" s="3">
        <v>16830</v>
      </c>
    </row>
    <row r="352" spans="1:21" x14ac:dyDescent="0.25">
      <c r="A352" s="1">
        <v>351</v>
      </c>
      <c r="B352" s="2">
        <v>45297</v>
      </c>
      <c r="C352" s="2">
        <v>45297</v>
      </c>
      <c r="D352" s="4">
        <v>2024</v>
      </c>
      <c r="E352" s="4">
        <v>1</v>
      </c>
      <c r="F352" s="4">
        <v>6</v>
      </c>
      <c r="G352" s="1" t="s">
        <v>31</v>
      </c>
      <c r="I352" s="1" t="s">
        <v>59</v>
      </c>
      <c r="J352" s="1" t="s">
        <v>60</v>
      </c>
      <c r="K352" s="3" t="s">
        <v>28</v>
      </c>
      <c r="L352" s="3" t="s">
        <v>6</v>
      </c>
      <c r="M352" s="3" t="s">
        <v>23</v>
      </c>
      <c r="N352" s="3" t="s">
        <v>4</v>
      </c>
      <c r="O352" s="3" t="s">
        <v>5</v>
      </c>
      <c r="P352" s="3" t="s">
        <v>3</v>
      </c>
      <c r="Q352" s="3">
        <v>150</v>
      </c>
      <c r="R352" s="3">
        <v>85</v>
      </c>
      <c r="S352" s="3">
        <v>12750</v>
      </c>
      <c r="T352" s="3">
        <v>1275</v>
      </c>
      <c r="U352" s="3">
        <v>14025.000000000002</v>
      </c>
    </row>
    <row r="353" spans="1:21" x14ac:dyDescent="0.25">
      <c r="A353" s="1">
        <v>352</v>
      </c>
      <c r="B353" s="2">
        <v>45297</v>
      </c>
      <c r="C353" s="2">
        <v>45297</v>
      </c>
      <c r="D353" s="4">
        <v>2024</v>
      </c>
      <c r="E353" s="4">
        <v>1</v>
      </c>
      <c r="F353" s="4">
        <v>6</v>
      </c>
      <c r="G353" s="1" t="s">
        <v>31</v>
      </c>
      <c r="I353" s="1" t="s">
        <v>57</v>
      </c>
      <c r="J353" s="1" t="s">
        <v>58</v>
      </c>
      <c r="K353" s="3" t="s">
        <v>28</v>
      </c>
      <c r="L353" s="3" t="s">
        <v>6</v>
      </c>
      <c r="M353" s="3" t="s">
        <v>23</v>
      </c>
      <c r="N353" s="3" t="s">
        <v>4</v>
      </c>
      <c r="O353" s="3" t="s">
        <v>5</v>
      </c>
      <c r="P353" s="3" t="s">
        <v>3</v>
      </c>
      <c r="Q353" s="3">
        <v>260</v>
      </c>
      <c r="R353" s="3">
        <v>85</v>
      </c>
      <c r="S353" s="3">
        <v>22100</v>
      </c>
      <c r="T353" s="3">
        <v>2210</v>
      </c>
      <c r="U353" s="3">
        <v>24310.000000000004</v>
      </c>
    </row>
    <row r="354" spans="1:21" x14ac:dyDescent="0.25">
      <c r="A354" s="1">
        <v>353</v>
      </c>
      <c r="B354" s="2">
        <v>45297</v>
      </c>
      <c r="C354" s="2">
        <v>45297</v>
      </c>
      <c r="D354" s="4">
        <v>2024</v>
      </c>
      <c r="E354" s="4">
        <v>1</v>
      </c>
      <c r="F354" s="4">
        <v>6</v>
      </c>
      <c r="G354" s="1" t="s">
        <v>31</v>
      </c>
      <c r="I354" s="1" t="s">
        <v>61</v>
      </c>
      <c r="J354" s="1" t="s">
        <v>62</v>
      </c>
      <c r="K354" s="3" t="s">
        <v>28</v>
      </c>
      <c r="L354" s="3" t="s">
        <v>6</v>
      </c>
      <c r="M354" s="3" t="s">
        <v>23</v>
      </c>
      <c r="N354" s="3" t="s">
        <v>4</v>
      </c>
      <c r="O354" s="3" t="s">
        <v>5</v>
      </c>
      <c r="P354" s="3" t="s">
        <v>3</v>
      </c>
      <c r="Q354" s="3">
        <v>220</v>
      </c>
      <c r="R354" s="3">
        <v>85</v>
      </c>
      <c r="S354" s="3">
        <v>18700</v>
      </c>
      <c r="T354" s="3">
        <v>1870</v>
      </c>
      <c r="U354" s="3">
        <v>20570</v>
      </c>
    </row>
    <row r="355" spans="1:21" x14ac:dyDescent="0.25">
      <c r="A355" s="1">
        <v>354</v>
      </c>
      <c r="B355" s="2">
        <v>45297</v>
      </c>
      <c r="C355" s="2">
        <v>45297</v>
      </c>
      <c r="D355" s="4">
        <v>2024</v>
      </c>
      <c r="E355" s="4">
        <v>1</v>
      </c>
      <c r="F355" s="4">
        <v>6</v>
      </c>
      <c r="G355" s="1" t="s">
        <v>31</v>
      </c>
      <c r="I355" s="1" t="s">
        <v>63</v>
      </c>
      <c r="J355" s="1" t="s">
        <v>64</v>
      </c>
      <c r="K355" s="3" t="s">
        <v>28</v>
      </c>
      <c r="L355" s="3" t="s">
        <v>6</v>
      </c>
      <c r="M355" s="3" t="s">
        <v>23</v>
      </c>
      <c r="N355" s="3" t="s">
        <v>4</v>
      </c>
      <c r="O355" s="3" t="s">
        <v>5</v>
      </c>
      <c r="P355" s="3" t="s">
        <v>3</v>
      </c>
      <c r="Q355" s="3">
        <v>270</v>
      </c>
      <c r="R355" s="3">
        <v>85</v>
      </c>
      <c r="S355" s="3">
        <v>22950</v>
      </c>
      <c r="T355" s="3">
        <v>2295</v>
      </c>
      <c r="U355" s="3">
        <v>25245.000000000004</v>
      </c>
    </row>
    <row r="356" spans="1:21" x14ac:dyDescent="0.25">
      <c r="A356" s="1">
        <v>355</v>
      </c>
      <c r="B356" s="2">
        <v>45297</v>
      </c>
      <c r="C356" s="2">
        <v>45297</v>
      </c>
      <c r="D356" s="4">
        <v>2024</v>
      </c>
      <c r="E356" s="4">
        <v>1</v>
      </c>
      <c r="F356" s="4">
        <v>6</v>
      </c>
      <c r="G356" s="1" t="s">
        <v>31</v>
      </c>
      <c r="I356" s="1" t="s">
        <v>59</v>
      </c>
      <c r="J356" s="1" t="s">
        <v>60</v>
      </c>
      <c r="K356" s="3" t="s">
        <v>28</v>
      </c>
      <c r="L356" s="3" t="s">
        <v>6</v>
      </c>
      <c r="M356" s="3" t="s">
        <v>23</v>
      </c>
      <c r="N356" s="3" t="s">
        <v>4</v>
      </c>
      <c r="O356" s="3" t="s">
        <v>5</v>
      </c>
      <c r="P356" s="3" t="s">
        <v>3</v>
      </c>
      <c r="Q356" s="3">
        <v>80</v>
      </c>
      <c r="R356" s="3">
        <v>85</v>
      </c>
      <c r="S356" s="3">
        <v>6800</v>
      </c>
      <c r="T356" s="3">
        <v>680</v>
      </c>
      <c r="U356" s="3">
        <v>7480.0000000000009</v>
      </c>
    </row>
    <row r="357" spans="1:21" x14ac:dyDescent="0.25">
      <c r="A357" s="1">
        <v>356</v>
      </c>
      <c r="B357" s="2">
        <v>45297</v>
      </c>
      <c r="C357" s="2">
        <v>45297</v>
      </c>
      <c r="D357" s="4">
        <v>2024</v>
      </c>
      <c r="E357" s="4">
        <v>1</v>
      </c>
      <c r="F357" s="4">
        <v>6</v>
      </c>
      <c r="G357" s="1" t="s">
        <v>31</v>
      </c>
      <c r="I357" s="1" t="s">
        <v>67</v>
      </c>
      <c r="J357" s="1" t="s">
        <v>68</v>
      </c>
      <c r="K357" s="3" t="s">
        <v>28</v>
      </c>
      <c r="L357" s="3" t="s">
        <v>6</v>
      </c>
      <c r="M357" s="3" t="s">
        <v>23</v>
      </c>
      <c r="N357" s="3" t="s">
        <v>4</v>
      </c>
      <c r="O357" s="3" t="s">
        <v>5</v>
      </c>
      <c r="P357" s="3" t="s">
        <v>3</v>
      </c>
      <c r="Q357" s="3">
        <v>330</v>
      </c>
      <c r="R357" s="3">
        <v>85</v>
      </c>
      <c r="S357" s="3">
        <v>28050</v>
      </c>
      <c r="T357" s="3">
        <v>2805</v>
      </c>
      <c r="U357" s="3">
        <v>30855.000000000004</v>
      </c>
    </row>
    <row r="358" spans="1:21" x14ac:dyDescent="0.25">
      <c r="A358" s="1">
        <v>357</v>
      </c>
      <c r="B358" s="2">
        <v>45297</v>
      </c>
      <c r="C358" s="2">
        <v>45297</v>
      </c>
      <c r="D358" s="4">
        <v>2024</v>
      </c>
      <c r="E358" s="4">
        <v>1</v>
      </c>
      <c r="F358" s="4">
        <v>6</v>
      </c>
      <c r="G358" s="1" t="s">
        <v>31</v>
      </c>
      <c r="I358" s="1" t="s">
        <v>25</v>
      </c>
      <c r="J358" s="1" t="s">
        <v>29</v>
      </c>
      <c r="K358" s="3" t="s">
        <v>28</v>
      </c>
      <c r="L358" s="3" t="s">
        <v>6</v>
      </c>
      <c r="M358" s="3" t="s">
        <v>23</v>
      </c>
      <c r="N358" s="3" t="s">
        <v>4</v>
      </c>
      <c r="O358" s="3" t="s">
        <v>5</v>
      </c>
      <c r="P358" s="3" t="s">
        <v>3</v>
      </c>
      <c r="Q358" s="3">
        <v>220</v>
      </c>
      <c r="R358" s="3">
        <v>85</v>
      </c>
      <c r="S358" s="3">
        <v>18700</v>
      </c>
      <c r="T358" s="3">
        <v>1870</v>
      </c>
      <c r="U358" s="3">
        <v>20570</v>
      </c>
    </row>
    <row r="359" spans="1:21" x14ac:dyDescent="0.25">
      <c r="A359" s="1">
        <v>358</v>
      </c>
      <c r="B359" s="2">
        <v>45297</v>
      </c>
      <c r="C359" s="2">
        <v>45297</v>
      </c>
      <c r="D359" s="4">
        <v>2024</v>
      </c>
      <c r="E359" s="4">
        <v>1</v>
      </c>
      <c r="F359" s="4">
        <v>6</v>
      </c>
      <c r="G359" s="1" t="s">
        <v>31</v>
      </c>
      <c r="I359" s="1" t="s">
        <v>55</v>
      </c>
      <c r="J359" s="1" t="s">
        <v>31</v>
      </c>
      <c r="K359" s="3" t="s">
        <v>119</v>
      </c>
      <c r="L359" s="3" t="s">
        <v>6</v>
      </c>
      <c r="M359" s="3" t="s">
        <v>23</v>
      </c>
      <c r="N359" s="3" t="s">
        <v>4</v>
      </c>
      <c r="O359" s="3" t="s">
        <v>2</v>
      </c>
      <c r="P359" s="3" t="s">
        <v>3</v>
      </c>
      <c r="Q359" s="3">
        <v>3800</v>
      </c>
      <c r="R359" s="3">
        <v>85</v>
      </c>
      <c r="S359" s="3">
        <v>323000</v>
      </c>
      <c r="T359" s="3">
        <v>32300</v>
      </c>
      <c r="U359" s="3">
        <v>355300</v>
      </c>
    </row>
    <row r="360" spans="1:21" x14ac:dyDescent="0.25">
      <c r="A360" s="1">
        <v>359</v>
      </c>
      <c r="B360" s="2">
        <v>45297</v>
      </c>
      <c r="C360" s="2">
        <v>45297</v>
      </c>
      <c r="D360" s="4">
        <v>2024</v>
      </c>
      <c r="E360" s="4">
        <v>1</v>
      </c>
      <c r="F360" s="4">
        <v>6</v>
      </c>
      <c r="G360" s="1" t="s">
        <v>31</v>
      </c>
      <c r="I360" s="1" t="s">
        <v>65</v>
      </c>
      <c r="J360" s="1" t="s">
        <v>66</v>
      </c>
      <c r="K360" s="3" t="s">
        <v>28</v>
      </c>
      <c r="L360" s="3" t="s">
        <v>6</v>
      </c>
      <c r="M360" s="3" t="s">
        <v>23</v>
      </c>
      <c r="N360" s="3" t="s">
        <v>4</v>
      </c>
      <c r="O360" s="3" t="s">
        <v>5</v>
      </c>
      <c r="P360" s="3" t="s">
        <v>3</v>
      </c>
      <c r="Q360" s="3">
        <v>300</v>
      </c>
      <c r="R360" s="3">
        <v>85</v>
      </c>
      <c r="S360" s="3">
        <v>25500</v>
      </c>
      <c r="T360" s="3">
        <v>2550</v>
      </c>
      <c r="U360" s="3">
        <v>28050.000000000004</v>
      </c>
    </row>
    <row r="361" spans="1:21" x14ac:dyDescent="0.25">
      <c r="A361" s="1">
        <v>360</v>
      </c>
      <c r="B361" s="2">
        <v>45297</v>
      </c>
      <c r="C361" s="2">
        <v>45297</v>
      </c>
      <c r="D361" s="4">
        <v>2024</v>
      </c>
      <c r="E361" s="4">
        <v>1</v>
      </c>
      <c r="F361" s="4">
        <v>6</v>
      </c>
      <c r="G361" s="1" t="s">
        <v>31</v>
      </c>
      <c r="I361" s="1" t="s">
        <v>37</v>
      </c>
      <c r="J361" s="1" t="s">
        <v>38</v>
      </c>
      <c r="K361" s="3" t="s">
        <v>28</v>
      </c>
      <c r="L361" s="3" t="s">
        <v>6</v>
      </c>
      <c r="M361" s="3" t="s">
        <v>23</v>
      </c>
      <c r="N361" s="3" t="s">
        <v>4</v>
      </c>
      <c r="O361" s="3" t="s">
        <v>5</v>
      </c>
      <c r="P361" s="3" t="s">
        <v>3</v>
      </c>
      <c r="Q361" s="3">
        <v>280</v>
      </c>
      <c r="R361" s="3">
        <v>85</v>
      </c>
      <c r="S361" s="3">
        <v>23800</v>
      </c>
      <c r="T361" s="3">
        <v>2380</v>
      </c>
      <c r="U361" s="3">
        <v>26180.000000000004</v>
      </c>
    </row>
    <row r="362" spans="1:21" x14ac:dyDescent="0.25">
      <c r="A362" s="1">
        <v>361</v>
      </c>
      <c r="B362" s="2">
        <v>45297</v>
      </c>
      <c r="C362" s="2">
        <v>45297</v>
      </c>
      <c r="D362" s="4">
        <v>2024</v>
      </c>
      <c r="E362" s="4">
        <v>1</v>
      </c>
      <c r="F362" s="4">
        <v>6</v>
      </c>
      <c r="G362" s="1" t="s">
        <v>31</v>
      </c>
      <c r="I362" s="1" t="s">
        <v>25</v>
      </c>
      <c r="J362" s="1" t="s">
        <v>29</v>
      </c>
      <c r="K362" s="3" t="s">
        <v>28</v>
      </c>
      <c r="L362" s="3" t="s">
        <v>6</v>
      </c>
      <c r="M362" s="3" t="s">
        <v>23</v>
      </c>
      <c r="N362" s="3" t="s">
        <v>4</v>
      </c>
      <c r="O362" s="3" t="s">
        <v>5</v>
      </c>
      <c r="P362" s="3" t="s">
        <v>3</v>
      </c>
      <c r="Q362" s="3">
        <v>140</v>
      </c>
      <c r="R362" s="3">
        <v>85</v>
      </c>
      <c r="S362" s="3">
        <v>11900</v>
      </c>
      <c r="T362" s="3">
        <v>1190</v>
      </c>
      <c r="U362" s="3">
        <v>13090.000000000002</v>
      </c>
    </row>
    <row r="363" spans="1:21" x14ac:dyDescent="0.25">
      <c r="A363" s="1">
        <v>362</v>
      </c>
      <c r="B363" s="2">
        <v>45297</v>
      </c>
      <c r="C363" s="2">
        <v>45297</v>
      </c>
      <c r="D363" s="4">
        <v>2024</v>
      </c>
      <c r="E363" s="4">
        <v>1</v>
      </c>
      <c r="F363" s="4">
        <v>6</v>
      </c>
      <c r="G363" s="1" t="s">
        <v>31</v>
      </c>
      <c r="I363" s="1" t="s">
        <v>61</v>
      </c>
      <c r="J363" s="1" t="s">
        <v>62</v>
      </c>
      <c r="K363" s="3" t="s">
        <v>28</v>
      </c>
      <c r="L363" s="3" t="s">
        <v>6</v>
      </c>
      <c r="M363" s="3" t="s">
        <v>23</v>
      </c>
      <c r="N363" s="3" t="s">
        <v>4</v>
      </c>
      <c r="O363" s="3" t="s">
        <v>5</v>
      </c>
      <c r="P363" s="3" t="s">
        <v>3</v>
      </c>
      <c r="Q363" s="3">
        <v>150</v>
      </c>
      <c r="R363" s="3">
        <v>85</v>
      </c>
      <c r="S363" s="3">
        <v>12750</v>
      </c>
      <c r="T363" s="3">
        <v>1275</v>
      </c>
      <c r="U363" s="3">
        <v>14025.000000000002</v>
      </c>
    </row>
    <row r="364" spans="1:21" x14ac:dyDescent="0.25">
      <c r="A364" s="1">
        <v>363</v>
      </c>
      <c r="B364" s="2">
        <v>45297</v>
      </c>
      <c r="C364" s="2">
        <v>45297</v>
      </c>
      <c r="D364" s="4">
        <v>2024</v>
      </c>
      <c r="E364" s="4">
        <v>1</v>
      </c>
      <c r="F364" s="4">
        <v>6</v>
      </c>
      <c r="G364" s="1" t="s">
        <v>31</v>
      </c>
      <c r="I364" s="1" t="s">
        <v>100</v>
      </c>
      <c r="J364" s="1" t="s">
        <v>101</v>
      </c>
      <c r="K364" s="3" t="s">
        <v>28</v>
      </c>
      <c r="L364" s="3" t="s">
        <v>6</v>
      </c>
      <c r="M364" s="3" t="s">
        <v>23</v>
      </c>
      <c r="N364" s="3" t="s">
        <v>4</v>
      </c>
      <c r="O364" s="3" t="s">
        <v>5</v>
      </c>
      <c r="P364" s="3" t="s">
        <v>3</v>
      </c>
      <c r="Q364" s="3">
        <v>150</v>
      </c>
      <c r="R364" s="3">
        <v>85</v>
      </c>
      <c r="S364" s="3">
        <v>12750</v>
      </c>
      <c r="T364" s="3">
        <v>1275</v>
      </c>
      <c r="U364" s="3">
        <v>14025.000000000002</v>
      </c>
    </row>
    <row r="365" spans="1:21" x14ac:dyDescent="0.25">
      <c r="A365" s="1">
        <v>364</v>
      </c>
      <c r="B365" s="2">
        <v>45297</v>
      </c>
      <c r="C365" s="2">
        <v>45297</v>
      </c>
      <c r="D365" s="4">
        <v>2024</v>
      </c>
      <c r="E365" s="4">
        <v>1</v>
      </c>
      <c r="F365" s="4">
        <v>6</v>
      </c>
      <c r="G365" s="1" t="s">
        <v>31</v>
      </c>
      <c r="I365" s="1" t="s">
        <v>69</v>
      </c>
      <c r="J365" s="1" t="s">
        <v>70</v>
      </c>
      <c r="K365" s="3" t="s">
        <v>28</v>
      </c>
      <c r="L365" s="3" t="s">
        <v>6</v>
      </c>
      <c r="M365" s="3" t="s">
        <v>23</v>
      </c>
      <c r="N365" s="3" t="s">
        <v>4</v>
      </c>
      <c r="O365" s="3" t="s">
        <v>5</v>
      </c>
      <c r="P365" s="3" t="s">
        <v>3</v>
      </c>
      <c r="Q365" s="3">
        <v>250</v>
      </c>
      <c r="R365" s="3">
        <v>85</v>
      </c>
      <c r="S365" s="3">
        <v>21250</v>
      </c>
      <c r="T365" s="3">
        <v>2125</v>
      </c>
      <c r="U365" s="3">
        <v>23375.000000000004</v>
      </c>
    </row>
    <row r="366" spans="1:21" x14ac:dyDescent="0.25">
      <c r="A366" s="1">
        <v>365</v>
      </c>
      <c r="B366" s="2">
        <v>45297</v>
      </c>
      <c r="C366" s="2">
        <v>45297</v>
      </c>
      <c r="D366" s="4">
        <v>2024</v>
      </c>
      <c r="E366" s="4">
        <v>1</v>
      </c>
      <c r="F366" s="4">
        <v>6</v>
      </c>
      <c r="G366" s="1" t="s">
        <v>31</v>
      </c>
      <c r="I366" s="1" t="s">
        <v>57</v>
      </c>
      <c r="J366" s="1" t="s">
        <v>58</v>
      </c>
      <c r="K366" s="3" t="s">
        <v>28</v>
      </c>
      <c r="L366" s="3" t="s">
        <v>6</v>
      </c>
      <c r="M366" s="3" t="s">
        <v>23</v>
      </c>
      <c r="N366" s="3" t="s">
        <v>4</v>
      </c>
      <c r="O366" s="3" t="s">
        <v>5</v>
      </c>
      <c r="P366" s="3" t="s">
        <v>3</v>
      </c>
      <c r="Q366" s="3">
        <v>170</v>
      </c>
      <c r="R366" s="3">
        <v>85</v>
      </c>
      <c r="S366" s="3">
        <v>14450</v>
      </c>
      <c r="T366" s="3">
        <v>1445</v>
      </c>
      <c r="U366" s="3">
        <v>15895.000000000002</v>
      </c>
    </row>
    <row r="367" spans="1:21" x14ac:dyDescent="0.25">
      <c r="A367" s="1">
        <v>366</v>
      </c>
      <c r="B367" s="2">
        <v>45297</v>
      </c>
      <c r="C367" s="2">
        <v>45297</v>
      </c>
      <c r="D367" s="4">
        <v>2024</v>
      </c>
      <c r="E367" s="4">
        <v>1</v>
      </c>
      <c r="F367" s="4">
        <v>6</v>
      </c>
      <c r="G367" s="1" t="s">
        <v>31</v>
      </c>
      <c r="I367" s="1" t="s">
        <v>25</v>
      </c>
      <c r="J367" s="1" t="s">
        <v>29</v>
      </c>
      <c r="K367" s="3" t="s">
        <v>28</v>
      </c>
      <c r="L367" s="3" t="s">
        <v>6</v>
      </c>
      <c r="M367" s="3" t="s">
        <v>23</v>
      </c>
      <c r="N367" s="3" t="s">
        <v>4</v>
      </c>
      <c r="O367" s="3" t="s">
        <v>5</v>
      </c>
      <c r="P367" s="3" t="s">
        <v>3</v>
      </c>
      <c r="Q367" s="3">
        <v>90</v>
      </c>
      <c r="R367" s="3">
        <v>85</v>
      </c>
      <c r="S367" s="3">
        <v>7650</v>
      </c>
      <c r="T367" s="3">
        <v>765</v>
      </c>
      <c r="U367" s="3">
        <v>8415</v>
      </c>
    </row>
    <row r="368" spans="1:21" x14ac:dyDescent="0.25">
      <c r="A368" s="1">
        <v>367</v>
      </c>
      <c r="B368" s="2">
        <v>45297</v>
      </c>
      <c r="C368" s="2">
        <v>45297</v>
      </c>
      <c r="D368" s="4">
        <v>2024</v>
      </c>
      <c r="E368" s="4">
        <v>1</v>
      </c>
      <c r="F368" s="4">
        <v>6</v>
      </c>
      <c r="G368" s="1" t="s">
        <v>31</v>
      </c>
      <c r="I368" s="1" t="s">
        <v>100</v>
      </c>
      <c r="J368" s="1" t="s">
        <v>101</v>
      </c>
      <c r="K368" s="3" t="s">
        <v>28</v>
      </c>
      <c r="L368" s="3" t="s">
        <v>6</v>
      </c>
      <c r="M368" s="3" t="s">
        <v>23</v>
      </c>
      <c r="N368" s="3" t="s">
        <v>4</v>
      </c>
      <c r="O368" s="3" t="s">
        <v>5</v>
      </c>
      <c r="P368" s="3" t="s">
        <v>3</v>
      </c>
      <c r="Q368" s="3">
        <v>190</v>
      </c>
      <c r="R368" s="3">
        <v>85</v>
      </c>
      <c r="S368" s="3">
        <v>16150</v>
      </c>
      <c r="T368" s="3">
        <v>1615</v>
      </c>
      <c r="U368" s="3">
        <v>17765</v>
      </c>
    </row>
    <row r="369" spans="1:21" x14ac:dyDescent="0.25">
      <c r="A369" s="1">
        <v>368</v>
      </c>
      <c r="B369" s="2">
        <v>45297</v>
      </c>
      <c r="C369" s="2">
        <v>45297</v>
      </c>
      <c r="D369" s="4">
        <v>2024</v>
      </c>
      <c r="E369" s="4">
        <v>1</v>
      </c>
      <c r="F369" s="4">
        <v>6</v>
      </c>
      <c r="G369" s="1" t="s">
        <v>31</v>
      </c>
      <c r="I369" s="1" t="s">
        <v>55</v>
      </c>
      <c r="J369" s="1" t="s">
        <v>31</v>
      </c>
      <c r="K369" s="3" t="s">
        <v>119</v>
      </c>
      <c r="L369" s="3" t="s">
        <v>6</v>
      </c>
      <c r="M369" s="3" t="s">
        <v>23</v>
      </c>
      <c r="N369" s="3" t="s">
        <v>4</v>
      </c>
      <c r="O369" s="3" t="s">
        <v>2</v>
      </c>
      <c r="P369" s="3" t="s">
        <v>3</v>
      </c>
      <c r="Q369" s="3">
        <v>4050</v>
      </c>
      <c r="R369" s="3">
        <v>85</v>
      </c>
      <c r="S369" s="3">
        <v>344250</v>
      </c>
      <c r="T369" s="3">
        <v>34425</v>
      </c>
      <c r="U369" s="3">
        <v>378675.00000000006</v>
      </c>
    </row>
    <row r="370" spans="1:21" x14ac:dyDescent="0.25">
      <c r="A370" s="1">
        <v>369</v>
      </c>
      <c r="B370" s="2">
        <v>45297</v>
      </c>
      <c r="C370" s="2">
        <v>45297</v>
      </c>
      <c r="D370" s="4">
        <v>2024</v>
      </c>
      <c r="E370" s="4">
        <v>1</v>
      </c>
      <c r="F370" s="4">
        <v>6</v>
      </c>
      <c r="G370" s="1" t="s">
        <v>31</v>
      </c>
      <c r="I370" s="1" t="s">
        <v>69</v>
      </c>
      <c r="J370" s="1" t="s">
        <v>70</v>
      </c>
      <c r="K370" s="3" t="s">
        <v>28</v>
      </c>
      <c r="L370" s="3" t="s">
        <v>6</v>
      </c>
      <c r="M370" s="3" t="s">
        <v>23</v>
      </c>
      <c r="N370" s="3" t="s">
        <v>4</v>
      </c>
      <c r="O370" s="3" t="s">
        <v>5</v>
      </c>
      <c r="P370" s="3" t="s">
        <v>3</v>
      </c>
      <c r="Q370" s="3">
        <v>190</v>
      </c>
      <c r="R370" s="3">
        <v>85</v>
      </c>
      <c r="S370" s="3">
        <v>16150</v>
      </c>
      <c r="T370" s="3">
        <v>1615</v>
      </c>
      <c r="U370" s="3">
        <v>17765</v>
      </c>
    </row>
    <row r="371" spans="1:21" x14ac:dyDescent="0.25">
      <c r="A371" s="1">
        <v>370</v>
      </c>
      <c r="B371" s="2">
        <v>45297</v>
      </c>
      <c r="C371" s="2">
        <v>45297</v>
      </c>
      <c r="D371" s="4">
        <v>2024</v>
      </c>
      <c r="E371" s="4">
        <v>1</v>
      </c>
      <c r="F371" s="4">
        <v>6</v>
      </c>
      <c r="G371" s="1" t="s">
        <v>31</v>
      </c>
      <c r="I371" s="1" t="s">
        <v>65</v>
      </c>
      <c r="J371" s="1" t="s">
        <v>66</v>
      </c>
      <c r="K371" s="3" t="s">
        <v>28</v>
      </c>
      <c r="L371" s="3" t="s">
        <v>6</v>
      </c>
      <c r="M371" s="3" t="s">
        <v>23</v>
      </c>
      <c r="N371" s="3" t="s">
        <v>4</v>
      </c>
      <c r="O371" s="3" t="s">
        <v>5</v>
      </c>
      <c r="P371" s="3" t="s">
        <v>3</v>
      </c>
      <c r="Q371" s="3">
        <v>60</v>
      </c>
      <c r="R371" s="3">
        <v>85</v>
      </c>
      <c r="S371" s="3">
        <v>5100</v>
      </c>
      <c r="T371" s="3">
        <v>510</v>
      </c>
      <c r="U371" s="3">
        <v>5610</v>
      </c>
    </row>
    <row r="372" spans="1:21" x14ac:dyDescent="0.25">
      <c r="A372" s="1">
        <v>371</v>
      </c>
      <c r="B372" s="2">
        <v>45297</v>
      </c>
      <c r="C372" s="2">
        <v>45297</v>
      </c>
      <c r="D372" s="4">
        <v>2024</v>
      </c>
      <c r="E372" s="4">
        <v>1</v>
      </c>
      <c r="F372" s="4">
        <v>6</v>
      </c>
      <c r="G372" s="1" t="s">
        <v>31</v>
      </c>
      <c r="I372" s="1" t="s">
        <v>55</v>
      </c>
      <c r="J372" s="1" t="s">
        <v>31</v>
      </c>
      <c r="K372" s="3" t="s">
        <v>119</v>
      </c>
      <c r="L372" s="3" t="s">
        <v>6</v>
      </c>
      <c r="M372" s="3" t="s">
        <v>23</v>
      </c>
      <c r="N372" s="3" t="s">
        <v>4</v>
      </c>
      <c r="O372" s="3" t="s">
        <v>5</v>
      </c>
      <c r="P372" s="3" t="s">
        <v>3</v>
      </c>
      <c r="Q372" s="3">
        <v>3840</v>
      </c>
      <c r="R372" s="3">
        <v>85</v>
      </c>
      <c r="S372" s="3">
        <v>326400</v>
      </c>
      <c r="T372" s="3">
        <v>32640</v>
      </c>
      <c r="U372" s="3">
        <v>359040</v>
      </c>
    </row>
    <row r="373" spans="1:21" x14ac:dyDescent="0.25">
      <c r="A373" s="1">
        <v>372</v>
      </c>
      <c r="B373" s="2">
        <v>45297</v>
      </c>
      <c r="C373" s="2">
        <v>45297</v>
      </c>
      <c r="D373" s="4">
        <v>2024</v>
      </c>
      <c r="E373" s="4">
        <v>1</v>
      </c>
      <c r="F373" s="4">
        <v>6</v>
      </c>
      <c r="G373" s="1" t="s">
        <v>31</v>
      </c>
      <c r="I373" s="1" t="s">
        <v>135</v>
      </c>
      <c r="J373" s="1" t="s">
        <v>136</v>
      </c>
      <c r="K373" s="3" t="s">
        <v>28</v>
      </c>
      <c r="L373" s="3" t="s">
        <v>6</v>
      </c>
      <c r="M373" s="3" t="s">
        <v>23</v>
      </c>
      <c r="N373" s="3" t="s">
        <v>4</v>
      </c>
      <c r="O373" s="3" t="s">
        <v>5</v>
      </c>
      <c r="P373" s="3" t="s">
        <v>3</v>
      </c>
      <c r="Q373" s="3">
        <v>100</v>
      </c>
      <c r="R373" s="3">
        <v>85</v>
      </c>
      <c r="S373" s="3">
        <v>8500</v>
      </c>
      <c r="T373" s="3">
        <v>850</v>
      </c>
      <c r="U373" s="3">
        <v>9350</v>
      </c>
    </row>
    <row r="374" spans="1:21" x14ac:dyDescent="0.25">
      <c r="A374" s="1">
        <v>373</v>
      </c>
      <c r="B374" s="2">
        <v>45297</v>
      </c>
      <c r="C374" s="2">
        <v>45297</v>
      </c>
      <c r="D374" s="4">
        <v>2024</v>
      </c>
      <c r="E374" s="4">
        <v>1</v>
      </c>
      <c r="F374" s="4">
        <v>6</v>
      </c>
      <c r="G374" s="1" t="s">
        <v>31</v>
      </c>
      <c r="I374" s="1" t="s">
        <v>61</v>
      </c>
      <c r="J374" s="1" t="s">
        <v>62</v>
      </c>
      <c r="K374" s="3" t="s">
        <v>28</v>
      </c>
      <c r="L374" s="3" t="s">
        <v>6</v>
      </c>
      <c r="M374" s="3" t="s">
        <v>23</v>
      </c>
      <c r="N374" s="3" t="s">
        <v>4</v>
      </c>
      <c r="O374" s="3" t="s">
        <v>5</v>
      </c>
      <c r="P374" s="3" t="s">
        <v>3</v>
      </c>
      <c r="Q374" s="3">
        <v>100</v>
      </c>
      <c r="R374" s="3">
        <v>85</v>
      </c>
      <c r="S374" s="3">
        <v>8500</v>
      </c>
      <c r="T374" s="3">
        <v>850</v>
      </c>
      <c r="U374" s="3">
        <v>9350</v>
      </c>
    </row>
    <row r="375" spans="1:21" x14ac:dyDescent="0.25">
      <c r="A375" s="1">
        <v>374</v>
      </c>
      <c r="B375" s="2">
        <v>45297</v>
      </c>
      <c r="C375" s="2">
        <v>45297</v>
      </c>
      <c r="D375" s="4">
        <v>2024</v>
      </c>
      <c r="E375" s="4">
        <v>1</v>
      </c>
      <c r="F375" s="4">
        <v>6</v>
      </c>
      <c r="G375" s="1" t="s">
        <v>31</v>
      </c>
      <c r="I375" s="1" t="s">
        <v>61</v>
      </c>
      <c r="J375" s="1" t="s">
        <v>62</v>
      </c>
      <c r="K375" s="3" t="s">
        <v>28</v>
      </c>
      <c r="L375" s="3" t="s">
        <v>6</v>
      </c>
      <c r="M375" s="3" t="s">
        <v>23</v>
      </c>
      <c r="N375" s="3" t="s">
        <v>4</v>
      </c>
      <c r="O375" s="3" t="s">
        <v>5</v>
      </c>
      <c r="P375" s="3" t="s">
        <v>3</v>
      </c>
      <c r="Q375" s="3">
        <v>80</v>
      </c>
      <c r="R375" s="3">
        <v>85</v>
      </c>
      <c r="S375" s="3">
        <v>6800</v>
      </c>
      <c r="T375" s="3">
        <v>680</v>
      </c>
      <c r="U375" s="3">
        <v>7480.0000000000009</v>
      </c>
    </row>
    <row r="376" spans="1:21" x14ac:dyDescent="0.25">
      <c r="A376" s="1">
        <v>375</v>
      </c>
      <c r="B376" s="2">
        <v>45297</v>
      </c>
      <c r="C376" s="2">
        <v>45297</v>
      </c>
      <c r="D376" s="4">
        <v>2024</v>
      </c>
      <c r="E376" s="4">
        <v>1</v>
      </c>
      <c r="F376" s="4">
        <v>6</v>
      </c>
      <c r="G376" s="1" t="s">
        <v>31</v>
      </c>
      <c r="I376" s="1" t="s">
        <v>67</v>
      </c>
      <c r="J376" s="1" t="s">
        <v>68</v>
      </c>
      <c r="K376" s="3" t="s">
        <v>28</v>
      </c>
      <c r="L376" s="3" t="s">
        <v>6</v>
      </c>
      <c r="M376" s="3" t="s">
        <v>23</v>
      </c>
      <c r="N376" s="3" t="s">
        <v>4</v>
      </c>
      <c r="O376" s="3" t="s">
        <v>5</v>
      </c>
      <c r="P376" s="3" t="s">
        <v>3</v>
      </c>
      <c r="Q376" s="3">
        <v>90</v>
      </c>
      <c r="R376" s="3">
        <v>85</v>
      </c>
      <c r="S376" s="3">
        <v>7650</v>
      </c>
      <c r="T376" s="3">
        <v>765</v>
      </c>
      <c r="U376" s="3">
        <v>8415</v>
      </c>
    </row>
    <row r="377" spans="1:21" x14ac:dyDescent="0.25">
      <c r="A377" s="1">
        <v>376</v>
      </c>
      <c r="B377" s="2">
        <v>45297</v>
      </c>
      <c r="C377" s="2">
        <v>45297</v>
      </c>
      <c r="D377" s="4">
        <v>2024</v>
      </c>
      <c r="E377" s="4">
        <v>1</v>
      </c>
      <c r="F377" s="4">
        <v>6</v>
      </c>
      <c r="G377" s="1" t="s">
        <v>31</v>
      </c>
      <c r="I377" s="1" t="s">
        <v>61</v>
      </c>
      <c r="J377" s="1" t="s">
        <v>62</v>
      </c>
      <c r="K377" s="3" t="s">
        <v>28</v>
      </c>
      <c r="L377" s="3" t="s">
        <v>6</v>
      </c>
      <c r="M377" s="3" t="s">
        <v>23</v>
      </c>
      <c r="N377" s="3" t="s">
        <v>4</v>
      </c>
      <c r="O377" s="3" t="s">
        <v>5</v>
      </c>
      <c r="P377" s="3" t="s">
        <v>3</v>
      </c>
      <c r="Q377" s="3">
        <v>180</v>
      </c>
      <c r="R377" s="3">
        <v>85</v>
      </c>
      <c r="S377" s="3">
        <v>15300</v>
      </c>
      <c r="T377" s="3">
        <v>1530</v>
      </c>
      <c r="U377" s="3">
        <v>16830</v>
      </c>
    </row>
    <row r="378" spans="1:21" x14ac:dyDescent="0.25">
      <c r="A378" s="1">
        <v>377</v>
      </c>
      <c r="B378" s="2">
        <v>45297</v>
      </c>
      <c r="C378" s="2">
        <v>45297</v>
      </c>
      <c r="D378" s="4">
        <v>2024</v>
      </c>
      <c r="E378" s="4">
        <v>1</v>
      </c>
      <c r="F378" s="4">
        <v>6</v>
      </c>
      <c r="G378" s="1" t="s">
        <v>31</v>
      </c>
      <c r="I378" s="1" t="s">
        <v>67</v>
      </c>
      <c r="J378" s="1" t="s">
        <v>68</v>
      </c>
      <c r="K378" s="3" t="s">
        <v>28</v>
      </c>
      <c r="L378" s="3" t="s">
        <v>6</v>
      </c>
      <c r="M378" s="3" t="s">
        <v>23</v>
      </c>
      <c r="N378" s="3" t="s">
        <v>4</v>
      </c>
      <c r="O378" s="3" t="s">
        <v>5</v>
      </c>
      <c r="P378" s="3" t="s">
        <v>3</v>
      </c>
      <c r="Q378" s="3">
        <v>100</v>
      </c>
      <c r="R378" s="3">
        <v>85</v>
      </c>
      <c r="S378" s="3">
        <v>8500</v>
      </c>
      <c r="T378" s="3">
        <v>850</v>
      </c>
      <c r="U378" s="3">
        <v>9350</v>
      </c>
    </row>
    <row r="379" spans="1:21" x14ac:dyDescent="0.25">
      <c r="A379" s="1">
        <v>378</v>
      </c>
      <c r="B379" s="2">
        <v>45298</v>
      </c>
      <c r="C379" s="2">
        <v>45298</v>
      </c>
      <c r="D379" s="4">
        <v>2024</v>
      </c>
      <c r="E379" s="4">
        <v>1</v>
      </c>
      <c r="F379" s="4">
        <v>7</v>
      </c>
      <c r="G379" s="1" t="s">
        <v>32</v>
      </c>
      <c r="I379" s="1" t="s">
        <v>39</v>
      </c>
      <c r="J379" s="1" t="s">
        <v>32</v>
      </c>
      <c r="K379" s="3" t="s">
        <v>119</v>
      </c>
      <c r="L379" s="3" t="s">
        <v>6</v>
      </c>
      <c r="M379" s="3" t="s">
        <v>23</v>
      </c>
      <c r="N379" s="3" t="s">
        <v>4</v>
      </c>
      <c r="O379" s="3" t="s">
        <v>2</v>
      </c>
      <c r="P379" s="3" t="s">
        <v>3</v>
      </c>
      <c r="Q379" s="3">
        <v>4075</v>
      </c>
      <c r="R379" s="3">
        <v>90</v>
      </c>
      <c r="S379" s="3">
        <v>366750</v>
      </c>
      <c r="T379" s="3">
        <v>36675</v>
      </c>
      <c r="U379" s="3">
        <v>403425.00000000006</v>
      </c>
    </row>
    <row r="380" spans="1:21" x14ac:dyDescent="0.25">
      <c r="A380" s="1">
        <v>379</v>
      </c>
      <c r="B380" s="2">
        <v>45298</v>
      </c>
      <c r="C380" s="2">
        <v>45298</v>
      </c>
      <c r="D380" s="4">
        <v>2024</v>
      </c>
      <c r="E380" s="4">
        <v>1</v>
      </c>
      <c r="F380" s="4">
        <v>7</v>
      </c>
      <c r="G380" s="1" t="s">
        <v>36</v>
      </c>
      <c r="I380" s="1" t="s">
        <v>81</v>
      </c>
      <c r="J380" s="1" t="s">
        <v>36</v>
      </c>
      <c r="K380" s="3" t="s">
        <v>119</v>
      </c>
      <c r="L380" s="3" t="s">
        <v>46</v>
      </c>
      <c r="M380" s="3" t="s">
        <v>23</v>
      </c>
      <c r="N380" s="3" t="s">
        <v>47</v>
      </c>
      <c r="O380" s="3" t="s">
        <v>2</v>
      </c>
      <c r="P380" s="3" t="s">
        <v>3</v>
      </c>
      <c r="Q380" s="3">
        <v>3230</v>
      </c>
      <c r="R380" s="3">
        <v>0</v>
      </c>
      <c r="S380" s="3">
        <v>0</v>
      </c>
      <c r="T380" s="3">
        <v>0</v>
      </c>
      <c r="U380" s="3">
        <v>0</v>
      </c>
    </row>
    <row r="381" spans="1:21" x14ac:dyDescent="0.25">
      <c r="A381" s="1">
        <v>380</v>
      </c>
      <c r="B381" s="2">
        <v>45298</v>
      </c>
      <c r="C381" s="2">
        <v>45298</v>
      </c>
      <c r="D381" s="4">
        <v>2024</v>
      </c>
      <c r="E381" s="4">
        <v>1</v>
      </c>
      <c r="F381" s="4">
        <v>7</v>
      </c>
      <c r="G381" s="1" t="s">
        <v>32</v>
      </c>
      <c r="I381" s="1" t="s">
        <v>140</v>
      </c>
      <c r="J381" s="1" t="s">
        <v>32</v>
      </c>
      <c r="K381" s="3" t="s">
        <v>119</v>
      </c>
      <c r="L381" s="3" t="s">
        <v>6</v>
      </c>
      <c r="M381" s="3" t="s">
        <v>23</v>
      </c>
      <c r="N381" s="3" t="s">
        <v>4</v>
      </c>
      <c r="O381" s="3" t="s">
        <v>2</v>
      </c>
      <c r="P381" s="3" t="s">
        <v>3</v>
      </c>
      <c r="Q381" s="3">
        <v>4430</v>
      </c>
      <c r="R381" s="3">
        <v>90</v>
      </c>
      <c r="S381" s="3">
        <v>398700</v>
      </c>
      <c r="T381" s="3">
        <v>39870</v>
      </c>
      <c r="U381" s="3">
        <v>438570.00000000006</v>
      </c>
    </row>
    <row r="382" spans="1:21" x14ac:dyDescent="0.25">
      <c r="A382" s="1">
        <v>381</v>
      </c>
      <c r="B382" s="2">
        <v>45298</v>
      </c>
      <c r="C382" s="2">
        <v>45298</v>
      </c>
      <c r="D382" s="4">
        <v>2024</v>
      </c>
      <c r="E382" s="4">
        <v>1</v>
      </c>
      <c r="F382" s="4">
        <v>7</v>
      </c>
      <c r="G382" s="1" t="s">
        <v>32</v>
      </c>
      <c r="I382" s="1" t="s">
        <v>143</v>
      </c>
      <c r="J382" s="1" t="s">
        <v>32</v>
      </c>
      <c r="K382" s="3" t="s">
        <v>119</v>
      </c>
      <c r="L382" s="3" t="s">
        <v>6</v>
      </c>
      <c r="M382" s="3" t="s">
        <v>23</v>
      </c>
      <c r="N382" s="3" t="s">
        <v>4</v>
      </c>
      <c r="O382" s="3" t="s">
        <v>2</v>
      </c>
      <c r="P382" s="3" t="s">
        <v>3</v>
      </c>
      <c r="Q382" s="3">
        <v>5845</v>
      </c>
      <c r="R382" s="3">
        <v>90</v>
      </c>
      <c r="S382" s="3">
        <v>526050</v>
      </c>
      <c r="T382" s="3">
        <v>52605</v>
      </c>
      <c r="U382" s="3">
        <v>578655</v>
      </c>
    </row>
    <row r="383" spans="1:21" x14ac:dyDescent="0.25">
      <c r="A383" s="1">
        <v>382</v>
      </c>
      <c r="B383" s="2">
        <v>45298</v>
      </c>
      <c r="C383" s="2">
        <v>45298</v>
      </c>
      <c r="D383" s="4">
        <v>2024</v>
      </c>
      <c r="E383" s="4">
        <v>1</v>
      </c>
      <c r="F383" s="4">
        <v>7</v>
      </c>
      <c r="G383" s="1" t="s">
        <v>36</v>
      </c>
      <c r="I383" s="1" t="s">
        <v>49</v>
      </c>
      <c r="J383" s="1" t="s">
        <v>36</v>
      </c>
      <c r="K383" s="3" t="s">
        <v>119</v>
      </c>
      <c r="L383" s="3" t="s">
        <v>77</v>
      </c>
      <c r="M383" s="3" t="s">
        <v>23</v>
      </c>
      <c r="N383" s="3" t="s">
        <v>78</v>
      </c>
      <c r="O383" s="3" t="s">
        <v>2</v>
      </c>
      <c r="P383" s="3" t="s">
        <v>3</v>
      </c>
      <c r="Q383" s="3">
        <v>3625</v>
      </c>
      <c r="R383" s="3">
        <v>0</v>
      </c>
      <c r="S383" s="3">
        <v>0</v>
      </c>
      <c r="T383" s="3">
        <v>0</v>
      </c>
      <c r="U383" s="3">
        <v>0</v>
      </c>
    </row>
    <row r="384" spans="1:21" x14ac:dyDescent="0.25">
      <c r="A384" s="1">
        <v>383</v>
      </c>
      <c r="B384" s="2">
        <v>45298</v>
      </c>
      <c r="C384" s="2">
        <v>45298</v>
      </c>
      <c r="D384" s="4">
        <v>2024</v>
      </c>
      <c r="E384" s="4">
        <v>1</v>
      </c>
      <c r="F384" s="4">
        <v>7</v>
      </c>
      <c r="G384" s="1" t="s">
        <v>32</v>
      </c>
      <c r="I384" s="1" t="s">
        <v>143</v>
      </c>
      <c r="J384" s="1" t="s">
        <v>32</v>
      </c>
      <c r="K384" s="3" t="s">
        <v>119</v>
      </c>
      <c r="L384" s="3" t="s">
        <v>6</v>
      </c>
      <c r="M384" s="3" t="s">
        <v>23</v>
      </c>
      <c r="N384" s="3" t="s">
        <v>4</v>
      </c>
      <c r="O384" s="3" t="s">
        <v>2</v>
      </c>
      <c r="P384" s="3" t="s">
        <v>3</v>
      </c>
      <c r="Q384" s="3">
        <v>14655</v>
      </c>
      <c r="R384" s="3">
        <v>90</v>
      </c>
      <c r="S384" s="3">
        <v>1318950</v>
      </c>
      <c r="T384" s="3">
        <v>131895</v>
      </c>
      <c r="U384" s="3">
        <v>1450845.0000000002</v>
      </c>
    </row>
    <row r="385" spans="1:21" x14ac:dyDescent="0.25">
      <c r="A385" s="1">
        <v>384</v>
      </c>
      <c r="B385" s="2">
        <v>45298</v>
      </c>
      <c r="C385" s="2">
        <v>45298</v>
      </c>
      <c r="D385" s="4">
        <v>2024</v>
      </c>
      <c r="E385" s="4">
        <v>1</v>
      </c>
      <c r="F385" s="4">
        <v>7</v>
      </c>
      <c r="G385" s="1" t="s">
        <v>32</v>
      </c>
      <c r="I385" s="1" t="s">
        <v>39</v>
      </c>
      <c r="J385" s="1" t="s">
        <v>32</v>
      </c>
      <c r="K385" s="3" t="s">
        <v>119</v>
      </c>
      <c r="L385" s="3" t="s">
        <v>6</v>
      </c>
      <c r="M385" s="3" t="s">
        <v>23</v>
      </c>
      <c r="N385" s="3" t="s">
        <v>4</v>
      </c>
      <c r="O385" s="3" t="s">
        <v>2</v>
      </c>
      <c r="P385" s="3" t="s">
        <v>3</v>
      </c>
      <c r="Q385" s="3">
        <v>3330</v>
      </c>
      <c r="R385" s="3">
        <v>90</v>
      </c>
      <c r="S385" s="3">
        <v>299700</v>
      </c>
      <c r="T385" s="3">
        <v>29970</v>
      </c>
      <c r="U385" s="3">
        <v>329670</v>
      </c>
    </row>
    <row r="386" spans="1:21" x14ac:dyDescent="0.25">
      <c r="A386" s="1">
        <v>385</v>
      </c>
      <c r="B386" s="2">
        <v>45298</v>
      </c>
      <c r="C386" s="2">
        <v>45298</v>
      </c>
      <c r="D386" s="4">
        <v>2024</v>
      </c>
      <c r="E386" s="4">
        <v>1</v>
      </c>
      <c r="F386" s="4">
        <v>7</v>
      </c>
      <c r="G386" s="1" t="s">
        <v>30</v>
      </c>
      <c r="I386" s="1" t="s">
        <v>107</v>
      </c>
      <c r="J386" s="1" t="s">
        <v>108</v>
      </c>
      <c r="K386" s="3" t="s">
        <v>28</v>
      </c>
      <c r="L386" s="3" t="s">
        <v>6</v>
      </c>
      <c r="M386" s="3" t="s">
        <v>23</v>
      </c>
      <c r="N386" s="3" t="s">
        <v>4</v>
      </c>
      <c r="O386" s="3" t="s">
        <v>5</v>
      </c>
      <c r="P386" s="3" t="s">
        <v>3</v>
      </c>
      <c r="Q386" s="3">
        <v>110</v>
      </c>
      <c r="R386" s="3">
        <v>95</v>
      </c>
      <c r="S386" s="3">
        <v>10450</v>
      </c>
      <c r="T386" s="3">
        <v>1045</v>
      </c>
      <c r="U386" s="3">
        <v>11495.000000000002</v>
      </c>
    </row>
    <row r="387" spans="1:21" x14ac:dyDescent="0.25">
      <c r="A387" s="1">
        <v>386</v>
      </c>
      <c r="B387" s="2">
        <v>45298</v>
      </c>
      <c r="C387" s="2">
        <v>45298</v>
      </c>
      <c r="D387" s="4">
        <v>2024</v>
      </c>
      <c r="E387" s="4">
        <v>1</v>
      </c>
      <c r="F387" s="4">
        <v>7</v>
      </c>
      <c r="G387" s="1" t="s">
        <v>30</v>
      </c>
      <c r="I387" s="1" t="s">
        <v>84</v>
      </c>
      <c r="J387" s="1" t="s">
        <v>85</v>
      </c>
      <c r="K387" s="3" t="s">
        <v>28</v>
      </c>
      <c r="L387" s="3" t="s">
        <v>6</v>
      </c>
      <c r="M387" s="3" t="s">
        <v>23</v>
      </c>
      <c r="N387" s="3" t="s">
        <v>4</v>
      </c>
      <c r="O387" s="3" t="s">
        <v>5</v>
      </c>
      <c r="P387" s="3" t="s">
        <v>3</v>
      </c>
      <c r="Q387" s="3">
        <v>200</v>
      </c>
      <c r="R387" s="3">
        <v>95</v>
      </c>
      <c r="S387" s="3">
        <v>19000</v>
      </c>
      <c r="T387" s="3">
        <v>1900</v>
      </c>
      <c r="U387" s="3">
        <v>20900</v>
      </c>
    </row>
    <row r="388" spans="1:21" x14ac:dyDescent="0.25">
      <c r="A388" s="1">
        <v>387</v>
      </c>
      <c r="B388" s="2">
        <v>45298</v>
      </c>
      <c r="C388" s="2">
        <v>45298</v>
      </c>
      <c r="D388" s="4">
        <v>2024</v>
      </c>
      <c r="E388" s="4">
        <v>1</v>
      </c>
      <c r="F388" s="4">
        <v>7</v>
      </c>
      <c r="G388" s="1" t="s">
        <v>30</v>
      </c>
      <c r="I388" s="1" t="s">
        <v>86</v>
      </c>
      <c r="J388" s="1" t="s">
        <v>87</v>
      </c>
      <c r="K388" s="3" t="s">
        <v>28</v>
      </c>
      <c r="L388" s="3" t="s">
        <v>6</v>
      </c>
      <c r="M388" s="3" t="s">
        <v>23</v>
      </c>
      <c r="N388" s="3" t="s">
        <v>4</v>
      </c>
      <c r="O388" s="3" t="s">
        <v>5</v>
      </c>
      <c r="P388" s="3" t="s">
        <v>3</v>
      </c>
      <c r="Q388" s="3">
        <v>240</v>
      </c>
      <c r="R388" s="3">
        <v>95</v>
      </c>
      <c r="S388" s="3">
        <v>22800</v>
      </c>
      <c r="T388" s="3">
        <v>2280</v>
      </c>
      <c r="U388" s="3">
        <v>25080.000000000004</v>
      </c>
    </row>
    <row r="389" spans="1:21" x14ac:dyDescent="0.25">
      <c r="A389" s="1">
        <v>388</v>
      </c>
      <c r="B389" s="2">
        <v>45298</v>
      </c>
      <c r="C389" s="2">
        <v>45298</v>
      </c>
      <c r="D389" s="4">
        <v>2024</v>
      </c>
      <c r="E389" s="4">
        <v>1</v>
      </c>
      <c r="F389" s="4">
        <v>7</v>
      </c>
      <c r="G389" s="1" t="s">
        <v>30</v>
      </c>
      <c r="I389" s="1" t="s">
        <v>98</v>
      </c>
      <c r="J389" s="1" t="s">
        <v>99</v>
      </c>
      <c r="K389" s="3" t="s">
        <v>28</v>
      </c>
      <c r="L389" s="3" t="s">
        <v>6</v>
      </c>
      <c r="M389" s="3" t="s">
        <v>23</v>
      </c>
      <c r="N389" s="3" t="s">
        <v>4</v>
      </c>
      <c r="O389" s="3" t="s">
        <v>5</v>
      </c>
      <c r="P389" s="3" t="s">
        <v>3</v>
      </c>
      <c r="Q389" s="3">
        <v>160</v>
      </c>
      <c r="R389" s="3">
        <v>95</v>
      </c>
      <c r="S389" s="3">
        <v>15200</v>
      </c>
      <c r="T389" s="3">
        <v>1520</v>
      </c>
      <c r="U389" s="3">
        <v>16720</v>
      </c>
    </row>
    <row r="390" spans="1:21" x14ac:dyDescent="0.25">
      <c r="A390" s="1">
        <v>389</v>
      </c>
      <c r="B390" s="2">
        <v>45298</v>
      </c>
      <c r="C390" s="2">
        <v>45298</v>
      </c>
      <c r="D390" s="4">
        <v>2024</v>
      </c>
      <c r="E390" s="4">
        <v>1</v>
      </c>
      <c r="F390" s="4">
        <v>7</v>
      </c>
      <c r="G390" s="1" t="s">
        <v>30</v>
      </c>
      <c r="I390" s="1" t="s">
        <v>86</v>
      </c>
      <c r="J390" s="1" t="s">
        <v>87</v>
      </c>
      <c r="K390" s="3" t="s">
        <v>28</v>
      </c>
      <c r="L390" s="3" t="s">
        <v>6</v>
      </c>
      <c r="M390" s="3" t="s">
        <v>23</v>
      </c>
      <c r="N390" s="3" t="s">
        <v>4</v>
      </c>
      <c r="O390" s="3" t="s">
        <v>5</v>
      </c>
      <c r="P390" s="3" t="s">
        <v>3</v>
      </c>
      <c r="Q390" s="3">
        <v>190</v>
      </c>
      <c r="R390" s="3">
        <v>95</v>
      </c>
      <c r="S390" s="3">
        <v>18050</v>
      </c>
      <c r="T390" s="3">
        <v>1805</v>
      </c>
      <c r="U390" s="3">
        <v>19855</v>
      </c>
    </row>
    <row r="391" spans="1:21" x14ac:dyDescent="0.25">
      <c r="A391" s="1">
        <v>390</v>
      </c>
      <c r="B391" s="2">
        <v>45298</v>
      </c>
      <c r="C391" s="2">
        <v>45298</v>
      </c>
      <c r="D391" s="4">
        <v>2024</v>
      </c>
      <c r="E391" s="4">
        <v>1</v>
      </c>
      <c r="F391" s="4">
        <v>7</v>
      </c>
      <c r="G391" s="1" t="s">
        <v>30</v>
      </c>
      <c r="I391" s="1" t="s">
        <v>94</v>
      </c>
      <c r="J391" s="1" t="s">
        <v>95</v>
      </c>
      <c r="K391" s="3" t="s">
        <v>28</v>
      </c>
      <c r="L391" s="3" t="s">
        <v>6</v>
      </c>
      <c r="M391" s="3" t="s">
        <v>23</v>
      </c>
      <c r="N391" s="3" t="s">
        <v>4</v>
      </c>
      <c r="O391" s="3" t="s">
        <v>5</v>
      </c>
      <c r="P391" s="3" t="s">
        <v>3</v>
      </c>
      <c r="Q391" s="3">
        <v>190</v>
      </c>
      <c r="R391" s="3">
        <v>95</v>
      </c>
      <c r="S391" s="3">
        <v>18050</v>
      </c>
      <c r="T391" s="3">
        <v>1805</v>
      </c>
      <c r="U391" s="3">
        <v>19855</v>
      </c>
    </row>
    <row r="392" spans="1:21" x14ac:dyDescent="0.25">
      <c r="A392" s="1">
        <v>391</v>
      </c>
      <c r="B392" s="2">
        <v>45298</v>
      </c>
      <c r="C392" s="2">
        <v>45298</v>
      </c>
      <c r="D392" s="4">
        <v>2024</v>
      </c>
      <c r="E392" s="4">
        <v>1</v>
      </c>
      <c r="F392" s="4">
        <v>7</v>
      </c>
      <c r="G392" s="1" t="s">
        <v>30</v>
      </c>
      <c r="I392" s="1" t="s">
        <v>92</v>
      </c>
      <c r="J392" s="1" t="s">
        <v>93</v>
      </c>
      <c r="K392" s="3" t="s">
        <v>28</v>
      </c>
      <c r="L392" s="3" t="s">
        <v>6</v>
      </c>
      <c r="M392" s="3" t="s">
        <v>23</v>
      </c>
      <c r="N392" s="3" t="s">
        <v>4</v>
      </c>
      <c r="O392" s="3" t="s">
        <v>5</v>
      </c>
      <c r="P392" s="3" t="s">
        <v>3</v>
      </c>
      <c r="Q392" s="3">
        <v>210</v>
      </c>
      <c r="R392" s="3">
        <v>95</v>
      </c>
      <c r="S392" s="3">
        <v>19950</v>
      </c>
      <c r="T392" s="3">
        <v>1995</v>
      </c>
      <c r="U392" s="3">
        <v>21945</v>
      </c>
    </row>
    <row r="393" spans="1:21" x14ac:dyDescent="0.25">
      <c r="A393" s="1">
        <v>392</v>
      </c>
      <c r="B393" s="2">
        <v>45298</v>
      </c>
      <c r="C393" s="2">
        <v>45298</v>
      </c>
      <c r="D393" s="4">
        <v>2024</v>
      </c>
      <c r="E393" s="4">
        <v>1</v>
      </c>
      <c r="F393" s="4">
        <v>7</v>
      </c>
      <c r="G393" s="1" t="s">
        <v>30</v>
      </c>
      <c r="I393" s="1" t="s">
        <v>86</v>
      </c>
      <c r="J393" s="1" t="s">
        <v>87</v>
      </c>
      <c r="K393" s="3" t="s">
        <v>28</v>
      </c>
      <c r="L393" s="3" t="s">
        <v>6</v>
      </c>
      <c r="M393" s="3" t="s">
        <v>23</v>
      </c>
      <c r="N393" s="3" t="s">
        <v>4</v>
      </c>
      <c r="O393" s="3" t="s">
        <v>5</v>
      </c>
      <c r="P393" s="3" t="s">
        <v>3</v>
      </c>
      <c r="Q393" s="3">
        <v>210</v>
      </c>
      <c r="R393" s="3">
        <v>95</v>
      </c>
      <c r="S393" s="3">
        <v>19950</v>
      </c>
      <c r="T393" s="3">
        <v>1995</v>
      </c>
      <c r="U393" s="3">
        <v>21945</v>
      </c>
    </row>
    <row r="394" spans="1:21" x14ac:dyDescent="0.25">
      <c r="A394" s="1">
        <v>393</v>
      </c>
      <c r="B394" s="2">
        <v>45298</v>
      </c>
      <c r="C394" s="2">
        <v>45298</v>
      </c>
      <c r="D394" s="4">
        <v>2024</v>
      </c>
      <c r="E394" s="4">
        <v>1</v>
      </c>
      <c r="F394" s="4">
        <v>7</v>
      </c>
      <c r="G394" s="1" t="s">
        <v>30</v>
      </c>
      <c r="I394" s="1" t="s">
        <v>98</v>
      </c>
      <c r="J394" s="1" t="s">
        <v>99</v>
      </c>
      <c r="K394" s="3" t="s">
        <v>28</v>
      </c>
      <c r="L394" s="3" t="s">
        <v>6</v>
      </c>
      <c r="M394" s="3" t="s">
        <v>23</v>
      </c>
      <c r="N394" s="3" t="s">
        <v>4</v>
      </c>
      <c r="O394" s="3" t="s">
        <v>5</v>
      </c>
      <c r="P394" s="3" t="s">
        <v>3</v>
      </c>
      <c r="Q394" s="3">
        <v>170</v>
      </c>
      <c r="R394" s="3">
        <v>95</v>
      </c>
      <c r="S394" s="3">
        <v>16150</v>
      </c>
      <c r="T394" s="3">
        <v>1615</v>
      </c>
      <c r="U394" s="3">
        <v>17765</v>
      </c>
    </row>
    <row r="395" spans="1:21" x14ac:dyDescent="0.25">
      <c r="A395" s="1">
        <v>394</v>
      </c>
      <c r="B395" s="2">
        <v>45298</v>
      </c>
      <c r="C395" s="2">
        <v>45298</v>
      </c>
      <c r="D395" s="4">
        <v>2024</v>
      </c>
      <c r="E395" s="4">
        <v>1</v>
      </c>
      <c r="F395" s="4">
        <v>7</v>
      </c>
      <c r="G395" s="1" t="s">
        <v>30</v>
      </c>
      <c r="I395" s="1" t="s">
        <v>94</v>
      </c>
      <c r="J395" s="1" t="s">
        <v>95</v>
      </c>
      <c r="K395" s="3" t="s">
        <v>28</v>
      </c>
      <c r="L395" s="3" t="s">
        <v>6</v>
      </c>
      <c r="M395" s="3" t="s">
        <v>23</v>
      </c>
      <c r="N395" s="3" t="s">
        <v>4</v>
      </c>
      <c r="O395" s="3" t="s">
        <v>5</v>
      </c>
      <c r="P395" s="3" t="s">
        <v>3</v>
      </c>
      <c r="Q395" s="3">
        <v>250</v>
      </c>
      <c r="R395" s="3">
        <v>95</v>
      </c>
      <c r="S395" s="3">
        <v>23750</v>
      </c>
      <c r="T395" s="3">
        <v>2375</v>
      </c>
      <c r="U395" s="3">
        <v>26125.000000000004</v>
      </c>
    </row>
    <row r="396" spans="1:21" x14ac:dyDescent="0.25">
      <c r="A396" s="1">
        <v>395</v>
      </c>
      <c r="B396" s="2">
        <v>45298</v>
      </c>
      <c r="C396" s="2">
        <v>45298</v>
      </c>
      <c r="D396" s="4">
        <v>2024</v>
      </c>
      <c r="E396" s="4">
        <v>1</v>
      </c>
      <c r="F396" s="4">
        <v>7</v>
      </c>
      <c r="G396" s="1" t="s">
        <v>30</v>
      </c>
      <c r="I396" s="1" t="s">
        <v>92</v>
      </c>
      <c r="J396" s="1" t="s">
        <v>93</v>
      </c>
      <c r="K396" s="3" t="s">
        <v>28</v>
      </c>
      <c r="L396" s="3" t="s">
        <v>6</v>
      </c>
      <c r="M396" s="3" t="s">
        <v>23</v>
      </c>
      <c r="N396" s="3" t="s">
        <v>4</v>
      </c>
      <c r="O396" s="3" t="s">
        <v>5</v>
      </c>
      <c r="P396" s="3" t="s">
        <v>3</v>
      </c>
      <c r="Q396" s="3">
        <v>340</v>
      </c>
      <c r="R396" s="3">
        <v>95</v>
      </c>
      <c r="S396" s="3">
        <v>32300</v>
      </c>
      <c r="T396" s="3">
        <v>3230</v>
      </c>
      <c r="U396" s="3">
        <v>35530</v>
      </c>
    </row>
    <row r="397" spans="1:21" x14ac:dyDescent="0.25">
      <c r="A397" s="1">
        <v>396</v>
      </c>
      <c r="B397" s="2">
        <v>45298</v>
      </c>
      <c r="C397" s="2">
        <v>45298</v>
      </c>
      <c r="D397" s="4">
        <v>2024</v>
      </c>
      <c r="E397" s="4">
        <v>1</v>
      </c>
      <c r="F397" s="4">
        <v>7</v>
      </c>
      <c r="G397" s="1" t="s">
        <v>30</v>
      </c>
      <c r="I397" s="1" t="s">
        <v>82</v>
      </c>
      <c r="J397" s="1" t="s">
        <v>83</v>
      </c>
      <c r="K397" s="3" t="s">
        <v>28</v>
      </c>
      <c r="L397" s="3" t="s">
        <v>6</v>
      </c>
      <c r="M397" s="3" t="s">
        <v>23</v>
      </c>
      <c r="N397" s="3" t="s">
        <v>4</v>
      </c>
      <c r="O397" s="3" t="s">
        <v>5</v>
      </c>
      <c r="P397" s="3" t="s">
        <v>3</v>
      </c>
      <c r="Q397" s="3">
        <v>150</v>
      </c>
      <c r="R397" s="3">
        <v>95</v>
      </c>
      <c r="S397" s="3">
        <v>14250</v>
      </c>
      <c r="T397" s="3">
        <v>1425</v>
      </c>
      <c r="U397" s="3">
        <v>15675.000000000002</v>
      </c>
    </row>
    <row r="398" spans="1:21" x14ac:dyDescent="0.25">
      <c r="A398" s="1">
        <v>397</v>
      </c>
      <c r="B398" s="2">
        <v>45298</v>
      </c>
      <c r="C398" s="2">
        <v>45298</v>
      </c>
      <c r="D398" s="4">
        <v>2024</v>
      </c>
      <c r="E398" s="4">
        <v>1</v>
      </c>
      <c r="F398" s="4">
        <v>7</v>
      </c>
      <c r="G398" s="1" t="s">
        <v>30</v>
      </c>
      <c r="I398" s="1" t="s">
        <v>98</v>
      </c>
      <c r="J398" s="1" t="s">
        <v>99</v>
      </c>
      <c r="K398" s="3" t="s">
        <v>28</v>
      </c>
      <c r="L398" s="3" t="s">
        <v>6</v>
      </c>
      <c r="M398" s="3" t="s">
        <v>23</v>
      </c>
      <c r="N398" s="3" t="s">
        <v>4</v>
      </c>
      <c r="O398" s="3" t="s">
        <v>5</v>
      </c>
      <c r="P398" s="3" t="s">
        <v>3</v>
      </c>
      <c r="Q398" s="3">
        <v>90</v>
      </c>
      <c r="R398" s="3">
        <v>95</v>
      </c>
      <c r="S398" s="3">
        <v>8550</v>
      </c>
      <c r="T398" s="3">
        <v>855</v>
      </c>
      <c r="U398" s="3">
        <v>9405</v>
      </c>
    </row>
    <row r="399" spans="1:21" x14ac:dyDescent="0.25">
      <c r="A399" s="1">
        <v>398</v>
      </c>
      <c r="B399" s="2">
        <v>45298</v>
      </c>
      <c r="C399" s="2">
        <v>45298</v>
      </c>
      <c r="D399" s="4">
        <v>2024</v>
      </c>
      <c r="E399" s="4">
        <v>1</v>
      </c>
      <c r="F399" s="4">
        <v>7</v>
      </c>
      <c r="G399" s="1" t="s">
        <v>30</v>
      </c>
      <c r="I399" s="1" t="s">
        <v>88</v>
      </c>
      <c r="J399" s="1" t="s">
        <v>89</v>
      </c>
      <c r="K399" s="3" t="s">
        <v>28</v>
      </c>
      <c r="L399" s="3" t="s">
        <v>6</v>
      </c>
      <c r="M399" s="3" t="s">
        <v>23</v>
      </c>
      <c r="N399" s="3" t="s">
        <v>4</v>
      </c>
      <c r="O399" s="3" t="s">
        <v>5</v>
      </c>
      <c r="P399" s="3" t="s">
        <v>3</v>
      </c>
      <c r="Q399" s="3">
        <v>190</v>
      </c>
      <c r="R399" s="3">
        <v>95</v>
      </c>
      <c r="S399" s="3">
        <v>18050</v>
      </c>
      <c r="T399" s="3">
        <v>1805</v>
      </c>
      <c r="U399" s="3">
        <v>19855</v>
      </c>
    </row>
    <row r="400" spans="1:21" x14ac:dyDescent="0.25">
      <c r="A400" s="1">
        <v>399</v>
      </c>
      <c r="B400" s="2">
        <v>45298</v>
      </c>
      <c r="C400" s="2">
        <v>45298</v>
      </c>
      <c r="D400" s="4">
        <v>2024</v>
      </c>
      <c r="E400" s="4">
        <v>1</v>
      </c>
      <c r="F400" s="4">
        <v>7</v>
      </c>
      <c r="G400" s="1" t="s">
        <v>30</v>
      </c>
      <c r="I400" s="1" t="s">
        <v>25</v>
      </c>
      <c r="J400" s="1" t="s">
        <v>29</v>
      </c>
      <c r="K400" s="3" t="s">
        <v>28</v>
      </c>
      <c r="L400" s="3" t="s">
        <v>6</v>
      </c>
      <c r="M400" s="3" t="s">
        <v>23</v>
      </c>
      <c r="N400" s="3" t="s">
        <v>4</v>
      </c>
      <c r="O400" s="3" t="s">
        <v>5</v>
      </c>
      <c r="P400" s="3" t="s">
        <v>3</v>
      </c>
      <c r="Q400" s="3">
        <v>220</v>
      </c>
      <c r="R400" s="3">
        <v>95</v>
      </c>
      <c r="S400" s="3">
        <v>20900</v>
      </c>
      <c r="T400" s="3">
        <v>2090</v>
      </c>
      <c r="U400" s="3">
        <v>22990.000000000004</v>
      </c>
    </row>
    <row r="401" spans="1:21" x14ac:dyDescent="0.25">
      <c r="A401" s="1">
        <v>400</v>
      </c>
      <c r="B401" s="2">
        <v>45298</v>
      </c>
      <c r="C401" s="2">
        <v>45298</v>
      </c>
      <c r="D401" s="4">
        <v>2024</v>
      </c>
      <c r="E401" s="4">
        <v>1</v>
      </c>
      <c r="F401" s="4">
        <v>7</v>
      </c>
      <c r="G401" s="1" t="s">
        <v>30</v>
      </c>
      <c r="I401" s="1" t="s">
        <v>82</v>
      </c>
      <c r="J401" s="1" t="s">
        <v>83</v>
      </c>
      <c r="K401" s="3" t="s">
        <v>28</v>
      </c>
      <c r="L401" s="3" t="s">
        <v>6</v>
      </c>
      <c r="M401" s="3" t="s">
        <v>23</v>
      </c>
      <c r="N401" s="3" t="s">
        <v>4</v>
      </c>
      <c r="O401" s="3" t="s">
        <v>5</v>
      </c>
      <c r="P401" s="3" t="s">
        <v>3</v>
      </c>
      <c r="Q401" s="3">
        <v>290</v>
      </c>
      <c r="R401" s="3">
        <v>95</v>
      </c>
      <c r="S401" s="3">
        <v>27550</v>
      </c>
      <c r="T401" s="3">
        <v>2755</v>
      </c>
      <c r="U401" s="3">
        <v>30305.000000000004</v>
      </c>
    </row>
    <row r="402" spans="1:21" x14ac:dyDescent="0.25">
      <c r="A402" s="1">
        <v>401</v>
      </c>
      <c r="B402" s="2">
        <v>45298</v>
      </c>
      <c r="C402" s="2">
        <v>45298</v>
      </c>
      <c r="D402" s="4">
        <v>2024</v>
      </c>
      <c r="E402" s="4">
        <v>1</v>
      </c>
      <c r="F402" s="4">
        <v>7</v>
      </c>
      <c r="G402" s="1" t="s">
        <v>30</v>
      </c>
      <c r="I402" s="1" t="s">
        <v>94</v>
      </c>
      <c r="J402" s="1" t="s">
        <v>95</v>
      </c>
      <c r="K402" s="3" t="s">
        <v>28</v>
      </c>
      <c r="L402" s="3" t="s">
        <v>6</v>
      </c>
      <c r="M402" s="3" t="s">
        <v>23</v>
      </c>
      <c r="N402" s="3" t="s">
        <v>4</v>
      </c>
      <c r="O402" s="3" t="s">
        <v>5</v>
      </c>
      <c r="P402" s="3" t="s">
        <v>3</v>
      </c>
      <c r="Q402" s="3">
        <v>400</v>
      </c>
      <c r="R402" s="3">
        <v>95</v>
      </c>
      <c r="S402" s="3">
        <v>38000</v>
      </c>
      <c r="T402" s="3">
        <v>3800</v>
      </c>
      <c r="U402" s="3">
        <v>41800</v>
      </c>
    </row>
    <row r="403" spans="1:21" x14ac:dyDescent="0.25">
      <c r="A403" s="1">
        <v>402</v>
      </c>
      <c r="B403" s="2">
        <v>45298</v>
      </c>
      <c r="C403" s="2">
        <v>45298</v>
      </c>
      <c r="D403" s="4">
        <v>2024</v>
      </c>
      <c r="E403" s="4">
        <v>1</v>
      </c>
      <c r="F403" s="4">
        <v>7</v>
      </c>
      <c r="G403" s="1" t="s">
        <v>30</v>
      </c>
      <c r="I403" s="1" t="s">
        <v>82</v>
      </c>
      <c r="J403" s="1" t="s">
        <v>83</v>
      </c>
      <c r="K403" s="3" t="s">
        <v>28</v>
      </c>
      <c r="L403" s="3" t="s">
        <v>6</v>
      </c>
      <c r="M403" s="3" t="s">
        <v>23</v>
      </c>
      <c r="N403" s="3" t="s">
        <v>4</v>
      </c>
      <c r="O403" s="3" t="s">
        <v>5</v>
      </c>
      <c r="P403" s="3" t="s">
        <v>3</v>
      </c>
      <c r="Q403" s="3">
        <v>220</v>
      </c>
      <c r="R403" s="3">
        <v>95</v>
      </c>
      <c r="S403" s="3">
        <v>20900</v>
      </c>
      <c r="T403" s="3">
        <v>2090</v>
      </c>
      <c r="U403" s="3">
        <v>22990.000000000004</v>
      </c>
    </row>
    <row r="404" spans="1:21" x14ac:dyDescent="0.25">
      <c r="A404" s="1">
        <v>403</v>
      </c>
      <c r="B404" s="2">
        <v>45298</v>
      </c>
      <c r="C404" s="2">
        <v>45298</v>
      </c>
      <c r="D404" s="4">
        <v>2024</v>
      </c>
      <c r="E404" s="4">
        <v>1</v>
      </c>
      <c r="F404" s="4">
        <v>7</v>
      </c>
      <c r="G404" s="1" t="s">
        <v>30</v>
      </c>
      <c r="I404" s="1" t="s">
        <v>98</v>
      </c>
      <c r="J404" s="1" t="s">
        <v>99</v>
      </c>
      <c r="K404" s="3" t="s">
        <v>28</v>
      </c>
      <c r="L404" s="3" t="s">
        <v>6</v>
      </c>
      <c r="M404" s="3" t="s">
        <v>23</v>
      </c>
      <c r="N404" s="3" t="s">
        <v>4</v>
      </c>
      <c r="O404" s="3" t="s">
        <v>5</v>
      </c>
      <c r="P404" s="3" t="s">
        <v>3</v>
      </c>
      <c r="Q404" s="3">
        <v>210</v>
      </c>
      <c r="R404" s="3">
        <v>95</v>
      </c>
      <c r="S404" s="3">
        <v>19950</v>
      </c>
      <c r="T404" s="3">
        <v>1995</v>
      </c>
      <c r="U404" s="3">
        <v>21945</v>
      </c>
    </row>
    <row r="405" spans="1:21" x14ac:dyDescent="0.25">
      <c r="A405" s="1">
        <v>404</v>
      </c>
      <c r="B405" s="2">
        <v>45298</v>
      </c>
      <c r="C405" s="2">
        <v>45298</v>
      </c>
      <c r="D405" s="4">
        <v>2024</v>
      </c>
      <c r="E405" s="4">
        <v>1</v>
      </c>
      <c r="F405" s="4">
        <v>7</v>
      </c>
      <c r="G405" s="1" t="s">
        <v>30</v>
      </c>
      <c r="I405" s="1" t="s">
        <v>88</v>
      </c>
      <c r="J405" s="1" t="s">
        <v>89</v>
      </c>
      <c r="K405" s="3" t="s">
        <v>28</v>
      </c>
      <c r="L405" s="3" t="s">
        <v>6</v>
      </c>
      <c r="M405" s="3" t="s">
        <v>23</v>
      </c>
      <c r="N405" s="3" t="s">
        <v>4</v>
      </c>
      <c r="O405" s="3" t="s">
        <v>5</v>
      </c>
      <c r="P405" s="3" t="s">
        <v>3</v>
      </c>
      <c r="Q405" s="3">
        <v>330</v>
      </c>
      <c r="R405" s="3">
        <v>95</v>
      </c>
      <c r="S405" s="3">
        <v>31350</v>
      </c>
      <c r="T405" s="3">
        <v>3135</v>
      </c>
      <c r="U405" s="3">
        <v>34485</v>
      </c>
    </row>
    <row r="406" spans="1:21" x14ac:dyDescent="0.25">
      <c r="A406" s="1">
        <v>405</v>
      </c>
      <c r="B406" s="2">
        <v>45298</v>
      </c>
      <c r="C406" s="2">
        <v>45298</v>
      </c>
      <c r="D406" s="4">
        <v>2024</v>
      </c>
      <c r="E406" s="4">
        <v>1</v>
      </c>
      <c r="F406" s="4">
        <v>7</v>
      </c>
      <c r="G406" s="1" t="s">
        <v>30</v>
      </c>
      <c r="I406" s="1" t="s">
        <v>94</v>
      </c>
      <c r="J406" s="1" t="s">
        <v>95</v>
      </c>
      <c r="K406" s="3" t="s">
        <v>28</v>
      </c>
      <c r="L406" s="3" t="s">
        <v>6</v>
      </c>
      <c r="M406" s="3" t="s">
        <v>23</v>
      </c>
      <c r="N406" s="3" t="s">
        <v>4</v>
      </c>
      <c r="O406" s="3" t="s">
        <v>5</v>
      </c>
      <c r="P406" s="3" t="s">
        <v>3</v>
      </c>
      <c r="Q406" s="3">
        <v>220</v>
      </c>
      <c r="R406" s="3">
        <v>95</v>
      </c>
      <c r="S406" s="3">
        <v>20900</v>
      </c>
      <c r="T406" s="3">
        <v>2090</v>
      </c>
      <c r="U406" s="3">
        <v>22990.000000000004</v>
      </c>
    </row>
    <row r="407" spans="1:21" x14ac:dyDescent="0.25">
      <c r="A407" s="1">
        <v>406</v>
      </c>
      <c r="B407" s="2">
        <v>45298</v>
      </c>
      <c r="C407" s="2">
        <v>45298</v>
      </c>
      <c r="D407" s="4">
        <v>2024</v>
      </c>
      <c r="E407" s="4">
        <v>1</v>
      </c>
      <c r="F407" s="4">
        <v>7</v>
      </c>
      <c r="G407" s="1" t="s">
        <v>30</v>
      </c>
      <c r="I407" s="1" t="s">
        <v>86</v>
      </c>
      <c r="J407" s="1" t="s">
        <v>87</v>
      </c>
      <c r="K407" s="3" t="s">
        <v>28</v>
      </c>
      <c r="L407" s="3" t="s">
        <v>6</v>
      </c>
      <c r="M407" s="3" t="s">
        <v>23</v>
      </c>
      <c r="N407" s="3" t="s">
        <v>4</v>
      </c>
      <c r="O407" s="3" t="s">
        <v>5</v>
      </c>
      <c r="P407" s="3" t="s">
        <v>3</v>
      </c>
      <c r="Q407" s="3">
        <v>270</v>
      </c>
      <c r="R407" s="3">
        <v>95</v>
      </c>
      <c r="S407" s="3">
        <v>25650</v>
      </c>
      <c r="T407" s="3">
        <v>2565</v>
      </c>
      <c r="U407" s="3">
        <v>28215.000000000004</v>
      </c>
    </row>
    <row r="408" spans="1:21" x14ac:dyDescent="0.25">
      <c r="A408" s="1">
        <v>407</v>
      </c>
      <c r="B408" s="2">
        <v>45298</v>
      </c>
      <c r="C408" s="2">
        <v>45298</v>
      </c>
      <c r="D408" s="4">
        <v>2024</v>
      </c>
      <c r="E408" s="4">
        <v>1</v>
      </c>
      <c r="F408" s="4">
        <v>7</v>
      </c>
      <c r="G408" s="1" t="s">
        <v>30</v>
      </c>
      <c r="I408" s="1" t="s">
        <v>82</v>
      </c>
      <c r="J408" s="1" t="s">
        <v>83</v>
      </c>
      <c r="K408" s="3" t="s">
        <v>28</v>
      </c>
      <c r="L408" s="3" t="s">
        <v>6</v>
      </c>
      <c r="M408" s="3" t="s">
        <v>23</v>
      </c>
      <c r="N408" s="3" t="s">
        <v>4</v>
      </c>
      <c r="O408" s="3" t="s">
        <v>5</v>
      </c>
      <c r="P408" s="3" t="s">
        <v>3</v>
      </c>
      <c r="Q408" s="3">
        <v>130</v>
      </c>
      <c r="R408" s="3">
        <v>95</v>
      </c>
      <c r="S408" s="3">
        <v>12350</v>
      </c>
      <c r="T408" s="3">
        <v>1235</v>
      </c>
      <c r="U408" s="3">
        <v>13585.000000000002</v>
      </c>
    </row>
    <row r="409" spans="1:21" x14ac:dyDescent="0.25">
      <c r="A409" s="1">
        <v>408</v>
      </c>
      <c r="B409" s="2">
        <v>45298</v>
      </c>
      <c r="C409" s="2">
        <v>45298</v>
      </c>
      <c r="D409" s="4">
        <v>2024</v>
      </c>
      <c r="E409" s="4">
        <v>1</v>
      </c>
      <c r="F409" s="4">
        <v>7</v>
      </c>
      <c r="G409" s="1" t="s">
        <v>30</v>
      </c>
      <c r="I409" s="1" t="s">
        <v>98</v>
      </c>
      <c r="J409" s="1" t="s">
        <v>99</v>
      </c>
      <c r="K409" s="3" t="s">
        <v>28</v>
      </c>
      <c r="L409" s="3" t="s">
        <v>6</v>
      </c>
      <c r="M409" s="3" t="s">
        <v>23</v>
      </c>
      <c r="N409" s="3" t="s">
        <v>4</v>
      </c>
      <c r="O409" s="3" t="s">
        <v>5</v>
      </c>
      <c r="P409" s="3" t="s">
        <v>3</v>
      </c>
      <c r="Q409" s="3">
        <v>170</v>
      </c>
      <c r="R409" s="3">
        <v>95</v>
      </c>
      <c r="S409" s="3">
        <v>16150</v>
      </c>
      <c r="T409" s="3">
        <v>1615</v>
      </c>
      <c r="U409" s="3">
        <v>17765</v>
      </c>
    </row>
    <row r="410" spans="1:21" x14ac:dyDescent="0.25">
      <c r="A410" s="1">
        <v>409</v>
      </c>
      <c r="B410" s="2">
        <v>45298</v>
      </c>
      <c r="C410" s="2">
        <v>45298</v>
      </c>
      <c r="D410" s="4">
        <v>2024</v>
      </c>
      <c r="E410" s="4">
        <v>1</v>
      </c>
      <c r="F410" s="4">
        <v>7</v>
      </c>
      <c r="G410" s="1" t="s">
        <v>31</v>
      </c>
      <c r="I410" s="1" t="s">
        <v>57</v>
      </c>
      <c r="J410" s="1" t="s">
        <v>58</v>
      </c>
      <c r="K410" s="3" t="s">
        <v>28</v>
      </c>
      <c r="L410" s="3" t="s">
        <v>6</v>
      </c>
      <c r="M410" s="3" t="s">
        <v>23</v>
      </c>
      <c r="N410" s="3" t="s">
        <v>4</v>
      </c>
      <c r="O410" s="3" t="s">
        <v>5</v>
      </c>
      <c r="P410" s="3" t="s">
        <v>3</v>
      </c>
      <c r="Q410" s="3">
        <v>160</v>
      </c>
      <c r="R410" s="3">
        <v>85</v>
      </c>
      <c r="S410" s="3">
        <v>13600</v>
      </c>
      <c r="T410" s="3">
        <v>1360</v>
      </c>
      <c r="U410" s="3">
        <v>14960.000000000002</v>
      </c>
    </row>
    <row r="411" spans="1:21" x14ac:dyDescent="0.25">
      <c r="A411" s="1">
        <v>410</v>
      </c>
      <c r="B411" s="2">
        <v>45298</v>
      </c>
      <c r="C411" s="2">
        <v>45298</v>
      </c>
      <c r="D411" s="4">
        <v>2024</v>
      </c>
      <c r="E411" s="4">
        <v>1</v>
      </c>
      <c r="F411" s="4">
        <v>7</v>
      </c>
      <c r="G411" s="1" t="s">
        <v>31</v>
      </c>
      <c r="I411" s="1" t="s">
        <v>57</v>
      </c>
      <c r="J411" s="1" t="s">
        <v>58</v>
      </c>
      <c r="K411" s="3" t="s">
        <v>28</v>
      </c>
      <c r="L411" s="3" t="s">
        <v>6</v>
      </c>
      <c r="M411" s="3" t="s">
        <v>23</v>
      </c>
      <c r="N411" s="3" t="s">
        <v>4</v>
      </c>
      <c r="O411" s="3" t="s">
        <v>5</v>
      </c>
      <c r="P411" s="3" t="s">
        <v>3</v>
      </c>
      <c r="Q411" s="3">
        <v>140</v>
      </c>
      <c r="R411" s="3">
        <v>85</v>
      </c>
      <c r="S411" s="3">
        <v>11900</v>
      </c>
      <c r="T411" s="3">
        <v>1190</v>
      </c>
      <c r="U411" s="3">
        <v>13090.000000000002</v>
      </c>
    </row>
    <row r="412" spans="1:21" x14ac:dyDescent="0.25">
      <c r="A412" s="1">
        <v>411</v>
      </c>
      <c r="B412" s="2">
        <v>45298</v>
      </c>
      <c r="C412" s="2">
        <v>45298</v>
      </c>
      <c r="D412" s="4">
        <v>2024</v>
      </c>
      <c r="E412" s="4">
        <v>1</v>
      </c>
      <c r="F412" s="4">
        <v>7</v>
      </c>
      <c r="G412" s="1" t="s">
        <v>31</v>
      </c>
      <c r="I412" s="1" t="s">
        <v>61</v>
      </c>
      <c r="J412" s="1" t="s">
        <v>62</v>
      </c>
      <c r="K412" s="3" t="s">
        <v>28</v>
      </c>
      <c r="L412" s="3" t="s">
        <v>6</v>
      </c>
      <c r="M412" s="3" t="s">
        <v>23</v>
      </c>
      <c r="N412" s="3" t="s">
        <v>4</v>
      </c>
      <c r="O412" s="3" t="s">
        <v>5</v>
      </c>
      <c r="P412" s="3" t="s">
        <v>3</v>
      </c>
      <c r="Q412" s="3">
        <v>220</v>
      </c>
      <c r="R412" s="3">
        <v>85</v>
      </c>
      <c r="S412" s="3">
        <v>18700</v>
      </c>
      <c r="T412" s="3">
        <v>1870</v>
      </c>
      <c r="U412" s="3">
        <v>20570</v>
      </c>
    </row>
    <row r="413" spans="1:21" x14ac:dyDescent="0.25">
      <c r="A413" s="1">
        <v>412</v>
      </c>
      <c r="B413" s="2">
        <v>45298</v>
      </c>
      <c r="C413" s="2">
        <v>45298</v>
      </c>
      <c r="D413" s="4">
        <v>2024</v>
      </c>
      <c r="E413" s="4">
        <v>1</v>
      </c>
      <c r="F413" s="4">
        <v>7</v>
      </c>
      <c r="G413" s="1" t="s">
        <v>31</v>
      </c>
      <c r="I413" s="1" t="s">
        <v>63</v>
      </c>
      <c r="J413" s="1" t="s">
        <v>64</v>
      </c>
      <c r="K413" s="3" t="s">
        <v>28</v>
      </c>
      <c r="L413" s="3" t="s">
        <v>6</v>
      </c>
      <c r="M413" s="3" t="s">
        <v>23</v>
      </c>
      <c r="N413" s="3" t="s">
        <v>4</v>
      </c>
      <c r="O413" s="3" t="s">
        <v>5</v>
      </c>
      <c r="P413" s="3" t="s">
        <v>3</v>
      </c>
      <c r="Q413" s="3">
        <v>450</v>
      </c>
      <c r="R413" s="3">
        <v>85</v>
      </c>
      <c r="S413" s="3">
        <v>38250</v>
      </c>
      <c r="T413" s="3">
        <v>3825</v>
      </c>
      <c r="U413" s="3">
        <v>42075</v>
      </c>
    </row>
    <row r="414" spans="1:21" x14ac:dyDescent="0.25">
      <c r="A414" s="1">
        <v>413</v>
      </c>
      <c r="B414" s="2">
        <v>45298</v>
      </c>
      <c r="C414" s="2">
        <v>45298</v>
      </c>
      <c r="D414" s="4">
        <v>2024</v>
      </c>
      <c r="E414" s="4">
        <v>1</v>
      </c>
      <c r="F414" s="4">
        <v>7</v>
      </c>
      <c r="G414" s="1" t="s">
        <v>31</v>
      </c>
      <c r="I414" s="1" t="s">
        <v>25</v>
      </c>
      <c r="J414" s="1" t="s">
        <v>29</v>
      </c>
      <c r="K414" s="3" t="s">
        <v>28</v>
      </c>
      <c r="L414" s="3" t="s">
        <v>6</v>
      </c>
      <c r="M414" s="3" t="s">
        <v>23</v>
      </c>
      <c r="N414" s="3" t="s">
        <v>4</v>
      </c>
      <c r="O414" s="3" t="s">
        <v>5</v>
      </c>
      <c r="P414" s="3" t="s">
        <v>3</v>
      </c>
      <c r="Q414" s="3">
        <v>230</v>
      </c>
      <c r="R414" s="3">
        <v>85</v>
      </c>
      <c r="S414" s="3">
        <v>19550</v>
      </c>
      <c r="T414" s="3">
        <v>1955</v>
      </c>
      <c r="U414" s="3">
        <v>21505</v>
      </c>
    </row>
    <row r="415" spans="1:21" x14ac:dyDescent="0.25">
      <c r="A415" s="1">
        <v>414</v>
      </c>
      <c r="B415" s="2">
        <v>45298</v>
      </c>
      <c r="C415" s="2">
        <v>45298</v>
      </c>
      <c r="D415" s="4">
        <v>2024</v>
      </c>
      <c r="E415" s="4">
        <v>1</v>
      </c>
      <c r="F415" s="4">
        <v>7</v>
      </c>
      <c r="G415" s="1" t="s">
        <v>31</v>
      </c>
      <c r="I415" s="1" t="s">
        <v>100</v>
      </c>
      <c r="J415" s="1" t="s">
        <v>101</v>
      </c>
      <c r="K415" s="3" t="s">
        <v>28</v>
      </c>
      <c r="L415" s="3" t="s">
        <v>6</v>
      </c>
      <c r="M415" s="3" t="s">
        <v>23</v>
      </c>
      <c r="N415" s="3" t="s">
        <v>4</v>
      </c>
      <c r="O415" s="3" t="s">
        <v>5</v>
      </c>
      <c r="P415" s="3" t="s">
        <v>3</v>
      </c>
      <c r="Q415" s="3">
        <v>140</v>
      </c>
      <c r="R415" s="3">
        <v>85</v>
      </c>
      <c r="S415" s="3">
        <v>11900</v>
      </c>
      <c r="T415" s="3">
        <v>1190</v>
      </c>
      <c r="U415" s="3">
        <v>13090.000000000002</v>
      </c>
    </row>
    <row r="416" spans="1:21" x14ac:dyDescent="0.25">
      <c r="A416" s="1">
        <v>415</v>
      </c>
      <c r="B416" s="2">
        <v>45298</v>
      </c>
      <c r="C416" s="2">
        <v>45298</v>
      </c>
      <c r="D416" s="4">
        <v>2024</v>
      </c>
      <c r="E416" s="4">
        <v>1</v>
      </c>
      <c r="F416" s="4">
        <v>7</v>
      </c>
      <c r="G416" s="1" t="s">
        <v>31</v>
      </c>
      <c r="I416" s="1" t="s">
        <v>61</v>
      </c>
      <c r="J416" s="1" t="s">
        <v>62</v>
      </c>
      <c r="K416" s="3" t="s">
        <v>28</v>
      </c>
      <c r="L416" s="3" t="s">
        <v>6</v>
      </c>
      <c r="M416" s="3" t="s">
        <v>23</v>
      </c>
      <c r="N416" s="3" t="s">
        <v>4</v>
      </c>
      <c r="O416" s="3" t="s">
        <v>5</v>
      </c>
      <c r="P416" s="3" t="s">
        <v>3</v>
      </c>
      <c r="Q416" s="3">
        <v>120</v>
      </c>
      <c r="R416" s="3">
        <v>85</v>
      </c>
      <c r="S416" s="3">
        <v>10200</v>
      </c>
      <c r="T416" s="3">
        <v>1020</v>
      </c>
      <c r="U416" s="3">
        <v>11220</v>
      </c>
    </row>
    <row r="417" spans="1:21" x14ac:dyDescent="0.25">
      <c r="A417" s="1">
        <v>416</v>
      </c>
      <c r="B417" s="2">
        <v>45298</v>
      </c>
      <c r="C417" s="2">
        <v>45298</v>
      </c>
      <c r="D417" s="4">
        <v>2024</v>
      </c>
      <c r="E417" s="4">
        <v>1</v>
      </c>
      <c r="F417" s="4">
        <v>7</v>
      </c>
      <c r="G417" s="1" t="s">
        <v>31</v>
      </c>
      <c r="I417" s="1" t="s">
        <v>69</v>
      </c>
      <c r="J417" s="1" t="s">
        <v>70</v>
      </c>
      <c r="K417" s="3" t="s">
        <v>28</v>
      </c>
      <c r="L417" s="3" t="s">
        <v>6</v>
      </c>
      <c r="M417" s="3" t="s">
        <v>23</v>
      </c>
      <c r="N417" s="3" t="s">
        <v>4</v>
      </c>
      <c r="O417" s="3" t="s">
        <v>5</v>
      </c>
      <c r="P417" s="3" t="s">
        <v>3</v>
      </c>
      <c r="Q417" s="3">
        <v>270</v>
      </c>
      <c r="R417" s="3">
        <v>85</v>
      </c>
      <c r="S417" s="3">
        <v>22950</v>
      </c>
      <c r="T417" s="3">
        <v>2295</v>
      </c>
      <c r="U417" s="3">
        <v>25245.000000000004</v>
      </c>
    </row>
    <row r="418" spans="1:21" x14ac:dyDescent="0.25">
      <c r="A418" s="1">
        <v>417</v>
      </c>
      <c r="B418" s="2">
        <v>45298</v>
      </c>
      <c r="C418" s="2">
        <v>45298</v>
      </c>
      <c r="D418" s="4">
        <v>2024</v>
      </c>
      <c r="E418" s="4">
        <v>1</v>
      </c>
      <c r="F418" s="4">
        <v>7</v>
      </c>
      <c r="G418" s="1" t="s">
        <v>31</v>
      </c>
      <c r="I418" s="1" t="s">
        <v>25</v>
      </c>
      <c r="J418" s="1" t="s">
        <v>29</v>
      </c>
      <c r="K418" s="3" t="s">
        <v>28</v>
      </c>
      <c r="L418" s="3" t="s">
        <v>6</v>
      </c>
      <c r="M418" s="3" t="s">
        <v>23</v>
      </c>
      <c r="N418" s="3" t="s">
        <v>4</v>
      </c>
      <c r="O418" s="3" t="s">
        <v>5</v>
      </c>
      <c r="P418" s="3" t="s">
        <v>3</v>
      </c>
      <c r="Q418" s="3">
        <v>110</v>
      </c>
      <c r="R418" s="3">
        <v>85</v>
      </c>
      <c r="S418" s="3">
        <v>9350</v>
      </c>
      <c r="T418" s="3">
        <v>935</v>
      </c>
      <c r="U418" s="3">
        <v>10285</v>
      </c>
    </row>
    <row r="419" spans="1:21" x14ac:dyDescent="0.25">
      <c r="A419" s="1">
        <v>418</v>
      </c>
      <c r="B419" s="2">
        <v>45298</v>
      </c>
      <c r="C419" s="2">
        <v>45298</v>
      </c>
      <c r="D419" s="4">
        <v>2024</v>
      </c>
      <c r="E419" s="4">
        <v>1</v>
      </c>
      <c r="F419" s="4">
        <v>7</v>
      </c>
      <c r="G419" s="1" t="s">
        <v>31</v>
      </c>
      <c r="I419" s="1" t="s">
        <v>67</v>
      </c>
      <c r="J419" s="1" t="s">
        <v>68</v>
      </c>
      <c r="K419" s="3" t="s">
        <v>28</v>
      </c>
      <c r="L419" s="3" t="s">
        <v>6</v>
      </c>
      <c r="M419" s="3" t="s">
        <v>23</v>
      </c>
      <c r="N419" s="3" t="s">
        <v>4</v>
      </c>
      <c r="O419" s="3" t="s">
        <v>5</v>
      </c>
      <c r="P419" s="3" t="s">
        <v>3</v>
      </c>
      <c r="Q419" s="3">
        <v>560</v>
      </c>
      <c r="R419" s="3">
        <v>85</v>
      </c>
      <c r="S419" s="3">
        <v>47600</v>
      </c>
      <c r="T419" s="3">
        <v>4760</v>
      </c>
      <c r="U419" s="3">
        <v>52360.000000000007</v>
      </c>
    </row>
    <row r="420" spans="1:21" x14ac:dyDescent="0.25">
      <c r="A420" s="1">
        <v>419</v>
      </c>
      <c r="B420" s="2">
        <v>45298</v>
      </c>
      <c r="C420" s="2">
        <v>45298</v>
      </c>
      <c r="D420" s="4">
        <v>2024</v>
      </c>
      <c r="E420" s="4">
        <v>1</v>
      </c>
      <c r="F420" s="4">
        <v>7</v>
      </c>
      <c r="G420" s="1" t="s">
        <v>31</v>
      </c>
      <c r="I420" s="1" t="s">
        <v>57</v>
      </c>
      <c r="J420" s="1" t="s">
        <v>58</v>
      </c>
      <c r="K420" s="3" t="s">
        <v>28</v>
      </c>
      <c r="L420" s="3" t="s">
        <v>6</v>
      </c>
      <c r="M420" s="3" t="s">
        <v>23</v>
      </c>
      <c r="N420" s="3" t="s">
        <v>4</v>
      </c>
      <c r="O420" s="3" t="s">
        <v>5</v>
      </c>
      <c r="P420" s="3" t="s">
        <v>3</v>
      </c>
      <c r="Q420" s="3">
        <v>230</v>
      </c>
      <c r="R420" s="3">
        <v>85</v>
      </c>
      <c r="S420" s="3">
        <v>19550</v>
      </c>
      <c r="T420" s="3">
        <v>1955</v>
      </c>
      <c r="U420" s="3">
        <v>21505</v>
      </c>
    </row>
    <row r="421" spans="1:21" x14ac:dyDescent="0.25">
      <c r="A421" s="1">
        <v>420</v>
      </c>
      <c r="B421" s="2">
        <v>45298</v>
      </c>
      <c r="C421" s="2">
        <v>45298</v>
      </c>
      <c r="D421" s="4">
        <v>2024</v>
      </c>
      <c r="E421" s="4">
        <v>1</v>
      </c>
      <c r="F421" s="4">
        <v>7</v>
      </c>
      <c r="G421" s="1" t="s">
        <v>31</v>
      </c>
      <c r="I421" s="1" t="s">
        <v>69</v>
      </c>
      <c r="J421" s="1" t="s">
        <v>70</v>
      </c>
      <c r="K421" s="3" t="s">
        <v>28</v>
      </c>
      <c r="L421" s="3" t="s">
        <v>6</v>
      </c>
      <c r="M421" s="3" t="s">
        <v>23</v>
      </c>
      <c r="N421" s="3" t="s">
        <v>4</v>
      </c>
      <c r="O421" s="3" t="s">
        <v>5</v>
      </c>
      <c r="P421" s="3" t="s">
        <v>3</v>
      </c>
      <c r="Q421" s="3">
        <v>200</v>
      </c>
      <c r="R421" s="3">
        <v>85</v>
      </c>
      <c r="S421" s="3">
        <v>17000</v>
      </c>
      <c r="T421" s="3">
        <v>1700</v>
      </c>
      <c r="U421" s="3">
        <v>18700</v>
      </c>
    </row>
    <row r="422" spans="1:21" x14ac:dyDescent="0.25">
      <c r="A422" s="1">
        <v>421</v>
      </c>
      <c r="B422" s="2">
        <v>45298</v>
      </c>
      <c r="C422" s="2">
        <v>45298</v>
      </c>
      <c r="D422" s="4">
        <v>2024</v>
      </c>
      <c r="E422" s="4">
        <v>1</v>
      </c>
      <c r="F422" s="4">
        <v>7</v>
      </c>
      <c r="G422" s="1" t="s">
        <v>31</v>
      </c>
      <c r="I422" s="1" t="s">
        <v>61</v>
      </c>
      <c r="J422" s="1" t="s">
        <v>62</v>
      </c>
      <c r="K422" s="3" t="s">
        <v>28</v>
      </c>
      <c r="L422" s="3" t="s">
        <v>6</v>
      </c>
      <c r="M422" s="3" t="s">
        <v>23</v>
      </c>
      <c r="N422" s="3" t="s">
        <v>4</v>
      </c>
      <c r="O422" s="3" t="s">
        <v>5</v>
      </c>
      <c r="P422" s="3" t="s">
        <v>3</v>
      </c>
      <c r="Q422" s="3">
        <v>180</v>
      </c>
      <c r="R422" s="3">
        <v>85</v>
      </c>
      <c r="S422" s="3">
        <v>15300</v>
      </c>
      <c r="T422" s="3">
        <v>1530</v>
      </c>
      <c r="U422" s="3">
        <v>16830</v>
      </c>
    </row>
    <row r="423" spans="1:21" x14ac:dyDescent="0.25">
      <c r="A423" s="1">
        <v>422</v>
      </c>
      <c r="B423" s="2">
        <v>45298</v>
      </c>
      <c r="C423" s="2">
        <v>45298</v>
      </c>
      <c r="D423" s="4">
        <v>2024</v>
      </c>
      <c r="E423" s="4">
        <v>1</v>
      </c>
      <c r="F423" s="4">
        <v>7</v>
      </c>
      <c r="G423" s="1" t="s">
        <v>31</v>
      </c>
      <c r="I423" s="1" t="s">
        <v>135</v>
      </c>
      <c r="J423" s="1" t="s">
        <v>136</v>
      </c>
      <c r="K423" s="3" t="s">
        <v>28</v>
      </c>
      <c r="L423" s="3" t="s">
        <v>6</v>
      </c>
      <c r="M423" s="3" t="s">
        <v>23</v>
      </c>
      <c r="N423" s="3" t="s">
        <v>4</v>
      </c>
      <c r="O423" s="3" t="s">
        <v>5</v>
      </c>
      <c r="P423" s="3" t="s">
        <v>3</v>
      </c>
      <c r="Q423" s="3">
        <v>250</v>
      </c>
      <c r="R423" s="3">
        <v>85</v>
      </c>
      <c r="S423" s="3">
        <v>21250</v>
      </c>
      <c r="T423" s="3">
        <v>2125</v>
      </c>
      <c r="U423" s="3">
        <v>23375.000000000004</v>
      </c>
    </row>
    <row r="424" spans="1:21" x14ac:dyDescent="0.25">
      <c r="A424" s="1">
        <v>423</v>
      </c>
      <c r="B424" s="2">
        <v>45298</v>
      </c>
      <c r="C424" s="2">
        <v>45298</v>
      </c>
      <c r="D424" s="4">
        <v>2024</v>
      </c>
      <c r="E424" s="4">
        <v>1</v>
      </c>
      <c r="F424" s="4">
        <v>7</v>
      </c>
      <c r="G424" s="1" t="s">
        <v>31</v>
      </c>
      <c r="I424" s="1" t="s">
        <v>63</v>
      </c>
      <c r="J424" s="1" t="s">
        <v>64</v>
      </c>
      <c r="K424" s="3" t="s">
        <v>28</v>
      </c>
      <c r="L424" s="3" t="s">
        <v>6</v>
      </c>
      <c r="M424" s="3" t="s">
        <v>23</v>
      </c>
      <c r="N424" s="3" t="s">
        <v>4</v>
      </c>
      <c r="O424" s="3" t="s">
        <v>5</v>
      </c>
      <c r="P424" s="3" t="s">
        <v>3</v>
      </c>
      <c r="Q424" s="3">
        <v>130</v>
      </c>
      <c r="R424" s="3">
        <v>85</v>
      </c>
      <c r="S424" s="3">
        <v>11050</v>
      </c>
      <c r="T424" s="3">
        <v>1105</v>
      </c>
      <c r="U424" s="3">
        <v>12155.000000000002</v>
      </c>
    </row>
    <row r="425" spans="1:21" x14ac:dyDescent="0.25">
      <c r="A425" s="1">
        <v>424</v>
      </c>
      <c r="B425" s="2">
        <v>45298</v>
      </c>
      <c r="C425" s="2">
        <v>45298</v>
      </c>
      <c r="D425" s="4">
        <v>2024</v>
      </c>
      <c r="E425" s="4">
        <v>1</v>
      </c>
      <c r="F425" s="4">
        <v>7</v>
      </c>
      <c r="G425" s="1" t="s">
        <v>31</v>
      </c>
      <c r="I425" s="1" t="s">
        <v>135</v>
      </c>
      <c r="J425" s="1" t="s">
        <v>136</v>
      </c>
      <c r="K425" s="3" t="s">
        <v>28</v>
      </c>
      <c r="L425" s="3" t="s">
        <v>6</v>
      </c>
      <c r="M425" s="3" t="s">
        <v>23</v>
      </c>
      <c r="N425" s="3" t="s">
        <v>4</v>
      </c>
      <c r="O425" s="3" t="s">
        <v>5</v>
      </c>
      <c r="P425" s="3" t="s">
        <v>3</v>
      </c>
      <c r="Q425" s="3">
        <v>250</v>
      </c>
      <c r="R425" s="3">
        <v>85</v>
      </c>
      <c r="S425" s="3">
        <v>21250</v>
      </c>
      <c r="T425" s="3">
        <v>2125</v>
      </c>
      <c r="U425" s="3">
        <v>23375.000000000004</v>
      </c>
    </row>
    <row r="426" spans="1:21" x14ac:dyDescent="0.25">
      <c r="A426" s="1">
        <v>425</v>
      </c>
      <c r="B426" s="2">
        <v>45298</v>
      </c>
      <c r="C426" s="2">
        <v>45298</v>
      </c>
      <c r="D426" s="4">
        <v>2024</v>
      </c>
      <c r="E426" s="4">
        <v>1</v>
      </c>
      <c r="F426" s="4">
        <v>7</v>
      </c>
      <c r="G426" s="1" t="s">
        <v>31</v>
      </c>
      <c r="I426" s="1" t="s">
        <v>61</v>
      </c>
      <c r="J426" s="1" t="s">
        <v>62</v>
      </c>
      <c r="K426" s="3" t="s">
        <v>28</v>
      </c>
      <c r="L426" s="3" t="s">
        <v>6</v>
      </c>
      <c r="M426" s="3" t="s">
        <v>23</v>
      </c>
      <c r="N426" s="3" t="s">
        <v>4</v>
      </c>
      <c r="O426" s="3" t="s">
        <v>5</v>
      </c>
      <c r="P426" s="3" t="s">
        <v>3</v>
      </c>
      <c r="Q426" s="3">
        <v>110</v>
      </c>
      <c r="R426" s="3">
        <v>85</v>
      </c>
      <c r="S426" s="3">
        <v>9350</v>
      </c>
      <c r="T426" s="3">
        <v>935</v>
      </c>
      <c r="U426" s="3">
        <v>10285</v>
      </c>
    </row>
    <row r="427" spans="1:21" x14ac:dyDescent="0.25">
      <c r="A427" s="1">
        <v>426</v>
      </c>
      <c r="B427" s="2">
        <v>45298</v>
      </c>
      <c r="C427" s="2">
        <v>45298</v>
      </c>
      <c r="D427" s="4">
        <v>2024</v>
      </c>
      <c r="E427" s="4">
        <v>1</v>
      </c>
      <c r="F427" s="4">
        <v>7</v>
      </c>
      <c r="G427" s="1" t="s">
        <v>31</v>
      </c>
      <c r="I427" s="1" t="s">
        <v>61</v>
      </c>
      <c r="J427" s="1" t="s">
        <v>62</v>
      </c>
      <c r="K427" s="3" t="s">
        <v>28</v>
      </c>
      <c r="L427" s="3" t="s">
        <v>6</v>
      </c>
      <c r="M427" s="3" t="s">
        <v>23</v>
      </c>
      <c r="N427" s="3" t="s">
        <v>4</v>
      </c>
      <c r="O427" s="3" t="s">
        <v>5</v>
      </c>
      <c r="P427" s="3" t="s">
        <v>3</v>
      </c>
      <c r="Q427" s="3">
        <v>160</v>
      </c>
      <c r="R427" s="3">
        <v>85</v>
      </c>
      <c r="S427" s="3">
        <v>13600</v>
      </c>
      <c r="T427" s="3">
        <v>1360</v>
      </c>
      <c r="U427" s="3">
        <v>14960.000000000002</v>
      </c>
    </row>
    <row r="428" spans="1:21" x14ac:dyDescent="0.25">
      <c r="A428" s="1">
        <v>427</v>
      </c>
      <c r="B428" s="2">
        <v>45298</v>
      </c>
      <c r="C428" s="2">
        <v>45298</v>
      </c>
      <c r="D428" s="4">
        <v>2024</v>
      </c>
      <c r="E428" s="4">
        <v>1</v>
      </c>
      <c r="F428" s="4">
        <v>7</v>
      </c>
      <c r="G428" s="1" t="s">
        <v>31</v>
      </c>
      <c r="H428" s="1" t="s">
        <v>52</v>
      </c>
      <c r="I428" s="1" t="s">
        <v>53</v>
      </c>
      <c r="J428" s="1" t="s">
        <v>54</v>
      </c>
      <c r="K428" s="3" t="s">
        <v>28</v>
      </c>
      <c r="L428" s="3" t="s">
        <v>6</v>
      </c>
      <c r="M428" s="3" t="s">
        <v>23</v>
      </c>
      <c r="N428" s="3" t="s">
        <v>4</v>
      </c>
      <c r="O428" s="3" t="s">
        <v>5</v>
      </c>
      <c r="P428" s="3" t="s">
        <v>3</v>
      </c>
      <c r="Q428" s="3">
        <v>250</v>
      </c>
      <c r="R428" s="3">
        <v>85</v>
      </c>
      <c r="S428" s="3">
        <v>21250</v>
      </c>
      <c r="T428" s="3">
        <v>2125</v>
      </c>
      <c r="U428" s="3">
        <v>23375.000000000004</v>
      </c>
    </row>
    <row r="429" spans="1:21" x14ac:dyDescent="0.25">
      <c r="A429" s="1">
        <v>428</v>
      </c>
      <c r="B429" s="2">
        <v>45298</v>
      </c>
      <c r="C429" s="2">
        <v>45298</v>
      </c>
      <c r="D429" s="4">
        <v>2024</v>
      </c>
      <c r="E429" s="4">
        <v>1</v>
      </c>
      <c r="F429" s="4">
        <v>7</v>
      </c>
      <c r="G429" s="1" t="s">
        <v>31</v>
      </c>
      <c r="H429" s="1" t="s">
        <v>52</v>
      </c>
      <c r="I429" s="1" t="s">
        <v>53</v>
      </c>
      <c r="J429" s="1" t="s">
        <v>54</v>
      </c>
      <c r="K429" s="3" t="s">
        <v>28</v>
      </c>
      <c r="L429" s="3" t="s">
        <v>6</v>
      </c>
      <c r="M429" s="3" t="s">
        <v>23</v>
      </c>
      <c r="N429" s="3" t="s">
        <v>4</v>
      </c>
      <c r="O429" s="3" t="s">
        <v>5</v>
      </c>
      <c r="P429" s="3" t="s">
        <v>3</v>
      </c>
      <c r="Q429" s="3">
        <v>360</v>
      </c>
      <c r="R429" s="3">
        <v>85</v>
      </c>
      <c r="S429" s="3">
        <v>30600</v>
      </c>
      <c r="T429" s="3">
        <v>3060</v>
      </c>
      <c r="U429" s="3">
        <v>33660</v>
      </c>
    </row>
    <row r="430" spans="1:21" x14ac:dyDescent="0.25">
      <c r="A430" s="1">
        <v>429</v>
      </c>
      <c r="B430" s="2">
        <v>45299</v>
      </c>
      <c r="C430" s="2">
        <v>45299</v>
      </c>
      <c r="D430" s="4">
        <v>2024</v>
      </c>
      <c r="E430" s="4">
        <v>1</v>
      </c>
      <c r="F430" s="4">
        <v>8</v>
      </c>
      <c r="G430" s="1" t="s">
        <v>36</v>
      </c>
      <c r="I430" s="1" t="s">
        <v>106</v>
      </c>
      <c r="J430" s="1" t="s">
        <v>36</v>
      </c>
      <c r="K430" s="3" t="s">
        <v>119</v>
      </c>
      <c r="L430" s="3" t="s">
        <v>46</v>
      </c>
      <c r="M430" s="3" t="s">
        <v>23</v>
      </c>
      <c r="N430" s="3" t="s">
        <v>47</v>
      </c>
      <c r="O430" s="3" t="s">
        <v>2</v>
      </c>
      <c r="P430" s="3" t="s">
        <v>3</v>
      </c>
      <c r="Q430" s="3">
        <v>2895</v>
      </c>
      <c r="R430" s="3">
        <v>0</v>
      </c>
      <c r="S430" s="3">
        <v>0</v>
      </c>
      <c r="T430" s="3">
        <v>0</v>
      </c>
      <c r="U430" s="3">
        <v>0</v>
      </c>
    </row>
    <row r="431" spans="1:21" x14ac:dyDescent="0.25">
      <c r="A431" s="1">
        <v>430</v>
      </c>
      <c r="B431" s="2">
        <v>45299</v>
      </c>
      <c r="C431" s="2">
        <v>45299</v>
      </c>
      <c r="D431" s="4">
        <v>2024</v>
      </c>
      <c r="E431" s="4">
        <v>1</v>
      </c>
      <c r="F431" s="4">
        <v>8</v>
      </c>
      <c r="G431" s="1" t="s">
        <v>32</v>
      </c>
      <c r="I431" s="1" t="s">
        <v>41</v>
      </c>
      <c r="J431" s="1" t="s">
        <v>32</v>
      </c>
      <c r="K431" s="3" t="s">
        <v>119</v>
      </c>
      <c r="L431" s="3" t="s">
        <v>6</v>
      </c>
      <c r="M431" s="3" t="s">
        <v>23</v>
      </c>
      <c r="N431" s="3" t="s">
        <v>4</v>
      </c>
      <c r="O431" s="3" t="s">
        <v>2</v>
      </c>
      <c r="P431" s="3" t="s">
        <v>3</v>
      </c>
      <c r="Q431" s="3">
        <v>5185</v>
      </c>
      <c r="R431" s="3">
        <v>90</v>
      </c>
      <c r="S431" s="3">
        <v>466650</v>
      </c>
      <c r="T431" s="3">
        <v>46665</v>
      </c>
      <c r="U431" s="3">
        <v>513315.00000000006</v>
      </c>
    </row>
    <row r="432" spans="1:21" x14ac:dyDescent="0.25">
      <c r="A432" s="1">
        <v>431</v>
      </c>
      <c r="B432" s="2">
        <v>45299</v>
      </c>
      <c r="C432" s="2">
        <v>45299</v>
      </c>
      <c r="D432" s="4">
        <v>2024</v>
      </c>
      <c r="E432" s="4">
        <v>1</v>
      </c>
      <c r="F432" s="4">
        <v>8</v>
      </c>
      <c r="G432" s="1" t="s">
        <v>36</v>
      </c>
      <c r="I432" s="1" t="s">
        <v>48</v>
      </c>
      <c r="J432" s="1" t="s">
        <v>36</v>
      </c>
      <c r="K432" s="3" t="s">
        <v>119</v>
      </c>
      <c r="L432" s="3" t="s">
        <v>46</v>
      </c>
      <c r="M432" s="3" t="s">
        <v>23</v>
      </c>
      <c r="N432" s="3" t="s">
        <v>47</v>
      </c>
      <c r="O432" s="3" t="s">
        <v>2</v>
      </c>
      <c r="P432" s="3" t="s">
        <v>3</v>
      </c>
      <c r="Q432" s="3">
        <v>3320</v>
      </c>
      <c r="R432" s="3">
        <v>0</v>
      </c>
      <c r="S432" s="3">
        <v>0</v>
      </c>
      <c r="T432" s="3">
        <v>0</v>
      </c>
      <c r="U432" s="3">
        <v>0</v>
      </c>
    </row>
    <row r="433" spans="1:21" x14ac:dyDescent="0.25">
      <c r="A433" s="1">
        <v>432</v>
      </c>
      <c r="B433" s="2">
        <v>45299</v>
      </c>
      <c r="C433" s="2">
        <v>45299</v>
      </c>
      <c r="D433" s="4">
        <v>2024</v>
      </c>
      <c r="E433" s="4">
        <v>1</v>
      </c>
      <c r="F433" s="4">
        <v>8</v>
      </c>
      <c r="G433" s="1" t="s">
        <v>34</v>
      </c>
      <c r="I433" s="1" t="s">
        <v>71</v>
      </c>
      <c r="J433" s="1" t="s">
        <v>34</v>
      </c>
      <c r="K433" s="3" t="s">
        <v>119</v>
      </c>
      <c r="L433" s="3" t="s">
        <v>72</v>
      </c>
      <c r="M433" s="3" t="s">
        <v>141</v>
      </c>
      <c r="N433" s="3" t="s">
        <v>142</v>
      </c>
      <c r="O433" s="3" t="s">
        <v>2</v>
      </c>
      <c r="P433" s="3" t="s">
        <v>3</v>
      </c>
      <c r="Q433" s="3">
        <v>3485</v>
      </c>
      <c r="R433" s="3">
        <v>250</v>
      </c>
      <c r="S433" s="3">
        <v>871250</v>
      </c>
      <c r="T433" s="3">
        <v>87125</v>
      </c>
      <c r="U433" s="3">
        <v>958375.00000000012</v>
      </c>
    </row>
    <row r="434" spans="1:21" x14ac:dyDescent="0.25">
      <c r="A434" s="1">
        <v>433</v>
      </c>
      <c r="B434" s="2">
        <v>45299</v>
      </c>
      <c r="C434" s="2">
        <v>45299</v>
      </c>
      <c r="D434" s="4">
        <v>2024</v>
      </c>
      <c r="E434" s="4">
        <v>1</v>
      </c>
      <c r="F434" s="4">
        <v>8</v>
      </c>
      <c r="G434" s="1" t="s">
        <v>36</v>
      </c>
      <c r="I434" s="1" t="s">
        <v>115</v>
      </c>
      <c r="J434" s="1" t="s">
        <v>36</v>
      </c>
      <c r="K434" s="3" t="s">
        <v>119</v>
      </c>
      <c r="L434" s="3" t="s">
        <v>46</v>
      </c>
      <c r="M434" s="3" t="s">
        <v>23</v>
      </c>
      <c r="N434" s="3" t="s">
        <v>47</v>
      </c>
      <c r="O434" s="3" t="s">
        <v>2</v>
      </c>
      <c r="P434" s="3" t="s">
        <v>3</v>
      </c>
      <c r="Q434" s="3">
        <v>3100</v>
      </c>
      <c r="R434" s="3">
        <v>0</v>
      </c>
      <c r="S434" s="3">
        <v>0</v>
      </c>
      <c r="T434" s="3">
        <v>0</v>
      </c>
      <c r="U434" s="3">
        <v>0</v>
      </c>
    </row>
    <row r="435" spans="1:21" x14ac:dyDescent="0.25">
      <c r="A435" s="1">
        <v>434</v>
      </c>
      <c r="B435" s="2">
        <v>45299</v>
      </c>
      <c r="C435" s="2">
        <v>45299</v>
      </c>
      <c r="D435" s="4">
        <v>2024</v>
      </c>
      <c r="E435" s="4">
        <v>1</v>
      </c>
      <c r="F435" s="4">
        <v>8</v>
      </c>
      <c r="G435" s="1" t="s">
        <v>32</v>
      </c>
      <c r="I435" s="1" t="s">
        <v>41</v>
      </c>
      <c r="J435" s="1" t="s">
        <v>32</v>
      </c>
      <c r="K435" s="3" t="s">
        <v>119</v>
      </c>
      <c r="L435" s="3" t="s">
        <v>6</v>
      </c>
      <c r="M435" s="3" t="s">
        <v>23</v>
      </c>
      <c r="N435" s="3" t="s">
        <v>4</v>
      </c>
      <c r="O435" s="3" t="s">
        <v>2</v>
      </c>
      <c r="P435" s="3" t="s">
        <v>3</v>
      </c>
      <c r="Q435" s="3">
        <v>5625</v>
      </c>
      <c r="R435" s="3">
        <v>90</v>
      </c>
      <c r="S435" s="3">
        <v>506250</v>
      </c>
      <c r="T435" s="3">
        <v>50625</v>
      </c>
      <c r="U435" s="3">
        <v>556875</v>
      </c>
    </row>
    <row r="436" spans="1:21" x14ac:dyDescent="0.25">
      <c r="A436" s="1">
        <v>435</v>
      </c>
      <c r="B436" s="2">
        <v>45299</v>
      </c>
      <c r="C436" s="2">
        <v>45299</v>
      </c>
      <c r="D436" s="4">
        <v>2024</v>
      </c>
      <c r="E436" s="4">
        <v>1</v>
      </c>
      <c r="F436" s="4">
        <v>8</v>
      </c>
      <c r="G436" s="1" t="s">
        <v>36</v>
      </c>
      <c r="I436" s="1" t="s">
        <v>81</v>
      </c>
      <c r="J436" s="1" t="s">
        <v>36</v>
      </c>
      <c r="K436" s="3" t="s">
        <v>119</v>
      </c>
      <c r="L436" s="3" t="s">
        <v>46</v>
      </c>
      <c r="M436" s="3" t="s">
        <v>23</v>
      </c>
      <c r="N436" s="3" t="s">
        <v>47</v>
      </c>
      <c r="O436" s="3" t="s">
        <v>2</v>
      </c>
      <c r="P436" s="3" t="s">
        <v>3</v>
      </c>
      <c r="Q436" s="3">
        <v>3000</v>
      </c>
      <c r="R436" s="3">
        <v>0</v>
      </c>
      <c r="S436" s="3">
        <v>0</v>
      </c>
      <c r="T436" s="3">
        <v>0</v>
      </c>
      <c r="U436" s="3">
        <v>0</v>
      </c>
    </row>
    <row r="437" spans="1:21" x14ac:dyDescent="0.25">
      <c r="A437" s="1">
        <v>436</v>
      </c>
      <c r="B437" s="2">
        <v>45299</v>
      </c>
      <c r="C437" s="2">
        <v>45299</v>
      </c>
      <c r="D437" s="4">
        <v>2024</v>
      </c>
      <c r="E437" s="4">
        <v>1</v>
      </c>
      <c r="F437" s="4">
        <v>8</v>
      </c>
      <c r="G437" s="1" t="s">
        <v>32</v>
      </c>
      <c r="I437" s="1" t="s">
        <v>41</v>
      </c>
      <c r="J437" s="1" t="s">
        <v>32</v>
      </c>
      <c r="K437" s="3" t="s">
        <v>119</v>
      </c>
      <c r="L437" s="3" t="s">
        <v>6</v>
      </c>
      <c r="M437" s="3" t="s">
        <v>23</v>
      </c>
      <c r="N437" s="3" t="s">
        <v>4</v>
      </c>
      <c r="O437" s="3" t="s">
        <v>2</v>
      </c>
      <c r="P437" s="3" t="s">
        <v>3</v>
      </c>
      <c r="Q437" s="3">
        <v>4965</v>
      </c>
      <c r="R437" s="3">
        <v>90</v>
      </c>
      <c r="S437" s="3">
        <v>446850</v>
      </c>
      <c r="T437" s="3">
        <v>44685</v>
      </c>
      <c r="U437" s="3">
        <v>491535.00000000006</v>
      </c>
    </row>
    <row r="438" spans="1:21" x14ac:dyDescent="0.25">
      <c r="A438" s="1">
        <v>437</v>
      </c>
      <c r="B438" s="2">
        <v>45299</v>
      </c>
      <c r="C438" s="2">
        <v>45299</v>
      </c>
      <c r="D438" s="4">
        <v>2024</v>
      </c>
      <c r="E438" s="4">
        <v>1</v>
      </c>
      <c r="F438" s="4">
        <v>8</v>
      </c>
      <c r="G438" s="1" t="s">
        <v>36</v>
      </c>
      <c r="I438" s="1" t="s">
        <v>80</v>
      </c>
      <c r="J438" s="1" t="s">
        <v>36</v>
      </c>
      <c r="K438" s="3" t="s">
        <v>119</v>
      </c>
      <c r="L438" s="3" t="s">
        <v>46</v>
      </c>
      <c r="M438" s="3" t="s">
        <v>23</v>
      </c>
      <c r="N438" s="3" t="s">
        <v>47</v>
      </c>
      <c r="O438" s="3" t="s">
        <v>2</v>
      </c>
      <c r="P438" s="3" t="s">
        <v>3</v>
      </c>
      <c r="Q438" s="3">
        <v>2870</v>
      </c>
      <c r="R438" s="3">
        <v>0</v>
      </c>
      <c r="S438" s="3">
        <v>0</v>
      </c>
      <c r="T438" s="3">
        <v>0</v>
      </c>
      <c r="U438" s="3">
        <v>0</v>
      </c>
    </row>
    <row r="439" spans="1:21" x14ac:dyDescent="0.25">
      <c r="A439" s="1">
        <v>438</v>
      </c>
      <c r="B439" s="2">
        <v>45299</v>
      </c>
      <c r="C439" s="2">
        <v>45299</v>
      </c>
      <c r="D439" s="4">
        <v>2024</v>
      </c>
      <c r="E439" s="4">
        <v>1</v>
      </c>
      <c r="F439" s="4">
        <v>8</v>
      </c>
      <c r="G439" s="1" t="s">
        <v>32</v>
      </c>
      <c r="I439" s="1" t="s">
        <v>41</v>
      </c>
      <c r="J439" s="1" t="s">
        <v>32</v>
      </c>
      <c r="K439" s="3" t="s">
        <v>119</v>
      </c>
      <c r="L439" s="3" t="s">
        <v>6</v>
      </c>
      <c r="M439" s="3" t="s">
        <v>23</v>
      </c>
      <c r="N439" s="3" t="s">
        <v>4</v>
      </c>
      <c r="O439" s="3" t="s">
        <v>2</v>
      </c>
      <c r="P439" s="3" t="s">
        <v>3</v>
      </c>
      <c r="Q439" s="3">
        <v>5270</v>
      </c>
      <c r="R439" s="3">
        <v>90</v>
      </c>
      <c r="S439" s="3">
        <v>474300</v>
      </c>
      <c r="T439" s="3">
        <v>47430</v>
      </c>
      <c r="U439" s="3">
        <v>521730.00000000006</v>
      </c>
    </row>
    <row r="440" spans="1:21" x14ac:dyDescent="0.25">
      <c r="A440" s="1">
        <v>439</v>
      </c>
      <c r="B440" s="2">
        <v>45299</v>
      </c>
      <c r="C440" s="2">
        <v>45299</v>
      </c>
      <c r="D440" s="4">
        <v>2024</v>
      </c>
      <c r="E440" s="4">
        <v>1</v>
      </c>
      <c r="F440" s="4">
        <v>8</v>
      </c>
      <c r="G440" s="1" t="s">
        <v>31</v>
      </c>
      <c r="H440" s="1" t="s">
        <v>52</v>
      </c>
      <c r="I440" s="1" t="s">
        <v>53</v>
      </c>
      <c r="J440" s="1" t="s">
        <v>54</v>
      </c>
      <c r="K440" s="3" t="s">
        <v>28</v>
      </c>
      <c r="L440" s="3" t="s">
        <v>6</v>
      </c>
      <c r="M440" s="3" t="s">
        <v>23</v>
      </c>
      <c r="N440" s="3" t="s">
        <v>4</v>
      </c>
      <c r="O440" s="3" t="s">
        <v>5</v>
      </c>
      <c r="P440" s="3" t="s">
        <v>3</v>
      </c>
      <c r="Q440" s="3">
        <v>510</v>
      </c>
      <c r="R440" s="3">
        <v>85</v>
      </c>
      <c r="S440" s="3">
        <v>43350</v>
      </c>
      <c r="T440" s="3">
        <v>4335</v>
      </c>
      <c r="U440" s="3">
        <v>47685.000000000007</v>
      </c>
    </row>
    <row r="441" spans="1:21" x14ac:dyDescent="0.25">
      <c r="A441" s="1">
        <v>440</v>
      </c>
      <c r="B441" s="2">
        <v>45299</v>
      </c>
      <c r="C441" s="2">
        <v>45299</v>
      </c>
      <c r="D441" s="4">
        <v>2024</v>
      </c>
      <c r="E441" s="4">
        <v>1</v>
      </c>
      <c r="F441" s="4">
        <v>8</v>
      </c>
      <c r="G441" s="1" t="s">
        <v>31</v>
      </c>
      <c r="H441" s="1" t="s">
        <v>52</v>
      </c>
      <c r="I441" s="1" t="s">
        <v>53</v>
      </c>
      <c r="J441" s="1" t="s">
        <v>54</v>
      </c>
      <c r="K441" s="3" t="s">
        <v>28</v>
      </c>
      <c r="L441" s="3" t="s">
        <v>6</v>
      </c>
      <c r="M441" s="3" t="s">
        <v>23</v>
      </c>
      <c r="N441" s="3" t="s">
        <v>4</v>
      </c>
      <c r="O441" s="3" t="s">
        <v>5</v>
      </c>
      <c r="P441" s="3" t="s">
        <v>3</v>
      </c>
      <c r="Q441" s="3">
        <v>240</v>
      </c>
      <c r="R441" s="3">
        <v>85</v>
      </c>
      <c r="S441" s="3">
        <v>20400</v>
      </c>
      <c r="T441" s="3">
        <v>2040</v>
      </c>
      <c r="U441" s="3">
        <v>22440</v>
      </c>
    </row>
    <row r="442" spans="1:21" x14ac:dyDescent="0.25">
      <c r="A442" s="1">
        <v>441</v>
      </c>
      <c r="B442" s="2">
        <v>45299</v>
      </c>
      <c r="C442" s="2">
        <v>45299</v>
      </c>
      <c r="D442" s="4">
        <v>2024</v>
      </c>
      <c r="E442" s="4">
        <v>1</v>
      </c>
      <c r="F442" s="4">
        <v>8</v>
      </c>
      <c r="G442" s="1" t="s">
        <v>31</v>
      </c>
      <c r="H442" s="1" t="s">
        <v>52</v>
      </c>
      <c r="I442" s="1" t="s">
        <v>53</v>
      </c>
      <c r="J442" s="1" t="s">
        <v>54</v>
      </c>
      <c r="K442" s="3" t="s">
        <v>28</v>
      </c>
      <c r="L442" s="3" t="s">
        <v>6</v>
      </c>
      <c r="M442" s="3" t="s">
        <v>23</v>
      </c>
      <c r="N442" s="3" t="s">
        <v>4</v>
      </c>
      <c r="O442" s="3" t="s">
        <v>5</v>
      </c>
      <c r="P442" s="3" t="s">
        <v>3</v>
      </c>
      <c r="Q442" s="3">
        <v>300</v>
      </c>
      <c r="R442" s="3">
        <v>85</v>
      </c>
      <c r="S442" s="3">
        <v>25500</v>
      </c>
      <c r="T442" s="3">
        <v>2550</v>
      </c>
      <c r="U442" s="3">
        <v>28050.000000000004</v>
      </c>
    </row>
    <row r="443" spans="1:21" x14ac:dyDescent="0.25">
      <c r="A443" s="1">
        <v>442</v>
      </c>
      <c r="B443" s="2">
        <v>45299</v>
      </c>
      <c r="C443" s="2">
        <v>45299</v>
      </c>
      <c r="D443" s="4">
        <v>2024</v>
      </c>
      <c r="E443" s="4">
        <v>1</v>
      </c>
      <c r="F443" s="4">
        <v>8</v>
      </c>
      <c r="G443" s="1" t="s">
        <v>31</v>
      </c>
      <c r="H443" s="1" t="s">
        <v>52</v>
      </c>
      <c r="I443" s="1" t="s">
        <v>53</v>
      </c>
      <c r="J443" s="1" t="s">
        <v>54</v>
      </c>
      <c r="K443" s="3" t="s">
        <v>28</v>
      </c>
      <c r="L443" s="3" t="s">
        <v>6</v>
      </c>
      <c r="M443" s="3" t="s">
        <v>23</v>
      </c>
      <c r="N443" s="3" t="s">
        <v>4</v>
      </c>
      <c r="O443" s="3" t="s">
        <v>5</v>
      </c>
      <c r="P443" s="3" t="s">
        <v>3</v>
      </c>
      <c r="Q443" s="3">
        <v>340</v>
      </c>
      <c r="R443" s="3">
        <v>85</v>
      </c>
      <c r="S443" s="3">
        <v>28900</v>
      </c>
      <c r="T443" s="3">
        <v>2890</v>
      </c>
      <c r="U443" s="3">
        <v>31790.000000000004</v>
      </c>
    </row>
    <row r="444" spans="1:21" x14ac:dyDescent="0.25">
      <c r="A444" s="1">
        <v>443</v>
      </c>
      <c r="B444" s="2">
        <v>45299</v>
      </c>
      <c r="C444" s="2">
        <v>45299</v>
      </c>
      <c r="D444" s="4">
        <v>2024</v>
      </c>
      <c r="E444" s="4">
        <v>1</v>
      </c>
      <c r="F444" s="4">
        <v>8</v>
      </c>
      <c r="G444" s="1" t="s">
        <v>31</v>
      </c>
      <c r="I444" s="1" t="s">
        <v>65</v>
      </c>
      <c r="J444" s="1" t="s">
        <v>66</v>
      </c>
      <c r="K444" s="3" t="s">
        <v>28</v>
      </c>
      <c r="L444" s="3" t="s">
        <v>6</v>
      </c>
      <c r="M444" s="3" t="s">
        <v>23</v>
      </c>
      <c r="N444" s="3" t="s">
        <v>4</v>
      </c>
      <c r="O444" s="3" t="s">
        <v>5</v>
      </c>
      <c r="P444" s="3" t="s">
        <v>3</v>
      </c>
      <c r="Q444" s="3">
        <v>270</v>
      </c>
      <c r="R444" s="3">
        <v>85</v>
      </c>
      <c r="S444" s="3">
        <v>22950</v>
      </c>
      <c r="T444" s="3">
        <v>2295</v>
      </c>
      <c r="U444" s="3">
        <v>25245.000000000004</v>
      </c>
    </row>
    <row r="445" spans="1:21" x14ac:dyDescent="0.25">
      <c r="A445" s="1">
        <v>444</v>
      </c>
      <c r="B445" s="2">
        <v>45299</v>
      </c>
      <c r="C445" s="2">
        <v>45299</v>
      </c>
      <c r="D445" s="4">
        <v>2024</v>
      </c>
      <c r="E445" s="4">
        <v>1</v>
      </c>
      <c r="F445" s="4">
        <v>8</v>
      </c>
      <c r="G445" s="1" t="s">
        <v>31</v>
      </c>
      <c r="I445" s="1" t="s">
        <v>59</v>
      </c>
      <c r="J445" s="1" t="s">
        <v>60</v>
      </c>
      <c r="K445" s="3" t="s">
        <v>28</v>
      </c>
      <c r="L445" s="3" t="s">
        <v>6</v>
      </c>
      <c r="M445" s="3" t="s">
        <v>23</v>
      </c>
      <c r="N445" s="3" t="s">
        <v>4</v>
      </c>
      <c r="O445" s="3" t="s">
        <v>5</v>
      </c>
      <c r="P445" s="3" t="s">
        <v>3</v>
      </c>
      <c r="Q445" s="3">
        <v>340</v>
      </c>
      <c r="R445" s="3">
        <v>85</v>
      </c>
      <c r="S445" s="3">
        <v>28900</v>
      </c>
      <c r="T445" s="3">
        <v>2890</v>
      </c>
      <c r="U445" s="3">
        <v>31790.000000000004</v>
      </c>
    </row>
    <row r="446" spans="1:21" x14ac:dyDescent="0.25">
      <c r="A446" s="1">
        <v>445</v>
      </c>
      <c r="B446" s="2">
        <v>45299</v>
      </c>
      <c r="C446" s="2">
        <v>45299</v>
      </c>
      <c r="D446" s="4">
        <v>2024</v>
      </c>
      <c r="E446" s="4">
        <v>1</v>
      </c>
      <c r="F446" s="4">
        <v>8</v>
      </c>
      <c r="G446" s="1" t="s">
        <v>31</v>
      </c>
      <c r="I446" s="1" t="s">
        <v>100</v>
      </c>
      <c r="J446" s="1" t="s">
        <v>101</v>
      </c>
      <c r="K446" s="3" t="s">
        <v>28</v>
      </c>
      <c r="L446" s="3" t="s">
        <v>6</v>
      </c>
      <c r="M446" s="3" t="s">
        <v>23</v>
      </c>
      <c r="N446" s="3" t="s">
        <v>4</v>
      </c>
      <c r="O446" s="3" t="s">
        <v>5</v>
      </c>
      <c r="P446" s="3" t="s">
        <v>3</v>
      </c>
      <c r="Q446" s="3">
        <v>250</v>
      </c>
      <c r="R446" s="3">
        <v>85</v>
      </c>
      <c r="S446" s="3">
        <v>21250</v>
      </c>
      <c r="T446" s="3">
        <v>2125</v>
      </c>
      <c r="U446" s="3">
        <v>23375.000000000004</v>
      </c>
    </row>
    <row r="447" spans="1:21" x14ac:dyDescent="0.25">
      <c r="A447" s="1">
        <v>446</v>
      </c>
      <c r="B447" s="2">
        <v>45299</v>
      </c>
      <c r="C447" s="2">
        <v>45299</v>
      </c>
      <c r="D447" s="4">
        <v>2024</v>
      </c>
      <c r="E447" s="4">
        <v>1</v>
      </c>
      <c r="F447" s="4">
        <v>8</v>
      </c>
      <c r="G447" s="1" t="s">
        <v>31</v>
      </c>
      <c r="I447" s="1" t="s">
        <v>57</v>
      </c>
      <c r="J447" s="1" t="s">
        <v>58</v>
      </c>
      <c r="K447" s="3" t="s">
        <v>28</v>
      </c>
      <c r="L447" s="3" t="s">
        <v>6</v>
      </c>
      <c r="M447" s="3" t="s">
        <v>23</v>
      </c>
      <c r="N447" s="3" t="s">
        <v>4</v>
      </c>
      <c r="O447" s="3" t="s">
        <v>5</v>
      </c>
      <c r="P447" s="3" t="s">
        <v>3</v>
      </c>
      <c r="Q447" s="3">
        <v>170</v>
      </c>
      <c r="R447" s="3">
        <v>85</v>
      </c>
      <c r="S447" s="3">
        <v>14450</v>
      </c>
      <c r="T447" s="3">
        <v>1445</v>
      </c>
      <c r="U447" s="3">
        <v>15895.000000000002</v>
      </c>
    </row>
    <row r="448" spans="1:21" x14ac:dyDescent="0.25">
      <c r="A448" s="1">
        <v>447</v>
      </c>
      <c r="B448" s="2">
        <v>45299</v>
      </c>
      <c r="C448" s="2">
        <v>45299</v>
      </c>
      <c r="D448" s="4">
        <v>2024</v>
      </c>
      <c r="E448" s="4">
        <v>1</v>
      </c>
      <c r="F448" s="4">
        <v>8</v>
      </c>
      <c r="G448" s="1" t="s">
        <v>31</v>
      </c>
      <c r="I448" s="1" t="s">
        <v>100</v>
      </c>
      <c r="J448" s="1" t="s">
        <v>101</v>
      </c>
      <c r="K448" s="3" t="s">
        <v>28</v>
      </c>
      <c r="L448" s="3" t="s">
        <v>6</v>
      </c>
      <c r="M448" s="3" t="s">
        <v>23</v>
      </c>
      <c r="N448" s="3" t="s">
        <v>4</v>
      </c>
      <c r="O448" s="3" t="s">
        <v>5</v>
      </c>
      <c r="P448" s="3" t="s">
        <v>3</v>
      </c>
      <c r="Q448" s="3">
        <v>170</v>
      </c>
      <c r="R448" s="3">
        <v>85</v>
      </c>
      <c r="S448" s="3">
        <v>14450</v>
      </c>
      <c r="T448" s="3">
        <v>1445</v>
      </c>
      <c r="U448" s="3">
        <v>15895.000000000002</v>
      </c>
    </row>
    <row r="449" spans="1:21" x14ac:dyDescent="0.25">
      <c r="A449" s="1">
        <v>448</v>
      </c>
      <c r="B449" s="2">
        <v>45299</v>
      </c>
      <c r="C449" s="2">
        <v>45299</v>
      </c>
      <c r="D449" s="4">
        <v>2024</v>
      </c>
      <c r="E449" s="4">
        <v>1</v>
      </c>
      <c r="F449" s="4">
        <v>8</v>
      </c>
      <c r="G449" s="1" t="s">
        <v>31</v>
      </c>
      <c r="I449" s="1" t="s">
        <v>61</v>
      </c>
      <c r="J449" s="1" t="s">
        <v>62</v>
      </c>
      <c r="K449" s="3" t="s">
        <v>28</v>
      </c>
      <c r="L449" s="3" t="s">
        <v>6</v>
      </c>
      <c r="M449" s="3" t="s">
        <v>23</v>
      </c>
      <c r="N449" s="3" t="s">
        <v>4</v>
      </c>
      <c r="O449" s="3" t="s">
        <v>5</v>
      </c>
      <c r="P449" s="3" t="s">
        <v>3</v>
      </c>
      <c r="Q449" s="3">
        <v>240</v>
      </c>
      <c r="R449" s="3">
        <v>85</v>
      </c>
      <c r="S449" s="3">
        <v>20400</v>
      </c>
      <c r="T449" s="3">
        <v>2040</v>
      </c>
      <c r="U449" s="3">
        <v>22440</v>
      </c>
    </row>
    <row r="450" spans="1:21" x14ac:dyDescent="0.25">
      <c r="A450" s="1">
        <v>449</v>
      </c>
      <c r="B450" s="2">
        <v>45299</v>
      </c>
      <c r="C450" s="2">
        <v>45299</v>
      </c>
      <c r="D450" s="4">
        <v>2024</v>
      </c>
      <c r="E450" s="4">
        <v>1</v>
      </c>
      <c r="F450" s="4">
        <v>8</v>
      </c>
      <c r="G450" s="1" t="s">
        <v>31</v>
      </c>
      <c r="I450" s="1" t="s">
        <v>59</v>
      </c>
      <c r="J450" s="1" t="s">
        <v>60</v>
      </c>
      <c r="K450" s="3" t="s">
        <v>28</v>
      </c>
      <c r="L450" s="3" t="s">
        <v>6</v>
      </c>
      <c r="M450" s="3" t="s">
        <v>23</v>
      </c>
      <c r="N450" s="3" t="s">
        <v>4</v>
      </c>
      <c r="O450" s="3" t="s">
        <v>5</v>
      </c>
      <c r="P450" s="3" t="s">
        <v>3</v>
      </c>
      <c r="Q450" s="3">
        <v>210</v>
      </c>
      <c r="R450" s="3">
        <v>85</v>
      </c>
      <c r="S450" s="3">
        <v>17850</v>
      </c>
      <c r="T450" s="3">
        <v>1785</v>
      </c>
      <c r="U450" s="3">
        <v>19635</v>
      </c>
    </row>
    <row r="451" spans="1:21" x14ac:dyDescent="0.25">
      <c r="A451" s="1">
        <v>450</v>
      </c>
      <c r="B451" s="2">
        <v>45299</v>
      </c>
      <c r="C451" s="2">
        <v>45299</v>
      </c>
      <c r="D451" s="4">
        <v>2024</v>
      </c>
      <c r="E451" s="4">
        <v>1</v>
      </c>
      <c r="F451" s="4">
        <v>8</v>
      </c>
      <c r="G451" s="1" t="s">
        <v>31</v>
      </c>
      <c r="I451" s="1" t="s">
        <v>65</v>
      </c>
      <c r="J451" s="1" t="s">
        <v>66</v>
      </c>
      <c r="K451" s="3" t="s">
        <v>28</v>
      </c>
      <c r="L451" s="3" t="s">
        <v>6</v>
      </c>
      <c r="M451" s="3" t="s">
        <v>23</v>
      </c>
      <c r="N451" s="3" t="s">
        <v>4</v>
      </c>
      <c r="O451" s="3" t="s">
        <v>5</v>
      </c>
      <c r="P451" s="3" t="s">
        <v>3</v>
      </c>
      <c r="Q451" s="3">
        <v>240</v>
      </c>
      <c r="R451" s="3">
        <v>85</v>
      </c>
      <c r="S451" s="3">
        <v>20400</v>
      </c>
      <c r="T451" s="3">
        <v>2040</v>
      </c>
      <c r="U451" s="3">
        <v>22440</v>
      </c>
    </row>
    <row r="452" spans="1:21" x14ac:dyDescent="0.25">
      <c r="A452" s="1">
        <v>451</v>
      </c>
      <c r="B452" s="2">
        <v>45299</v>
      </c>
      <c r="C452" s="2">
        <v>45299</v>
      </c>
      <c r="D452" s="4">
        <v>2024</v>
      </c>
      <c r="E452" s="4">
        <v>1</v>
      </c>
      <c r="F452" s="4">
        <v>8</v>
      </c>
      <c r="G452" s="1" t="s">
        <v>31</v>
      </c>
      <c r="I452" s="1" t="s">
        <v>63</v>
      </c>
      <c r="J452" s="1" t="s">
        <v>64</v>
      </c>
      <c r="K452" s="3" t="s">
        <v>28</v>
      </c>
      <c r="L452" s="3" t="s">
        <v>6</v>
      </c>
      <c r="M452" s="3" t="s">
        <v>23</v>
      </c>
      <c r="N452" s="3" t="s">
        <v>4</v>
      </c>
      <c r="O452" s="3" t="s">
        <v>5</v>
      </c>
      <c r="P452" s="3" t="s">
        <v>3</v>
      </c>
      <c r="Q452" s="3">
        <v>240</v>
      </c>
      <c r="R452" s="3">
        <v>85</v>
      </c>
      <c r="S452" s="3">
        <v>20400</v>
      </c>
      <c r="T452" s="3">
        <v>2040</v>
      </c>
      <c r="U452" s="3">
        <v>22440</v>
      </c>
    </row>
    <row r="453" spans="1:21" x14ac:dyDescent="0.25">
      <c r="A453" s="1">
        <v>452</v>
      </c>
      <c r="B453" s="2">
        <v>45299</v>
      </c>
      <c r="C453" s="2">
        <v>45299</v>
      </c>
      <c r="D453" s="4">
        <v>2024</v>
      </c>
      <c r="E453" s="4">
        <v>1</v>
      </c>
      <c r="F453" s="4">
        <v>8</v>
      </c>
      <c r="G453" s="1" t="s">
        <v>31</v>
      </c>
      <c r="I453" s="1" t="s">
        <v>55</v>
      </c>
      <c r="J453" s="1" t="s">
        <v>31</v>
      </c>
      <c r="K453" s="3" t="s">
        <v>119</v>
      </c>
      <c r="L453" s="3" t="s">
        <v>6</v>
      </c>
      <c r="M453" s="3" t="s">
        <v>23</v>
      </c>
      <c r="N453" s="3" t="s">
        <v>4</v>
      </c>
      <c r="O453" s="3" t="s">
        <v>2</v>
      </c>
      <c r="P453" s="3" t="s">
        <v>3</v>
      </c>
      <c r="Q453" s="3">
        <v>3350</v>
      </c>
      <c r="R453" s="3">
        <v>85</v>
      </c>
      <c r="S453" s="3">
        <v>284750</v>
      </c>
      <c r="T453" s="3">
        <v>28475</v>
      </c>
      <c r="U453" s="3">
        <v>313225</v>
      </c>
    </row>
    <row r="454" spans="1:21" x14ac:dyDescent="0.25">
      <c r="A454" s="1">
        <v>453</v>
      </c>
      <c r="B454" s="2">
        <v>45299</v>
      </c>
      <c r="C454" s="2">
        <v>45299</v>
      </c>
      <c r="D454" s="4">
        <v>2024</v>
      </c>
      <c r="E454" s="4">
        <v>1</v>
      </c>
      <c r="F454" s="4">
        <v>8</v>
      </c>
      <c r="G454" s="1" t="s">
        <v>31</v>
      </c>
      <c r="I454" s="1" t="s">
        <v>57</v>
      </c>
      <c r="J454" s="1" t="s">
        <v>58</v>
      </c>
      <c r="K454" s="3" t="s">
        <v>28</v>
      </c>
      <c r="L454" s="3" t="s">
        <v>6</v>
      </c>
      <c r="M454" s="3" t="s">
        <v>23</v>
      </c>
      <c r="N454" s="3" t="s">
        <v>4</v>
      </c>
      <c r="O454" s="3" t="s">
        <v>5</v>
      </c>
      <c r="P454" s="3" t="s">
        <v>3</v>
      </c>
      <c r="Q454" s="3">
        <v>170</v>
      </c>
      <c r="R454" s="3">
        <v>85</v>
      </c>
      <c r="S454" s="3">
        <v>14450</v>
      </c>
      <c r="T454" s="3">
        <v>1445</v>
      </c>
      <c r="U454" s="3">
        <v>15895.000000000002</v>
      </c>
    </row>
    <row r="455" spans="1:21" x14ac:dyDescent="0.25">
      <c r="A455" s="1">
        <v>454</v>
      </c>
      <c r="B455" s="2">
        <v>45299</v>
      </c>
      <c r="C455" s="2">
        <v>45299</v>
      </c>
      <c r="D455" s="4">
        <v>2024</v>
      </c>
      <c r="E455" s="4">
        <v>1</v>
      </c>
      <c r="F455" s="4">
        <v>8</v>
      </c>
      <c r="G455" s="1" t="s">
        <v>31</v>
      </c>
      <c r="I455" s="1" t="s">
        <v>37</v>
      </c>
      <c r="J455" s="1" t="s">
        <v>38</v>
      </c>
      <c r="K455" s="3" t="s">
        <v>28</v>
      </c>
      <c r="L455" s="3" t="s">
        <v>6</v>
      </c>
      <c r="M455" s="3" t="s">
        <v>23</v>
      </c>
      <c r="N455" s="3" t="s">
        <v>4</v>
      </c>
      <c r="O455" s="3" t="s">
        <v>5</v>
      </c>
      <c r="P455" s="3" t="s">
        <v>3</v>
      </c>
      <c r="Q455" s="3">
        <v>190</v>
      </c>
      <c r="R455" s="3">
        <v>85</v>
      </c>
      <c r="S455" s="3">
        <v>16150</v>
      </c>
      <c r="T455" s="3">
        <v>1615</v>
      </c>
      <c r="U455" s="3">
        <v>17765</v>
      </c>
    </row>
    <row r="456" spans="1:21" x14ac:dyDescent="0.25">
      <c r="A456" s="1">
        <v>455</v>
      </c>
      <c r="B456" s="2">
        <v>45299</v>
      </c>
      <c r="C456" s="2">
        <v>45299</v>
      </c>
      <c r="D456" s="4">
        <v>2024</v>
      </c>
      <c r="E456" s="4">
        <v>1</v>
      </c>
      <c r="F456" s="4">
        <v>8</v>
      </c>
      <c r="G456" s="1" t="s">
        <v>31</v>
      </c>
      <c r="I456" s="1" t="s">
        <v>25</v>
      </c>
      <c r="J456" s="1" t="s">
        <v>29</v>
      </c>
      <c r="K456" s="3" t="s">
        <v>28</v>
      </c>
      <c r="L456" s="3" t="s">
        <v>6</v>
      </c>
      <c r="M456" s="3" t="s">
        <v>23</v>
      </c>
      <c r="N456" s="3" t="s">
        <v>4</v>
      </c>
      <c r="O456" s="3" t="s">
        <v>5</v>
      </c>
      <c r="P456" s="3" t="s">
        <v>3</v>
      </c>
      <c r="Q456" s="3">
        <v>330</v>
      </c>
      <c r="R456" s="3">
        <v>85</v>
      </c>
      <c r="S456" s="3">
        <v>28050</v>
      </c>
      <c r="T456" s="3">
        <v>2805</v>
      </c>
      <c r="U456" s="3">
        <v>30855.000000000004</v>
      </c>
    </row>
    <row r="457" spans="1:21" x14ac:dyDescent="0.25">
      <c r="A457" s="1">
        <v>456</v>
      </c>
      <c r="B457" s="2">
        <v>45299</v>
      </c>
      <c r="C457" s="2">
        <v>45299</v>
      </c>
      <c r="D457" s="4">
        <v>2024</v>
      </c>
      <c r="E457" s="4">
        <v>1</v>
      </c>
      <c r="F457" s="4">
        <v>8</v>
      </c>
      <c r="G457" s="1" t="s">
        <v>31</v>
      </c>
      <c r="I457" s="1" t="s">
        <v>61</v>
      </c>
      <c r="J457" s="1" t="s">
        <v>62</v>
      </c>
      <c r="K457" s="3" t="s">
        <v>28</v>
      </c>
      <c r="L457" s="3" t="s">
        <v>6</v>
      </c>
      <c r="M457" s="3" t="s">
        <v>23</v>
      </c>
      <c r="N457" s="3" t="s">
        <v>4</v>
      </c>
      <c r="O457" s="3" t="s">
        <v>5</v>
      </c>
      <c r="P457" s="3" t="s">
        <v>3</v>
      </c>
      <c r="Q457" s="3">
        <v>210</v>
      </c>
      <c r="R457" s="3">
        <v>85</v>
      </c>
      <c r="S457" s="3">
        <v>17850</v>
      </c>
      <c r="T457" s="3">
        <v>1785</v>
      </c>
      <c r="U457" s="3">
        <v>19635</v>
      </c>
    </row>
    <row r="458" spans="1:21" x14ac:dyDescent="0.25">
      <c r="A458" s="1">
        <v>457</v>
      </c>
      <c r="B458" s="2">
        <v>45299</v>
      </c>
      <c r="C458" s="2">
        <v>45299</v>
      </c>
      <c r="D458" s="4">
        <v>2024</v>
      </c>
      <c r="E458" s="4">
        <v>1</v>
      </c>
      <c r="F458" s="4">
        <v>8</v>
      </c>
      <c r="G458" s="1" t="s">
        <v>31</v>
      </c>
      <c r="I458" s="1" t="s">
        <v>67</v>
      </c>
      <c r="J458" s="1" t="s">
        <v>68</v>
      </c>
      <c r="K458" s="3" t="s">
        <v>28</v>
      </c>
      <c r="L458" s="3" t="s">
        <v>6</v>
      </c>
      <c r="M458" s="3" t="s">
        <v>23</v>
      </c>
      <c r="N458" s="3" t="s">
        <v>4</v>
      </c>
      <c r="O458" s="3" t="s">
        <v>5</v>
      </c>
      <c r="P458" s="3" t="s">
        <v>3</v>
      </c>
      <c r="Q458" s="3">
        <v>170</v>
      </c>
      <c r="R458" s="3">
        <v>85</v>
      </c>
      <c r="S458" s="3">
        <v>14450</v>
      </c>
      <c r="T458" s="3">
        <v>1445</v>
      </c>
      <c r="U458" s="3">
        <v>15895.000000000002</v>
      </c>
    </row>
    <row r="459" spans="1:21" x14ac:dyDescent="0.25">
      <c r="A459" s="1">
        <v>458</v>
      </c>
      <c r="B459" s="2">
        <v>45299</v>
      </c>
      <c r="C459" s="2">
        <v>45299</v>
      </c>
      <c r="D459" s="4">
        <v>2024</v>
      </c>
      <c r="E459" s="4">
        <v>1</v>
      </c>
      <c r="F459" s="4">
        <v>8</v>
      </c>
      <c r="G459" s="1" t="s">
        <v>31</v>
      </c>
      <c r="I459" s="1" t="s">
        <v>25</v>
      </c>
      <c r="J459" s="1" t="s">
        <v>29</v>
      </c>
      <c r="K459" s="3" t="s">
        <v>28</v>
      </c>
      <c r="L459" s="3" t="s">
        <v>6</v>
      </c>
      <c r="M459" s="3" t="s">
        <v>23</v>
      </c>
      <c r="N459" s="3" t="s">
        <v>4</v>
      </c>
      <c r="O459" s="3" t="s">
        <v>5</v>
      </c>
      <c r="P459" s="3" t="s">
        <v>3</v>
      </c>
      <c r="Q459" s="3">
        <v>140</v>
      </c>
      <c r="R459" s="3">
        <v>85</v>
      </c>
      <c r="S459" s="3">
        <v>11900</v>
      </c>
      <c r="T459" s="3">
        <v>1190</v>
      </c>
      <c r="U459" s="3">
        <v>13090.000000000002</v>
      </c>
    </row>
    <row r="460" spans="1:21" x14ac:dyDescent="0.25">
      <c r="A460" s="1">
        <v>459</v>
      </c>
      <c r="B460" s="2">
        <v>45299</v>
      </c>
      <c r="C460" s="2">
        <v>45299</v>
      </c>
      <c r="D460" s="4">
        <v>2024</v>
      </c>
      <c r="E460" s="4">
        <v>1</v>
      </c>
      <c r="F460" s="4">
        <v>8</v>
      </c>
      <c r="G460" s="1" t="s">
        <v>31</v>
      </c>
      <c r="I460" s="1" t="s">
        <v>57</v>
      </c>
      <c r="J460" s="1" t="s">
        <v>58</v>
      </c>
      <c r="K460" s="3" t="s">
        <v>28</v>
      </c>
      <c r="L460" s="3" t="s">
        <v>6</v>
      </c>
      <c r="M460" s="3" t="s">
        <v>23</v>
      </c>
      <c r="N460" s="3" t="s">
        <v>4</v>
      </c>
      <c r="O460" s="3" t="s">
        <v>5</v>
      </c>
      <c r="P460" s="3" t="s">
        <v>3</v>
      </c>
      <c r="Q460" s="3">
        <v>210</v>
      </c>
      <c r="R460" s="3">
        <v>85</v>
      </c>
      <c r="S460" s="3">
        <v>17850</v>
      </c>
      <c r="T460" s="3">
        <v>1785</v>
      </c>
      <c r="U460" s="3">
        <v>19635</v>
      </c>
    </row>
    <row r="461" spans="1:21" x14ac:dyDescent="0.25">
      <c r="A461" s="1">
        <v>460</v>
      </c>
      <c r="B461" s="2">
        <v>45299</v>
      </c>
      <c r="C461" s="2">
        <v>45299</v>
      </c>
      <c r="D461" s="4">
        <v>2024</v>
      </c>
      <c r="E461" s="4">
        <v>1</v>
      </c>
      <c r="F461" s="4">
        <v>8</v>
      </c>
      <c r="G461" s="1" t="s">
        <v>31</v>
      </c>
      <c r="I461" s="1" t="s">
        <v>55</v>
      </c>
      <c r="J461" s="1" t="s">
        <v>31</v>
      </c>
      <c r="K461" s="3" t="s">
        <v>119</v>
      </c>
      <c r="L461" s="3" t="s">
        <v>6</v>
      </c>
      <c r="M461" s="3" t="s">
        <v>23</v>
      </c>
      <c r="N461" s="3" t="s">
        <v>4</v>
      </c>
      <c r="O461" s="3" t="s">
        <v>2</v>
      </c>
      <c r="P461" s="3" t="s">
        <v>3</v>
      </c>
      <c r="Q461" s="3">
        <v>3620</v>
      </c>
      <c r="R461" s="3">
        <v>85</v>
      </c>
      <c r="S461" s="3">
        <v>307700</v>
      </c>
      <c r="T461" s="3">
        <v>30770</v>
      </c>
      <c r="U461" s="3">
        <v>338470</v>
      </c>
    </row>
    <row r="462" spans="1:21" x14ac:dyDescent="0.25">
      <c r="A462" s="1">
        <v>461</v>
      </c>
      <c r="B462" s="2">
        <v>45299</v>
      </c>
      <c r="C462" s="2">
        <v>45299</v>
      </c>
      <c r="D462" s="4">
        <v>2024</v>
      </c>
      <c r="E462" s="4">
        <v>1</v>
      </c>
      <c r="F462" s="4">
        <v>8</v>
      </c>
      <c r="G462" s="1" t="s">
        <v>31</v>
      </c>
      <c r="I462" s="1" t="s">
        <v>55</v>
      </c>
      <c r="J462" s="1" t="s">
        <v>31</v>
      </c>
      <c r="K462" s="3" t="s">
        <v>119</v>
      </c>
      <c r="L462" s="3" t="s">
        <v>6</v>
      </c>
      <c r="M462" s="3" t="s">
        <v>23</v>
      </c>
      <c r="N462" s="3" t="s">
        <v>4</v>
      </c>
      <c r="O462" s="3" t="s">
        <v>2</v>
      </c>
      <c r="P462" s="3" t="s">
        <v>3</v>
      </c>
      <c r="Q462" s="3">
        <v>3760</v>
      </c>
      <c r="R462" s="3">
        <v>85</v>
      </c>
      <c r="S462" s="3">
        <v>319600</v>
      </c>
      <c r="T462" s="3">
        <v>31960</v>
      </c>
      <c r="U462" s="3">
        <v>351560</v>
      </c>
    </row>
    <row r="463" spans="1:21" x14ac:dyDescent="0.25">
      <c r="A463" s="1">
        <v>462</v>
      </c>
      <c r="B463" s="2">
        <v>45299</v>
      </c>
      <c r="C463" s="2">
        <v>45299</v>
      </c>
      <c r="D463" s="4">
        <v>2024</v>
      </c>
      <c r="E463" s="4">
        <v>1</v>
      </c>
      <c r="F463" s="4">
        <v>8</v>
      </c>
      <c r="G463" s="1" t="s">
        <v>31</v>
      </c>
      <c r="I463" s="1" t="s">
        <v>59</v>
      </c>
      <c r="J463" s="1" t="s">
        <v>60</v>
      </c>
      <c r="K463" s="3" t="s">
        <v>28</v>
      </c>
      <c r="L463" s="3" t="s">
        <v>6</v>
      </c>
      <c r="M463" s="3" t="s">
        <v>23</v>
      </c>
      <c r="N463" s="3" t="s">
        <v>4</v>
      </c>
      <c r="O463" s="3" t="s">
        <v>5</v>
      </c>
      <c r="P463" s="3" t="s">
        <v>3</v>
      </c>
      <c r="Q463" s="3">
        <v>230</v>
      </c>
      <c r="R463" s="3">
        <v>85</v>
      </c>
      <c r="S463" s="3">
        <v>19550</v>
      </c>
      <c r="T463" s="3">
        <v>1955</v>
      </c>
      <c r="U463" s="3">
        <v>21505</v>
      </c>
    </row>
    <row r="464" spans="1:21" x14ac:dyDescent="0.25">
      <c r="A464" s="1">
        <v>463</v>
      </c>
      <c r="B464" s="2">
        <v>45299</v>
      </c>
      <c r="C464" s="2">
        <v>45299</v>
      </c>
      <c r="D464" s="4">
        <v>2024</v>
      </c>
      <c r="E464" s="4">
        <v>1</v>
      </c>
      <c r="F464" s="4">
        <v>8</v>
      </c>
      <c r="G464" s="1" t="s">
        <v>31</v>
      </c>
      <c r="I464" s="1" t="s">
        <v>61</v>
      </c>
      <c r="J464" s="1" t="s">
        <v>62</v>
      </c>
      <c r="K464" s="3" t="s">
        <v>28</v>
      </c>
      <c r="L464" s="3" t="s">
        <v>6</v>
      </c>
      <c r="M464" s="3" t="s">
        <v>23</v>
      </c>
      <c r="N464" s="3" t="s">
        <v>4</v>
      </c>
      <c r="O464" s="3" t="s">
        <v>5</v>
      </c>
      <c r="P464" s="3" t="s">
        <v>3</v>
      </c>
      <c r="Q464" s="3">
        <v>210</v>
      </c>
      <c r="R464" s="3">
        <v>85</v>
      </c>
      <c r="S464" s="3">
        <v>17850</v>
      </c>
      <c r="T464" s="3">
        <v>1785</v>
      </c>
      <c r="U464" s="3">
        <v>19635</v>
      </c>
    </row>
    <row r="465" spans="1:21" x14ac:dyDescent="0.25">
      <c r="A465" s="1">
        <v>464</v>
      </c>
      <c r="B465" s="2">
        <v>45299</v>
      </c>
      <c r="C465" s="2">
        <v>45299</v>
      </c>
      <c r="D465" s="4">
        <v>2024</v>
      </c>
      <c r="E465" s="4">
        <v>1</v>
      </c>
      <c r="F465" s="4">
        <v>8</v>
      </c>
      <c r="G465" s="1" t="s">
        <v>31</v>
      </c>
      <c r="I465" s="1" t="s">
        <v>135</v>
      </c>
      <c r="J465" s="1" t="s">
        <v>136</v>
      </c>
      <c r="K465" s="3" t="s">
        <v>28</v>
      </c>
      <c r="L465" s="3" t="s">
        <v>6</v>
      </c>
      <c r="M465" s="3" t="s">
        <v>23</v>
      </c>
      <c r="N465" s="3" t="s">
        <v>4</v>
      </c>
      <c r="O465" s="3" t="s">
        <v>5</v>
      </c>
      <c r="P465" s="3" t="s">
        <v>3</v>
      </c>
      <c r="Q465" s="3">
        <v>270</v>
      </c>
      <c r="R465" s="3">
        <v>85</v>
      </c>
      <c r="S465" s="3">
        <v>22950</v>
      </c>
      <c r="T465" s="3">
        <v>2295</v>
      </c>
      <c r="U465" s="3">
        <v>25245.000000000004</v>
      </c>
    </row>
    <row r="466" spans="1:21" x14ac:dyDescent="0.25">
      <c r="A466" s="1">
        <v>465</v>
      </c>
      <c r="B466" s="2">
        <v>45299</v>
      </c>
      <c r="C466" s="2">
        <v>45299</v>
      </c>
      <c r="D466" s="4">
        <v>2024</v>
      </c>
      <c r="E466" s="4">
        <v>1</v>
      </c>
      <c r="F466" s="4">
        <v>8</v>
      </c>
      <c r="G466" s="1" t="s">
        <v>31</v>
      </c>
      <c r="I466" s="1" t="s">
        <v>25</v>
      </c>
      <c r="J466" s="1" t="s">
        <v>29</v>
      </c>
      <c r="K466" s="3" t="s">
        <v>28</v>
      </c>
      <c r="L466" s="3" t="s">
        <v>6</v>
      </c>
      <c r="M466" s="3" t="s">
        <v>23</v>
      </c>
      <c r="N466" s="3" t="s">
        <v>4</v>
      </c>
      <c r="O466" s="3" t="s">
        <v>5</v>
      </c>
      <c r="P466" s="3" t="s">
        <v>3</v>
      </c>
      <c r="Q466" s="3">
        <v>310</v>
      </c>
      <c r="R466" s="3">
        <v>85</v>
      </c>
      <c r="S466" s="3">
        <v>26350</v>
      </c>
      <c r="T466" s="3">
        <v>2635</v>
      </c>
      <c r="U466" s="3">
        <v>28985.000000000004</v>
      </c>
    </row>
    <row r="467" spans="1:21" x14ac:dyDescent="0.25">
      <c r="A467" s="1">
        <v>466</v>
      </c>
      <c r="B467" s="2">
        <v>45299</v>
      </c>
      <c r="C467" s="2">
        <v>45299</v>
      </c>
      <c r="D467" s="4">
        <v>2024</v>
      </c>
      <c r="E467" s="4">
        <v>1</v>
      </c>
      <c r="F467" s="4">
        <v>8</v>
      </c>
      <c r="G467" s="1" t="s">
        <v>31</v>
      </c>
      <c r="I467" s="1" t="s">
        <v>135</v>
      </c>
      <c r="J467" s="1" t="s">
        <v>136</v>
      </c>
      <c r="K467" s="3" t="s">
        <v>28</v>
      </c>
      <c r="L467" s="3" t="s">
        <v>6</v>
      </c>
      <c r="M467" s="3" t="s">
        <v>23</v>
      </c>
      <c r="N467" s="3" t="s">
        <v>4</v>
      </c>
      <c r="O467" s="3" t="s">
        <v>5</v>
      </c>
      <c r="P467" s="3" t="s">
        <v>3</v>
      </c>
      <c r="Q467" s="3">
        <v>150</v>
      </c>
      <c r="R467" s="3">
        <v>85</v>
      </c>
      <c r="S467" s="3">
        <v>12750</v>
      </c>
      <c r="T467" s="3">
        <v>1275</v>
      </c>
      <c r="U467" s="3">
        <v>14025.000000000002</v>
      </c>
    </row>
    <row r="468" spans="1:21" x14ac:dyDescent="0.25">
      <c r="A468" s="1">
        <v>467</v>
      </c>
      <c r="B468" s="2">
        <v>45299</v>
      </c>
      <c r="C468" s="2">
        <v>45299</v>
      </c>
      <c r="D468" s="4">
        <v>2024</v>
      </c>
      <c r="E468" s="4">
        <v>1</v>
      </c>
      <c r="F468" s="4">
        <v>8</v>
      </c>
      <c r="G468" s="1" t="s">
        <v>31</v>
      </c>
      <c r="I468" s="1" t="s">
        <v>67</v>
      </c>
      <c r="J468" s="1" t="s">
        <v>68</v>
      </c>
      <c r="K468" s="3" t="s">
        <v>28</v>
      </c>
      <c r="L468" s="3" t="s">
        <v>6</v>
      </c>
      <c r="M468" s="3" t="s">
        <v>23</v>
      </c>
      <c r="N468" s="3" t="s">
        <v>4</v>
      </c>
      <c r="O468" s="3" t="s">
        <v>5</v>
      </c>
      <c r="P468" s="3" t="s">
        <v>3</v>
      </c>
      <c r="Q468" s="3">
        <v>90</v>
      </c>
      <c r="R468" s="3">
        <v>85</v>
      </c>
      <c r="S468" s="3">
        <v>7650</v>
      </c>
      <c r="T468" s="3">
        <v>765</v>
      </c>
      <c r="U468" s="3">
        <v>8415</v>
      </c>
    </row>
    <row r="469" spans="1:21" x14ac:dyDescent="0.25">
      <c r="A469" s="1">
        <v>468</v>
      </c>
      <c r="B469" s="2">
        <v>45299</v>
      </c>
      <c r="C469" s="2">
        <v>45299</v>
      </c>
      <c r="D469" s="4">
        <v>2024</v>
      </c>
      <c r="E469" s="4">
        <v>1</v>
      </c>
      <c r="F469" s="4">
        <v>8</v>
      </c>
      <c r="G469" s="1" t="s">
        <v>30</v>
      </c>
      <c r="I469" s="1" t="s">
        <v>86</v>
      </c>
      <c r="J469" s="1" t="s">
        <v>87</v>
      </c>
      <c r="K469" s="3" t="s">
        <v>28</v>
      </c>
      <c r="L469" s="3" t="s">
        <v>6</v>
      </c>
      <c r="M469" s="3" t="s">
        <v>23</v>
      </c>
      <c r="N469" s="3" t="s">
        <v>4</v>
      </c>
      <c r="O469" s="3" t="s">
        <v>5</v>
      </c>
      <c r="P469" s="3" t="s">
        <v>3</v>
      </c>
      <c r="Q469" s="3">
        <v>260</v>
      </c>
      <c r="R469" s="3">
        <v>95</v>
      </c>
      <c r="S469" s="3">
        <v>24700</v>
      </c>
      <c r="T469" s="3">
        <v>2470</v>
      </c>
      <c r="U469" s="3">
        <v>27170.000000000004</v>
      </c>
    </row>
    <row r="470" spans="1:21" x14ac:dyDescent="0.25">
      <c r="A470" s="1">
        <v>469</v>
      </c>
      <c r="B470" s="2">
        <v>45299</v>
      </c>
      <c r="C470" s="2">
        <v>45299</v>
      </c>
      <c r="D470" s="4">
        <v>2024</v>
      </c>
      <c r="E470" s="4">
        <v>1</v>
      </c>
      <c r="F470" s="4">
        <v>8</v>
      </c>
      <c r="G470" s="1" t="s">
        <v>30</v>
      </c>
      <c r="I470" s="1" t="s">
        <v>107</v>
      </c>
      <c r="J470" s="1" t="s">
        <v>108</v>
      </c>
      <c r="K470" s="3" t="s">
        <v>28</v>
      </c>
      <c r="L470" s="3" t="s">
        <v>6</v>
      </c>
      <c r="M470" s="3" t="s">
        <v>23</v>
      </c>
      <c r="N470" s="3" t="s">
        <v>4</v>
      </c>
      <c r="O470" s="3" t="s">
        <v>5</v>
      </c>
      <c r="P470" s="3" t="s">
        <v>3</v>
      </c>
      <c r="Q470" s="3">
        <v>230</v>
      </c>
      <c r="R470" s="3">
        <v>95</v>
      </c>
      <c r="S470" s="3">
        <v>21850</v>
      </c>
      <c r="T470" s="3">
        <v>2185</v>
      </c>
      <c r="U470" s="3">
        <v>24035.000000000004</v>
      </c>
    </row>
    <row r="471" spans="1:21" x14ac:dyDescent="0.25">
      <c r="A471" s="1">
        <v>470</v>
      </c>
      <c r="B471" s="2">
        <v>45299</v>
      </c>
      <c r="C471" s="2">
        <v>45299</v>
      </c>
      <c r="D471" s="4">
        <v>2024</v>
      </c>
      <c r="E471" s="4">
        <v>1</v>
      </c>
      <c r="F471" s="4">
        <v>8</v>
      </c>
      <c r="G471" s="1" t="s">
        <v>30</v>
      </c>
      <c r="I471" s="1" t="s">
        <v>98</v>
      </c>
      <c r="J471" s="1" t="s">
        <v>99</v>
      </c>
      <c r="K471" s="3" t="s">
        <v>28</v>
      </c>
      <c r="L471" s="3" t="s">
        <v>6</v>
      </c>
      <c r="M471" s="3" t="s">
        <v>23</v>
      </c>
      <c r="N471" s="3" t="s">
        <v>4</v>
      </c>
      <c r="O471" s="3" t="s">
        <v>5</v>
      </c>
      <c r="P471" s="3" t="s">
        <v>3</v>
      </c>
      <c r="Q471" s="3">
        <v>40</v>
      </c>
      <c r="R471" s="3">
        <v>95</v>
      </c>
      <c r="S471" s="3">
        <v>3800</v>
      </c>
      <c r="T471" s="3">
        <v>380</v>
      </c>
      <c r="U471" s="3">
        <v>4180</v>
      </c>
    </row>
    <row r="472" spans="1:21" x14ac:dyDescent="0.25">
      <c r="A472" s="1">
        <v>471</v>
      </c>
      <c r="B472" s="2">
        <v>45299</v>
      </c>
      <c r="C472" s="2">
        <v>45299</v>
      </c>
      <c r="D472" s="4">
        <v>2024</v>
      </c>
      <c r="E472" s="4">
        <v>1</v>
      </c>
      <c r="F472" s="4">
        <v>8</v>
      </c>
      <c r="G472" s="1" t="s">
        <v>30</v>
      </c>
      <c r="I472" s="1" t="s">
        <v>86</v>
      </c>
      <c r="J472" s="1" t="s">
        <v>87</v>
      </c>
      <c r="K472" s="3" t="s">
        <v>28</v>
      </c>
      <c r="L472" s="3" t="s">
        <v>6</v>
      </c>
      <c r="M472" s="3" t="s">
        <v>23</v>
      </c>
      <c r="N472" s="3" t="s">
        <v>4</v>
      </c>
      <c r="O472" s="3" t="s">
        <v>5</v>
      </c>
      <c r="P472" s="3" t="s">
        <v>3</v>
      </c>
      <c r="Q472" s="3">
        <v>210</v>
      </c>
      <c r="R472" s="3">
        <v>95</v>
      </c>
      <c r="S472" s="3">
        <v>19950</v>
      </c>
      <c r="T472" s="3">
        <v>1995</v>
      </c>
      <c r="U472" s="3">
        <v>21945</v>
      </c>
    </row>
    <row r="473" spans="1:21" x14ac:dyDescent="0.25">
      <c r="A473" s="1">
        <v>472</v>
      </c>
      <c r="B473" s="2">
        <v>45299</v>
      </c>
      <c r="C473" s="2">
        <v>45299</v>
      </c>
      <c r="D473" s="4">
        <v>2024</v>
      </c>
      <c r="E473" s="4">
        <v>1</v>
      </c>
      <c r="F473" s="4">
        <v>8</v>
      </c>
      <c r="G473" s="1" t="s">
        <v>30</v>
      </c>
      <c r="I473" s="1" t="s">
        <v>92</v>
      </c>
      <c r="J473" s="1" t="s">
        <v>93</v>
      </c>
      <c r="K473" s="3" t="s">
        <v>28</v>
      </c>
      <c r="L473" s="3" t="s">
        <v>6</v>
      </c>
      <c r="M473" s="3" t="s">
        <v>23</v>
      </c>
      <c r="N473" s="3" t="s">
        <v>4</v>
      </c>
      <c r="O473" s="3" t="s">
        <v>5</v>
      </c>
      <c r="P473" s="3" t="s">
        <v>3</v>
      </c>
      <c r="Q473" s="3">
        <v>180</v>
      </c>
      <c r="R473" s="3">
        <v>95</v>
      </c>
      <c r="S473" s="3">
        <v>17100</v>
      </c>
      <c r="T473" s="3">
        <v>1710</v>
      </c>
      <c r="U473" s="3">
        <v>18810</v>
      </c>
    </row>
    <row r="474" spans="1:21" x14ac:dyDescent="0.25">
      <c r="A474" s="1">
        <v>473</v>
      </c>
      <c r="B474" s="2">
        <v>45299</v>
      </c>
      <c r="C474" s="2">
        <v>45299</v>
      </c>
      <c r="D474" s="4">
        <v>2024</v>
      </c>
      <c r="E474" s="4">
        <v>1</v>
      </c>
      <c r="F474" s="4">
        <v>8</v>
      </c>
      <c r="G474" s="1" t="s">
        <v>30</v>
      </c>
      <c r="I474" s="1" t="s">
        <v>84</v>
      </c>
      <c r="J474" s="1" t="s">
        <v>85</v>
      </c>
      <c r="K474" s="3" t="s">
        <v>28</v>
      </c>
      <c r="L474" s="3" t="s">
        <v>6</v>
      </c>
      <c r="M474" s="3" t="s">
        <v>23</v>
      </c>
      <c r="N474" s="3" t="s">
        <v>4</v>
      </c>
      <c r="O474" s="3" t="s">
        <v>5</v>
      </c>
      <c r="P474" s="3" t="s">
        <v>3</v>
      </c>
      <c r="Q474" s="3">
        <v>170</v>
      </c>
      <c r="R474" s="3">
        <v>95</v>
      </c>
      <c r="S474" s="3">
        <v>16150</v>
      </c>
      <c r="T474" s="3">
        <v>1615</v>
      </c>
      <c r="U474" s="3">
        <v>17765</v>
      </c>
    </row>
    <row r="475" spans="1:21" x14ac:dyDescent="0.25">
      <c r="A475" s="1">
        <v>474</v>
      </c>
      <c r="B475" s="2">
        <v>45299</v>
      </c>
      <c r="C475" s="2">
        <v>45299</v>
      </c>
      <c r="D475" s="4">
        <v>2024</v>
      </c>
      <c r="E475" s="4">
        <v>1</v>
      </c>
      <c r="F475" s="4">
        <v>8</v>
      </c>
      <c r="G475" s="1" t="s">
        <v>30</v>
      </c>
      <c r="I475" s="1" t="s">
        <v>98</v>
      </c>
      <c r="J475" s="1" t="s">
        <v>99</v>
      </c>
      <c r="K475" s="3" t="s">
        <v>28</v>
      </c>
      <c r="L475" s="3" t="s">
        <v>6</v>
      </c>
      <c r="M475" s="3" t="s">
        <v>23</v>
      </c>
      <c r="N475" s="3" t="s">
        <v>4</v>
      </c>
      <c r="O475" s="3" t="s">
        <v>5</v>
      </c>
      <c r="P475" s="3" t="s">
        <v>3</v>
      </c>
      <c r="Q475" s="3">
        <v>140</v>
      </c>
      <c r="R475" s="3">
        <v>95</v>
      </c>
      <c r="S475" s="3">
        <v>13300</v>
      </c>
      <c r="T475" s="3">
        <v>1330</v>
      </c>
      <c r="U475" s="3">
        <v>14630.000000000002</v>
      </c>
    </row>
    <row r="476" spans="1:21" x14ac:dyDescent="0.25">
      <c r="A476" s="1">
        <v>475</v>
      </c>
      <c r="B476" s="2">
        <v>45299</v>
      </c>
      <c r="C476" s="2">
        <v>45299</v>
      </c>
      <c r="D476" s="4">
        <v>2024</v>
      </c>
      <c r="E476" s="4">
        <v>1</v>
      </c>
      <c r="F476" s="4">
        <v>8</v>
      </c>
      <c r="G476" s="1" t="s">
        <v>30</v>
      </c>
      <c r="I476" s="1" t="s">
        <v>88</v>
      </c>
      <c r="J476" s="1" t="s">
        <v>89</v>
      </c>
      <c r="K476" s="3" t="s">
        <v>28</v>
      </c>
      <c r="L476" s="3" t="s">
        <v>6</v>
      </c>
      <c r="M476" s="3" t="s">
        <v>23</v>
      </c>
      <c r="N476" s="3" t="s">
        <v>4</v>
      </c>
      <c r="O476" s="3" t="s">
        <v>5</v>
      </c>
      <c r="P476" s="3" t="s">
        <v>3</v>
      </c>
      <c r="Q476" s="3">
        <v>200</v>
      </c>
      <c r="R476" s="3">
        <v>95</v>
      </c>
      <c r="S476" s="3">
        <v>19000</v>
      </c>
      <c r="T476" s="3">
        <v>1900</v>
      </c>
      <c r="U476" s="3">
        <v>20900</v>
      </c>
    </row>
    <row r="477" spans="1:21" x14ac:dyDescent="0.25">
      <c r="A477" s="1">
        <v>476</v>
      </c>
      <c r="B477" s="2">
        <v>45299</v>
      </c>
      <c r="C477" s="2">
        <v>45299</v>
      </c>
      <c r="D477" s="4">
        <v>2024</v>
      </c>
      <c r="E477" s="4">
        <v>1</v>
      </c>
      <c r="F477" s="4">
        <v>8</v>
      </c>
      <c r="G477" s="1" t="s">
        <v>30</v>
      </c>
      <c r="I477" s="1" t="s">
        <v>90</v>
      </c>
      <c r="J477" s="1" t="s">
        <v>91</v>
      </c>
      <c r="K477" s="3" t="s">
        <v>28</v>
      </c>
      <c r="L477" s="3" t="s">
        <v>6</v>
      </c>
      <c r="M477" s="3" t="s">
        <v>23</v>
      </c>
      <c r="N477" s="3" t="s">
        <v>4</v>
      </c>
      <c r="O477" s="3" t="s">
        <v>5</v>
      </c>
      <c r="P477" s="3" t="s">
        <v>3</v>
      </c>
      <c r="Q477" s="3">
        <v>220</v>
      </c>
      <c r="R477" s="3">
        <v>95</v>
      </c>
      <c r="S477" s="3">
        <v>20900</v>
      </c>
      <c r="T477" s="3">
        <v>2090</v>
      </c>
      <c r="U477" s="3">
        <v>22990.000000000004</v>
      </c>
    </row>
    <row r="478" spans="1:21" x14ac:dyDescent="0.25">
      <c r="A478" s="1">
        <v>477</v>
      </c>
      <c r="B478" s="2">
        <v>45299</v>
      </c>
      <c r="C478" s="2">
        <v>45299</v>
      </c>
      <c r="D478" s="4">
        <v>2024</v>
      </c>
      <c r="E478" s="4">
        <v>1</v>
      </c>
      <c r="F478" s="4">
        <v>8</v>
      </c>
      <c r="G478" s="1" t="s">
        <v>30</v>
      </c>
      <c r="I478" s="1" t="s">
        <v>94</v>
      </c>
      <c r="J478" s="1" t="s">
        <v>95</v>
      </c>
      <c r="K478" s="3" t="s">
        <v>28</v>
      </c>
      <c r="L478" s="3" t="s">
        <v>6</v>
      </c>
      <c r="M478" s="3" t="s">
        <v>23</v>
      </c>
      <c r="N478" s="3" t="s">
        <v>4</v>
      </c>
      <c r="O478" s="3" t="s">
        <v>5</v>
      </c>
      <c r="P478" s="3" t="s">
        <v>3</v>
      </c>
      <c r="Q478" s="3">
        <v>160</v>
      </c>
      <c r="R478" s="3">
        <v>95</v>
      </c>
      <c r="S478" s="3">
        <v>15200</v>
      </c>
      <c r="T478" s="3">
        <v>1520</v>
      </c>
      <c r="U478" s="3">
        <v>16720</v>
      </c>
    </row>
    <row r="479" spans="1:21" x14ac:dyDescent="0.25">
      <c r="A479" s="1">
        <v>478</v>
      </c>
      <c r="B479" s="2">
        <v>45299</v>
      </c>
      <c r="C479" s="2">
        <v>45299</v>
      </c>
      <c r="D479" s="4">
        <v>2024</v>
      </c>
      <c r="E479" s="4">
        <v>1</v>
      </c>
      <c r="F479" s="4">
        <v>8</v>
      </c>
      <c r="G479" s="1" t="s">
        <v>30</v>
      </c>
      <c r="I479" s="1" t="s">
        <v>92</v>
      </c>
      <c r="J479" s="1" t="s">
        <v>93</v>
      </c>
      <c r="K479" s="3" t="s">
        <v>28</v>
      </c>
      <c r="L479" s="3" t="s">
        <v>6</v>
      </c>
      <c r="M479" s="3" t="s">
        <v>23</v>
      </c>
      <c r="N479" s="3" t="s">
        <v>4</v>
      </c>
      <c r="O479" s="3" t="s">
        <v>5</v>
      </c>
      <c r="P479" s="3" t="s">
        <v>3</v>
      </c>
      <c r="Q479" s="3">
        <v>290</v>
      </c>
      <c r="R479" s="3">
        <v>95</v>
      </c>
      <c r="S479" s="3">
        <v>27550</v>
      </c>
      <c r="T479" s="3">
        <v>2755</v>
      </c>
      <c r="U479" s="3">
        <v>30305.000000000004</v>
      </c>
    </row>
    <row r="480" spans="1:21" x14ac:dyDescent="0.25">
      <c r="A480" s="1">
        <v>479</v>
      </c>
      <c r="B480" s="2">
        <v>45299</v>
      </c>
      <c r="C480" s="2">
        <v>45299</v>
      </c>
      <c r="D480" s="4">
        <v>2024</v>
      </c>
      <c r="E480" s="4">
        <v>1</v>
      </c>
      <c r="F480" s="4">
        <v>8</v>
      </c>
      <c r="G480" s="1" t="s">
        <v>30</v>
      </c>
      <c r="I480" s="1" t="s">
        <v>92</v>
      </c>
      <c r="J480" s="1" t="s">
        <v>93</v>
      </c>
      <c r="K480" s="3" t="s">
        <v>28</v>
      </c>
      <c r="L480" s="3" t="s">
        <v>6</v>
      </c>
      <c r="M480" s="3" t="s">
        <v>23</v>
      </c>
      <c r="N480" s="3" t="s">
        <v>42</v>
      </c>
      <c r="O480" s="3" t="s">
        <v>5</v>
      </c>
      <c r="P480" s="3" t="s">
        <v>3</v>
      </c>
      <c r="Q480" s="3">
        <v>260</v>
      </c>
      <c r="R480" s="3">
        <v>190</v>
      </c>
      <c r="S480" s="3">
        <v>49400</v>
      </c>
      <c r="T480" s="3">
        <v>4940</v>
      </c>
      <c r="U480" s="3">
        <v>54340.000000000007</v>
      </c>
    </row>
    <row r="481" spans="1:21" x14ac:dyDescent="0.25">
      <c r="A481" s="1">
        <v>480</v>
      </c>
      <c r="B481" s="2">
        <v>45299</v>
      </c>
      <c r="C481" s="2">
        <v>45299</v>
      </c>
      <c r="D481" s="4">
        <v>2024</v>
      </c>
      <c r="E481" s="4">
        <v>1</v>
      </c>
      <c r="F481" s="4">
        <v>8</v>
      </c>
      <c r="G481" s="1" t="s">
        <v>30</v>
      </c>
      <c r="I481" s="1" t="s">
        <v>86</v>
      </c>
      <c r="J481" s="1" t="s">
        <v>87</v>
      </c>
      <c r="K481" s="3" t="s">
        <v>28</v>
      </c>
      <c r="L481" s="3" t="s">
        <v>6</v>
      </c>
      <c r="M481" s="3" t="s">
        <v>23</v>
      </c>
      <c r="N481" s="3" t="s">
        <v>4</v>
      </c>
      <c r="O481" s="3" t="s">
        <v>5</v>
      </c>
      <c r="P481" s="3" t="s">
        <v>3</v>
      </c>
      <c r="Q481" s="3">
        <v>160</v>
      </c>
      <c r="R481" s="3">
        <v>95</v>
      </c>
      <c r="S481" s="3">
        <v>15200</v>
      </c>
      <c r="T481" s="3">
        <v>1520</v>
      </c>
      <c r="U481" s="3">
        <v>16720</v>
      </c>
    </row>
    <row r="482" spans="1:21" x14ac:dyDescent="0.25">
      <c r="A482" s="1">
        <v>481</v>
      </c>
      <c r="B482" s="2">
        <v>45299</v>
      </c>
      <c r="C482" s="2">
        <v>45299</v>
      </c>
      <c r="D482" s="4">
        <v>2024</v>
      </c>
      <c r="E482" s="4">
        <v>1</v>
      </c>
      <c r="F482" s="4">
        <v>8</v>
      </c>
      <c r="G482" s="1" t="s">
        <v>30</v>
      </c>
      <c r="I482" s="1" t="s">
        <v>90</v>
      </c>
      <c r="J482" s="1" t="s">
        <v>91</v>
      </c>
      <c r="K482" s="3" t="s">
        <v>28</v>
      </c>
      <c r="L482" s="3" t="s">
        <v>6</v>
      </c>
      <c r="M482" s="3" t="s">
        <v>23</v>
      </c>
      <c r="N482" s="3" t="s">
        <v>4</v>
      </c>
      <c r="O482" s="3" t="s">
        <v>5</v>
      </c>
      <c r="P482" s="3" t="s">
        <v>3</v>
      </c>
      <c r="Q482" s="3">
        <v>90</v>
      </c>
      <c r="R482" s="3">
        <v>95</v>
      </c>
      <c r="S482" s="3">
        <v>8550</v>
      </c>
      <c r="T482" s="3">
        <v>855</v>
      </c>
      <c r="U482" s="3">
        <v>9405</v>
      </c>
    </row>
    <row r="483" spans="1:21" x14ac:dyDescent="0.25">
      <c r="A483" s="1">
        <v>482</v>
      </c>
      <c r="B483" s="2">
        <v>45299</v>
      </c>
      <c r="C483" s="2">
        <v>45299</v>
      </c>
      <c r="D483" s="4">
        <v>2024</v>
      </c>
      <c r="E483" s="4">
        <v>1</v>
      </c>
      <c r="F483" s="4">
        <v>8</v>
      </c>
      <c r="G483" s="1" t="s">
        <v>30</v>
      </c>
      <c r="I483" s="1" t="s">
        <v>84</v>
      </c>
      <c r="J483" s="1" t="s">
        <v>85</v>
      </c>
      <c r="K483" s="3" t="s">
        <v>28</v>
      </c>
      <c r="L483" s="3" t="s">
        <v>6</v>
      </c>
      <c r="M483" s="3" t="s">
        <v>23</v>
      </c>
      <c r="N483" s="3" t="s">
        <v>4</v>
      </c>
      <c r="O483" s="3" t="s">
        <v>5</v>
      </c>
      <c r="P483" s="3" t="s">
        <v>3</v>
      </c>
      <c r="Q483" s="3">
        <v>300</v>
      </c>
      <c r="R483" s="3">
        <v>95</v>
      </c>
      <c r="S483" s="3">
        <v>28500</v>
      </c>
      <c r="T483" s="3">
        <v>2850</v>
      </c>
      <c r="U483" s="3">
        <v>31350.000000000004</v>
      </c>
    </row>
    <row r="484" spans="1:21" x14ac:dyDescent="0.25">
      <c r="A484" s="1">
        <v>483</v>
      </c>
      <c r="B484" s="2">
        <v>45299</v>
      </c>
      <c r="C484" s="2">
        <v>45299</v>
      </c>
      <c r="D484" s="4">
        <v>2024</v>
      </c>
      <c r="E484" s="4">
        <v>1</v>
      </c>
      <c r="F484" s="4">
        <v>8</v>
      </c>
      <c r="G484" s="1" t="s">
        <v>30</v>
      </c>
      <c r="I484" s="1" t="s">
        <v>88</v>
      </c>
      <c r="J484" s="1" t="s">
        <v>89</v>
      </c>
      <c r="K484" s="3" t="s">
        <v>28</v>
      </c>
      <c r="L484" s="3" t="s">
        <v>6</v>
      </c>
      <c r="M484" s="3" t="s">
        <v>23</v>
      </c>
      <c r="N484" s="3" t="s">
        <v>4</v>
      </c>
      <c r="O484" s="3" t="s">
        <v>5</v>
      </c>
      <c r="P484" s="3" t="s">
        <v>3</v>
      </c>
      <c r="Q484" s="3">
        <v>170</v>
      </c>
      <c r="R484" s="3">
        <v>95</v>
      </c>
      <c r="S484" s="3">
        <v>16150</v>
      </c>
      <c r="T484" s="3">
        <v>1615</v>
      </c>
      <c r="U484" s="3">
        <v>17765</v>
      </c>
    </row>
    <row r="485" spans="1:21" x14ac:dyDescent="0.25">
      <c r="A485" s="1">
        <v>484</v>
      </c>
      <c r="B485" s="2">
        <v>45299</v>
      </c>
      <c r="C485" s="2">
        <v>45299</v>
      </c>
      <c r="D485" s="4">
        <v>2024</v>
      </c>
      <c r="E485" s="4">
        <v>1</v>
      </c>
      <c r="F485" s="4">
        <v>8</v>
      </c>
      <c r="G485" s="1" t="s">
        <v>30</v>
      </c>
      <c r="I485" s="1" t="s">
        <v>110</v>
      </c>
      <c r="J485" s="1" t="s">
        <v>111</v>
      </c>
      <c r="K485" s="3" t="s">
        <v>28</v>
      </c>
      <c r="L485" s="3" t="s">
        <v>6</v>
      </c>
      <c r="M485" s="3" t="s">
        <v>23</v>
      </c>
      <c r="N485" s="3" t="s">
        <v>4</v>
      </c>
      <c r="O485" s="3" t="s">
        <v>5</v>
      </c>
      <c r="P485" s="3" t="s">
        <v>3</v>
      </c>
      <c r="Q485" s="3">
        <v>260</v>
      </c>
      <c r="R485" s="3">
        <v>95</v>
      </c>
      <c r="S485" s="3">
        <v>24700</v>
      </c>
      <c r="T485" s="3">
        <v>2470</v>
      </c>
      <c r="U485" s="3">
        <v>27170.000000000004</v>
      </c>
    </row>
    <row r="486" spans="1:21" x14ac:dyDescent="0.25">
      <c r="A486" s="1">
        <v>485</v>
      </c>
      <c r="B486" s="2">
        <v>45299</v>
      </c>
      <c r="C486" s="2">
        <v>45299</v>
      </c>
      <c r="D486" s="4">
        <v>2024</v>
      </c>
      <c r="E486" s="4">
        <v>1</v>
      </c>
      <c r="F486" s="4">
        <v>8</v>
      </c>
      <c r="G486" s="1" t="s">
        <v>30</v>
      </c>
      <c r="I486" s="1" t="s">
        <v>86</v>
      </c>
      <c r="J486" s="1" t="s">
        <v>87</v>
      </c>
      <c r="K486" s="3" t="s">
        <v>28</v>
      </c>
      <c r="L486" s="3" t="s">
        <v>6</v>
      </c>
      <c r="M486" s="3" t="s">
        <v>23</v>
      </c>
      <c r="N486" s="3" t="s">
        <v>4</v>
      </c>
      <c r="O486" s="3" t="s">
        <v>5</v>
      </c>
      <c r="P486" s="3" t="s">
        <v>3</v>
      </c>
      <c r="Q486" s="3">
        <v>220</v>
      </c>
      <c r="R486" s="3">
        <v>95</v>
      </c>
      <c r="S486" s="3">
        <v>20900</v>
      </c>
      <c r="T486" s="3">
        <v>2090</v>
      </c>
      <c r="U486" s="3">
        <v>22990.000000000004</v>
      </c>
    </row>
    <row r="487" spans="1:21" x14ac:dyDescent="0.25">
      <c r="A487" s="1">
        <v>486</v>
      </c>
      <c r="B487" s="2">
        <v>45299</v>
      </c>
      <c r="C487" s="2">
        <v>45299</v>
      </c>
      <c r="D487" s="4">
        <v>2024</v>
      </c>
      <c r="E487" s="4">
        <v>1</v>
      </c>
      <c r="F487" s="4">
        <v>8</v>
      </c>
      <c r="G487" s="1" t="s">
        <v>30</v>
      </c>
      <c r="I487" s="1" t="s">
        <v>98</v>
      </c>
      <c r="J487" s="1" t="s">
        <v>99</v>
      </c>
      <c r="K487" s="3" t="s">
        <v>28</v>
      </c>
      <c r="L487" s="3" t="s">
        <v>6</v>
      </c>
      <c r="M487" s="3" t="s">
        <v>23</v>
      </c>
      <c r="N487" s="3" t="s">
        <v>4</v>
      </c>
      <c r="O487" s="3" t="s">
        <v>5</v>
      </c>
      <c r="P487" s="3" t="s">
        <v>3</v>
      </c>
      <c r="Q487" s="3">
        <v>300</v>
      </c>
      <c r="R487" s="3">
        <v>95</v>
      </c>
      <c r="S487" s="3">
        <v>28500</v>
      </c>
      <c r="T487" s="3">
        <v>2850</v>
      </c>
      <c r="U487" s="3">
        <v>31350.000000000004</v>
      </c>
    </row>
    <row r="488" spans="1:21" x14ac:dyDescent="0.25">
      <c r="A488" s="1">
        <v>487</v>
      </c>
      <c r="B488" s="2">
        <v>45299</v>
      </c>
      <c r="C488" s="2">
        <v>45299</v>
      </c>
      <c r="D488" s="4">
        <v>2024</v>
      </c>
      <c r="E488" s="4">
        <v>1</v>
      </c>
      <c r="F488" s="4">
        <v>8</v>
      </c>
      <c r="G488" s="1" t="s">
        <v>30</v>
      </c>
      <c r="I488" s="1" t="s">
        <v>92</v>
      </c>
      <c r="J488" s="1" t="s">
        <v>93</v>
      </c>
      <c r="K488" s="3" t="s">
        <v>28</v>
      </c>
      <c r="L488" s="3" t="s">
        <v>6</v>
      </c>
      <c r="M488" s="3" t="s">
        <v>23</v>
      </c>
      <c r="N488" s="3" t="s">
        <v>4</v>
      </c>
      <c r="O488" s="3" t="s">
        <v>5</v>
      </c>
      <c r="P488" s="3" t="s">
        <v>3</v>
      </c>
      <c r="Q488" s="3">
        <v>260</v>
      </c>
      <c r="R488" s="3">
        <v>95</v>
      </c>
      <c r="S488" s="3">
        <v>24700</v>
      </c>
      <c r="T488" s="3">
        <v>2470</v>
      </c>
      <c r="U488" s="3">
        <v>27170.000000000004</v>
      </c>
    </row>
    <row r="489" spans="1:21" x14ac:dyDescent="0.25">
      <c r="A489" s="1">
        <v>488</v>
      </c>
      <c r="B489" s="2">
        <v>45299</v>
      </c>
      <c r="C489" s="2">
        <v>45299</v>
      </c>
      <c r="D489" s="4">
        <v>2024</v>
      </c>
      <c r="E489" s="4">
        <v>1</v>
      </c>
      <c r="F489" s="4">
        <v>8</v>
      </c>
      <c r="G489" s="1" t="s">
        <v>30</v>
      </c>
      <c r="I489" s="1" t="s">
        <v>94</v>
      </c>
      <c r="J489" s="1" t="s">
        <v>95</v>
      </c>
      <c r="K489" s="3" t="s">
        <v>28</v>
      </c>
      <c r="L489" s="3" t="s">
        <v>6</v>
      </c>
      <c r="M489" s="3" t="s">
        <v>23</v>
      </c>
      <c r="N489" s="3" t="s">
        <v>4</v>
      </c>
      <c r="O489" s="3" t="s">
        <v>5</v>
      </c>
      <c r="P489" s="3" t="s">
        <v>3</v>
      </c>
      <c r="Q489" s="3">
        <v>270</v>
      </c>
      <c r="R489" s="3">
        <v>95</v>
      </c>
      <c r="S489" s="3">
        <v>25650</v>
      </c>
      <c r="T489" s="3">
        <v>2565</v>
      </c>
      <c r="U489" s="3">
        <v>28215.000000000004</v>
      </c>
    </row>
    <row r="490" spans="1:21" x14ac:dyDescent="0.25">
      <c r="A490" s="1">
        <v>489</v>
      </c>
      <c r="B490" s="2">
        <v>45299</v>
      </c>
      <c r="C490" s="2">
        <v>45299</v>
      </c>
      <c r="D490" s="4">
        <v>2024</v>
      </c>
      <c r="E490" s="4">
        <v>1</v>
      </c>
      <c r="F490" s="4">
        <v>8</v>
      </c>
      <c r="G490" s="1" t="s">
        <v>30</v>
      </c>
      <c r="I490" s="1" t="s">
        <v>102</v>
      </c>
      <c r="J490" s="1" t="s">
        <v>103</v>
      </c>
      <c r="K490" s="3" t="s">
        <v>28</v>
      </c>
      <c r="L490" s="3" t="s">
        <v>6</v>
      </c>
      <c r="M490" s="3" t="s">
        <v>23</v>
      </c>
      <c r="N490" s="3" t="s">
        <v>4</v>
      </c>
      <c r="O490" s="3" t="s">
        <v>5</v>
      </c>
      <c r="P490" s="3" t="s">
        <v>3</v>
      </c>
      <c r="Q490" s="3">
        <v>260</v>
      </c>
      <c r="R490" s="3">
        <v>95</v>
      </c>
      <c r="S490" s="3">
        <v>24700</v>
      </c>
      <c r="T490" s="3">
        <v>2470</v>
      </c>
      <c r="U490" s="3">
        <v>27170.000000000004</v>
      </c>
    </row>
    <row r="491" spans="1:21" x14ac:dyDescent="0.25">
      <c r="A491" s="1">
        <v>490</v>
      </c>
      <c r="B491" s="2">
        <v>45299</v>
      </c>
      <c r="C491" s="2">
        <v>45299</v>
      </c>
      <c r="D491" s="4">
        <v>2024</v>
      </c>
      <c r="E491" s="4">
        <v>1</v>
      </c>
      <c r="F491" s="4">
        <v>8</v>
      </c>
      <c r="G491" s="1" t="s">
        <v>30</v>
      </c>
      <c r="I491" s="1" t="s">
        <v>25</v>
      </c>
      <c r="J491" s="1" t="s">
        <v>29</v>
      </c>
      <c r="K491" s="3" t="s">
        <v>28</v>
      </c>
      <c r="L491" s="3" t="s">
        <v>6</v>
      </c>
      <c r="M491" s="3" t="s">
        <v>23</v>
      </c>
      <c r="N491" s="3" t="s">
        <v>4</v>
      </c>
      <c r="O491" s="3" t="s">
        <v>5</v>
      </c>
      <c r="P491" s="3" t="s">
        <v>3</v>
      </c>
      <c r="Q491" s="3">
        <v>170</v>
      </c>
      <c r="R491" s="3">
        <v>95</v>
      </c>
      <c r="S491" s="3">
        <v>16150</v>
      </c>
      <c r="T491" s="3">
        <v>1615</v>
      </c>
      <c r="U491" s="3">
        <v>17765</v>
      </c>
    </row>
    <row r="492" spans="1:21" x14ac:dyDescent="0.25">
      <c r="A492" s="1">
        <v>491</v>
      </c>
      <c r="B492" s="2">
        <v>45299</v>
      </c>
      <c r="C492" s="2">
        <v>45299</v>
      </c>
      <c r="D492" s="4">
        <v>2024</v>
      </c>
      <c r="E492" s="4">
        <v>1</v>
      </c>
      <c r="F492" s="4">
        <v>8</v>
      </c>
      <c r="G492" s="1" t="s">
        <v>30</v>
      </c>
      <c r="I492" s="1" t="s">
        <v>96</v>
      </c>
      <c r="J492" s="1" t="s">
        <v>97</v>
      </c>
      <c r="K492" s="3" t="s">
        <v>28</v>
      </c>
      <c r="L492" s="3" t="s">
        <v>6</v>
      </c>
      <c r="M492" s="3" t="s">
        <v>23</v>
      </c>
      <c r="N492" s="3" t="s">
        <v>4</v>
      </c>
      <c r="O492" s="3" t="s">
        <v>5</v>
      </c>
      <c r="P492" s="3" t="s">
        <v>3</v>
      </c>
      <c r="Q492" s="3">
        <v>320</v>
      </c>
      <c r="R492" s="3">
        <v>95</v>
      </c>
      <c r="S492" s="3">
        <v>30400</v>
      </c>
      <c r="T492" s="3">
        <v>3040</v>
      </c>
      <c r="U492" s="3">
        <v>33440</v>
      </c>
    </row>
    <row r="493" spans="1:21" x14ac:dyDescent="0.25">
      <c r="A493" s="1">
        <v>492</v>
      </c>
      <c r="B493" s="2">
        <v>45299</v>
      </c>
      <c r="C493" s="2">
        <v>45299</v>
      </c>
      <c r="D493" s="4">
        <v>2024</v>
      </c>
      <c r="E493" s="4">
        <v>1</v>
      </c>
      <c r="F493" s="4">
        <v>8</v>
      </c>
      <c r="G493" s="1" t="s">
        <v>30</v>
      </c>
      <c r="I493" s="1" t="s">
        <v>94</v>
      </c>
      <c r="J493" s="1" t="s">
        <v>95</v>
      </c>
      <c r="K493" s="3" t="s">
        <v>28</v>
      </c>
      <c r="L493" s="3" t="s">
        <v>6</v>
      </c>
      <c r="M493" s="3" t="s">
        <v>23</v>
      </c>
      <c r="N493" s="3" t="s">
        <v>4</v>
      </c>
      <c r="O493" s="3" t="s">
        <v>5</v>
      </c>
      <c r="P493" s="3" t="s">
        <v>3</v>
      </c>
      <c r="Q493" s="3">
        <v>260</v>
      </c>
      <c r="R493" s="3">
        <v>95</v>
      </c>
      <c r="S493" s="3">
        <v>24700</v>
      </c>
      <c r="T493" s="3">
        <v>2470</v>
      </c>
      <c r="U493" s="3">
        <v>27170.000000000004</v>
      </c>
    </row>
    <row r="494" spans="1:21" x14ac:dyDescent="0.25">
      <c r="A494" s="1">
        <v>493</v>
      </c>
      <c r="B494" s="2">
        <v>45299</v>
      </c>
      <c r="C494" s="2">
        <v>45299</v>
      </c>
      <c r="D494" s="4">
        <v>2024</v>
      </c>
      <c r="E494" s="4">
        <v>1</v>
      </c>
      <c r="F494" s="4">
        <v>8</v>
      </c>
      <c r="G494" s="1" t="s">
        <v>30</v>
      </c>
      <c r="I494" s="1" t="s">
        <v>82</v>
      </c>
      <c r="J494" s="1" t="s">
        <v>83</v>
      </c>
      <c r="K494" s="3" t="s">
        <v>28</v>
      </c>
      <c r="L494" s="3" t="s">
        <v>6</v>
      </c>
      <c r="M494" s="3" t="s">
        <v>23</v>
      </c>
      <c r="N494" s="3" t="s">
        <v>4</v>
      </c>
      <c r="O494" s="3" t="s">
        <v>5</v>
      </c>
      <c r="P494" s="3" t="s">
        <v>3</v>
      </c>
      <c r="Q494" s="3">
        <v>170</v>
      </c>
      <c r="R494" s="3">
        <v>95</v>
      </c>
      <c r="S494" s="3">
        <v>16150</v>
      </c>
      <c r="T494" s="3">
        <v>1615</v>
      </c>
      <c r="U494" s="3">
        <v>17765</v>
      </c>
    </row>
    <row r="495" spans="1:21" x14ac:dyDescent="0.25">
      <c r="A495" s="1">
        <v>494</v>
      </c>
      <c r="B495" s="2">
        <v>45299</v>
      </c>
      <c r="C495" s="2">
        <v>45299</v>
      </c>
      <c r="D495" s="4">
        <v>2024</v>
      </c>
      <c r="E495" s="4">
        <v>1</v>
      </c>
      <c r="F495" s="4">
        <v>8</v>
      </c>
      <c r="G495" s="1" t="s">
        <v>30</v>
      </c>
      <c r="I495" s="1" t="s">
        <v>102</v>
      </c>
      <c r="J495" s="1" t="s">
        <v>103</v>
      </c>
      <c r="K495" s="3" t="s">
        <v>28</v>
      </c>
      <c r="L495" s="3" t="s">
        <v>6</v>
      </c>
      <c r="M495" s="3" t="s">
        <v>23</v>
      </c>
      <c r="N495" s="3" t="s">
        <v>4</v>
      </c>
      <c r="O495" s="3" t="s">
        <v>5</v>
      </c>
      <c r="P495" s="3" t="s">
        <v>3</v>
      </c>
      <c r="Q495" s="3">
        <v>180</v>
      </c>
      <c r="R495" s="3">
        <v>95</v>
      </c>
      <c r="S495" s="3">
        <v>17100</v>
      </c>
      <c r="T495" s="3">
        <v>1710</v>
      </c>
      <c r="U495" s="3">
        <v>18810</v>
      </c>
    </row>
    <row r="496" spans="1:21" x14ac:dyDescent="0.25">
      <c r="A496" s="1">
        <v>495</v>
      </c>
      <c r="B496" s="2">
        <v>45299</v>
      </c>
      <c r="C496" s="2">
        <v>45299</v>
      </c>
      <c r="D496" s="4">
        <v>2024</v>
      </c>
      <c r="E496" s="4">
        <v>1</v>
      </c>
      <c r="F496" s="4">
        <v>8</v>
      </c>
      <c r="G496" s="1" t="s">
        <v>30</v>
      </c>
      <c r="I496" s="1" t="s">
        <v>82</v>
      </c>
      <c r="J496" s="1" t="s">
        <v>83</v>
      </c>
      <c r="K496" s="3" t="s">
        <v>28</v>
      </c>
      <c r="L496" s="3" t="s">
        <v>6</v>
      </c>
      <c r="M496" s="3" t="s">
        <v>23</v>
      </c>
      <c r="N496" s="3" t="s">
        <v>4</v>
      </c>
      <c r="O496" s="3" t="s">
        <v>5</v>
      </c>
      <c r="P496" s="3" t="s">
        <v>3</v>
      </c>
      <c r="Q496" s="3">
        <v>210</v>
      </c>
      <c r="R496" s="3">
        <v>95</v>
      </c>
      <c r="S496" s="3">
        <v>19950</v>
      </c>
      <c r="T496" s="3">
        <v>1995</v>
      </c>
      <c r="U496" s="3">
        <v>21945</v>
      </c>
    </row>
    <row r="497" spans="1:21" x14ac:dyDescent="0.25">
      <c r="A497" s="1">
        <v>496</v>
      </c>
      <c r="B497" s="2">
        <v>45299</v>
      </c>
      <c r="C497" s="2">
        <v>45299</v>
      </c>
      <c r="D497" s="4">
        <v>2024</v>
      </c>
      <c r="E497" s="4">
        <v>1</v>
      </c>
      <c r="F497" s="4">
        <v>8</v>
      </c>
      <c r="G497" s="1" t="s">
        <v>30</v>
      </c>
      <c r="I497" s="1" t="s">
        <v>96</v>
      </c>
      <c r="J497" s="1" t="s">
        <v>97</v>
      </c>
      <c r="K497" s="3" t="s">
        <v>28</v>
      </c>
      <c r="L497" s="3" t="s">
        <v>6</v>
      </c>
      <c r="M497" s="3" t="s">
        <v>23</v>
      </c>
      <c r="N497" s="3" t="s">
        <v>4</v>
      </c>
      <c r="O497" s="3" t="s">
        <v>5</v>
      </c>
      <c r="P497" s="3" t="s">
        <v>3</v>
      </c>
      <c r="Q497" s="3">
        <v>200</v>
      </c>
      <c r="R497" s="3">
        <v>95</v>
      </c>
      <c r="S497" s="3">
        <v>19000</v>
      </c>
      <c r="T497" s="3">
        <v>1900</v>
      </c>
      <c r="U497" s="3">
        <v>20900</v>
      </c>
    </row>
    <row r="498" spans="1:21" x14ac:dyDescent="0.25">
      <c r="A498" s="1">
        <v>497</v>
      </c>
      <c r="B498" s="2">
        <v>45299</v>
      </c>
      <c r="C498" s="2">
        <v>45299</v>
      </c>
      <c r="D498" s="4">
        <v>2024</v>
      </c>
      <c r="E498" s="4">
        <v>1</v>
      </c>
      <c r="F498" s="4">
        <v>8</v>
      </c>
      <c r="G498" s="1" t="s">
        <v>30</v>
      </c>
      <c r="I498" s="1" t="s">
        <v>86</v>
      </c>
      <c r="J498" s="1" t="s">
        <v>87</v>
      </c>
      <c r="K498" s="3" t="s">
        <v>28</v>
      </c>
      <c r="L498" s="3" t="s">
        <v>6</v>
      </c>
      <c r="M498" s="3" t="s">
        <v>23</v>
      </c>
      <c r="N498" s="3" t="s">
        <v>4</v>
      </c>
      <c r="O498" s="3" t="s">
        <v>5</v>
      </c>
      <c r="P498" s="3" t="s">
        <v>3</v>
      </c>
      <c r="Q498" s="3">
        <v>180</v>
      </c>
      <c r="R498" s="3">
        <v>95</v>
      </c>
      <c r="S498" s="3">
        <v>17100</v>
      </c>
      <c r="T498" s="3">
        <v>1710</v>
      </c>
      <c r="U498" s="3">
        <v>18810</v>
      </c>
    </row>
    <row r="499" spans="1:21" x14ac:dyDescent="0.25">
      <c r="A499" s="1">
        <v>499</v>
      </c>
      <c r="B499" s="2">
        <v>45300</v>
      </c>
      <c r="C499" s="2">
        <v>45300</v>
      </c>
      <c r="D499" s="4">
        <v>2024</v>
      </c>
      <c r="E499" s="4">
        <v>1</v>
      </c>
      <c r="F499" s="4">
        <v>9</v>
      </c>
      <c r="G499" s="1" t="s">
        <v>32</v>
      </c>
      <c r="I499" s="1" t="s">
        <v>41</v>
      </c>
      <c r="J499" s="1" t="s">
        <v>32</v>
      </c>
      <c r="K499" s="3" t="s">
        <v>119</v>
      </c>
      <c r="L499" s="3" t="s">
        <v>6</v>
      </c>
      <c r="M499" s="3" t="s">
        <v>23</v>
      </c>
      <c r="N499" s="3" t="s">
        <v>4</v>
      </c>
      <c r="O499" s="3" t="s">
        <v>2</v>
      </c>
      <c r="P499" s="3" t="s">
        <v>3</v>
      </c>
      <c r="Q499" s="3">
        <v>5215</v>
      </c>
      <c r="R499" s="3">
        <v>90</v>
      </c>
      <c r="S499" s="3">
        <v>469350</v>
      </c>
      <c r="T499" s="3">
        <v>46935</v>
      </c>
      <c r="U499" s="3">
        <v>516285.00000000006</v>
      </c>
    </row>
    <row r="500" spans="1:21" x14ac:dyDescent="0.25">
      <c r="A500" s="1">
        <v>500</v>
      </c>
      <c r="B500" s="2">
        <v>45300</v>
      </c>
      <c r="C500" s="2">
        <v>45300</v>
      </c>
      <c r="D500" s="4">
        <v>2024</v>
      </c>
      <c r="E500" s="4">
        <v>1</v>
      </c>
      <c r="F500" s="4">
        <v>9</v>
      </c>
      <c r="G500" s="1" t="s">
        <v>36</v>
      </c>
      <c r="I500" s="1" t="s">
        <v>106</v>
      </c>
      <c r="J500" s="1" t="s">
        <v>36</v>
      </c>
      <c r="K500" s="3" t="s">
        <v>119</v>
      </c>
      <c r="L500" s="3" t="s">
        <v>46</v>
      </c>
      <c r="M500" s="3" t="s">
        <v>23</v>
      </c>
      <c r="N500" s="3" t="s">
        <v>47</v>
      </c>
      <c r="O500" s="3" t="s">
        <v>2</v>
      </c>
      <c r="P500" s="3" t="s">
        <v>3</v>
      </c>
      <c r="Q500" s="3">
        <v>2855</v>
      </c>
      <c r="R500" s="3">
        <v>0</v>
      </c>
      <c r="S500" s="3">
        <v>0</v>
      </c>
      <c r="T500" s="3">
        <v>0</v>
      </c>
      <c r="U500" s="3">
        <v>0</v>
      </c>
    </row>
    <row r="501" spans="1:21" x14ac:dyDescent="0.25">
      <c r="A501" s="1">
        <v>501</v>
      </c>
      <c r="B501" s="2">
        <v>45300</v>
      </c>
      <c r="C501" s="2">
        <v>45300</v>
      </c>
      <c r="D501" s="4">
        <v>2024</v>
      </c>
      <c r="E501" s="4">
        <v>1</v>
      </c>
      <c r="F501" s="4">
        <v>9</v>
      </c>
      <c r="G501" s="1" t="s">
        <v>36</v>
      </c>
      <c r="I501" s="1" t="s">
        <v>48</v>
      </c>
      <c r="J501" s="1" t="s">
        <v>36</v>
      </c>
      <c r="K501" s="3" t="s">
        <v>119</v>
      </c>
      <c r="L501" s="3" t="s">
        <v>77</v>
      </c>
      <c r="M501" s="3" t="s">
        <v>23</v>
      </c>
      <c r="N501" s="3" t="s">
        <v>78</v>
      </c>
      <c r="O501" s="3" t="s">
        <v>2</v>
      </c>
      <c r="P501" s="3" t="s">
        <v>3</v>
      </c>
      <c r="Q501" s="3">
        <v>3750</v>
      </c>
      <c r="R501" s="3">
        <v>0</v>
      </c>
      <c r="S501" s="3">
        <v>0</v>
      </c>
      <c r="T501" s="3">
        <v>0</v>
      </c>
      <c r="U501" s="3">
        <v>0</v>
      </c>
    </row>
    <row r="502" spans="1:21" x14ac:dyDescent="0.25">
      <c r="A502" s="1">
        <v>502</v>
      </c>
      <c r="B502" s="2">
        <v>45300</v>
      </c>
      <c r="C502" s="2">
        <v>45300</v>
      </c>
      <c r="D502" s="4">
        <v>2024</v>
      </c>
      <c r="E502" s="4">
        <v>1</v>
      </c>
      <c r="F502" s="4">
        <v>9</v>
      </c>
      <c r="G502" s="1" t="s">
        <v>36</v>
      </c>
      <c r="I502" s="1" t="s">
        <v>118</v>
      </c>
      <c r="J502" s="1" t="s">
        <v>36</v>
      </c>
      <c r="K502" s="3" t="s">
        <v>119</v>
      </c>
      <c r="L502" s="3" t="s">
        <v>46</v>
      </c>
      <c r="M502" s="3" t="s">
        <v>23</v>
      </c>
      <c r="N502" s="3" t="s">
        <v>47</v>
      </c>
      <c r="O502" s="3" t="s">
        <v>2</v>
      </c>
      <c r="P502" s="3" t="s">
        <v>3</v>
      </c>
      <c r="Q502" s="3">
        <v>2975</v>
      </c>
      <c r="R502" s="3">
        <v>0</v>
      </c>
      <c r="S502" s="3">
        <v>0</v>
      </c>
      <c r="T502" s="3">
        <v>0</v>
      </c>
      <c r="U502" s="3">
        <v>0</v>
      </c>
    </row>
    <row r="503" spans="1:21" x14ac:dyDescent="0.25">
      <c r="A503" s="1">
        <v>503</v>
      </c>
      <c r="B503" s="2">
        <v>45300</v>
      </c>
      <c r="C503" s="2">
        <v>45300</v>
      </c>
      <c r="D503" s="4">
        <v>2024</v>
      </c>
      <c r="E503" s="4">
        <v>1</v>
      </c>
      <c r="F503" s="4">
        <v>9</v>
      </c>
      <c r="G503" s="1" t="s">
        <v>34</v>
      </c>
      <c r="I503" s="1" t="s">
        <v>71</v>
      </c>
      <c r="J503" s="1" t="s">
        <v>34</v>
      </c>
      <c r="K503" s="3" t="s">
        <v>119</v>
      </c>
      <c r="L503" s="3" t="s">
        <v>72</v>
      </c>
      <c r="M503" s="3" t="s">
        <v>73</v>
      </c>
      <c r="N503" s="3" t="s">
        <v>74</v>
      </c>
      <c r="O503" s="3" t="s">
        <v>2</v>
      </c>
      <c r="P503" s="3" t="s">
        <v>3</v>
      </c>
      <c r="Q503" s="3">
        <v>1865</v>
      </c>
      <c r="R503" s="3">
        <v>1450</v>
      </c>
      <c r="S503" s="3">
        <v>2704250</v>
      </c>
      <c r="T503" s="3">
        <v>270425</v>
      </c>
      <c r="U503" s="3">
        <v>2974675.0000000005</v>
      </c>
    </row>
    <row r="504" spans="1:21" x14ac:dyDescent="0.25">
      <c r="A504" s="1">
        <v>504</v>
      </c>
      <c r="B504" s="2">
        <v>45300</v>
      </c>
      <c r="C504" s="2">
        <v>45300</v>
      </c>
      <c r="D504" s="4">
        <v>2024</v>
      </c>
      <c r="E504" s="4">
        <v>1</v>
      </c>
      <c r="F504" s="4">
        <v>9</v>
      </c>
      <c r="G504" s="1" t="s">
        <v>32</v>
      </c>
      <c r="I504" s="1" t="s">
        <v>41</v>
      </c>
      <c r="J504" s="1" t="s">
        <v>32</v>
      </c>
      <c r="K504" s="3" t="s">
        <v>119</v>
      </c>
      <c r="L504" s="3" t="s">
        <v>6</v>
      </c>
      <c r="M504" s="3" t="s">
        <v>23</v>
      </c>
      <c r="N504" s="3" t="s">
        <v>4</v>
      </c>
      <c r="O504" s="3" t="s">
        <v>2</v>
      </c>
      <c r="P504" s="3" t="s">
        <v>3</v>
      </c>
      <c r="Q504" s="3">
        <v>5105</v>
      </c>
      <c r="R504" s="3">
        <v>90</v>
      </c>
      <c r="S504" s="3">
        <v>459450</v>
      </c>
      <c r="T504" s="3">
        <v>45945</v>
      </c>
      <c r="U504" s="3">
        <v>505395.00000000006</v>
      </c>
    </row>
    <row r="505" spans="1:21" x14ac:dyDescent="0.25">
      <c r="A505" s="1">
        <v>505</v>
      </c>
      <c r="B505" s="2">
        <v>45300</v>
      </c>
      <c r="C505" s="2">
        <v>45300</v>
      </c>
      <c r="D505" s="4">
        <v>2024</v>
      </c>
      <c r="E505" s="4">
        <v>1</v>
      </c>
      <c r="F505" s="4">
        <v>9</v>
      </c>
      <c r="G505" s="1" t="s">
        <v>36</v>
      </c>
      <c r="I505" s="1" t="s">
        <v>49</v>
      </c>
      <c r="J505" s="1" t="s">
        <v>36</v>
      </c>
      <c r="K505" s="3" t="s">
        <v>119</v>
      </c>
      <c r="L505" s="3" t="s">
        <v>46</v>
      </c>
      <c r="M505" s="3" t="s">
        <v>23</v>
      </c>
      <c r="N505" s="3" t="s">
        <v>47</v>
      </c>
      <c r="O505" s="3" t="s">
        <v>2</v>
      </c>
      <c r="P505" s="3" t="s">
        <v>3</v>
      </c>
      <c r="Q505" s="3">
        <v>2770</v>
      </c>
      <c r="R505" s="3">
        <v>0</v>
      </c>
      <c r="S505" s="3">
        <v>0</v>
      </c>
      <c r="T505" s="3">
        <v>0</v>
      </c>
      <c r="U505" s="3">
        <v>0</v>
      </c>
    </row>
    <row r="506" spans="1:21" x14ac:dyDescent="0.25">
      <c r="A506" s="1">
        <v>506</v>
      </c>
      <c r="B506" s="2">
        <v>45300</v>
      </c>
      <c r="C506" s="2">
        <v>45300</v>
      </c>
      <c r="D506" s="4">
        <v>2024</v>
      </c>
      <c r="E506" s="4">
        <v>1</v>
      </c>
      <c r="F506" s="4">
        <v>9</v>
      </c>
      <c r="G506" s="1" t="s">
        <v>36</v>
      </c>
      <c r="I506" s="1" t="s">
        <v>51</v>
      </c>
      <c r="J506" s="1" t="s">
        <v>36</v>
      </c>
      <c r="K506" s="3" t="s">
        <v>119</v>
      </c>
      <c r="L506" s="3" t="s">
        <v>46</v>
      </c>
      <c r="M506" s="3" t="s">
        <v>23</v>
      </c>
      <c r="N506" s="3" t="s">
        <v>47</v>
      </c>
      <c r="O506" s="3" t="s">
        <v>2</v>
      </c>
      <c r="P506" s="3" t="s">
        <v>3</v>
      </c>
      <c r="Q506" s="3">
        <v>3080</v>
      </c>
      <c r="R506" s="3">
        <v>0</v>
      </c>
      <c r="S506" s="3">
        <v>0</v>
      </c>
      <c r="T506" s="3">
        <v>0</v>
      </c>
      <c r="U506" s="3">
        <v>0</v>
      </c>
    </row>
    <row r="507" spans="1:21" x14ac:dyDescent="0.25">
      <c r="A507" s="1">
        <v>507</v>
      </c>
      <c r="B507" s="2">
        <v>45300</v>
      </c>
      <c r="C507" s="2">
        <v>45300</v>
      </c>
      <c r="D507" s="4">
        <v>2024</v>
      </c>
      <c r="E507" s="4">
        <v>1</v>
      </c>
      <c r="F507" s="4">
        <v>9</v>
      </c>
      <c r="G507" s="1" t="s">
        <v>33</v>
      </c>
      <c r="I507" s="1" t="s">
        <v>137</v>
      </c>
      <c r="J507" s="1" t="s">
        <v>33</v>
      </c>
      <c r="K507" s="3" t="s">
        <v>119</v>
      </c>
      <c r="L507" s="3" t="s">
        <v>75</v>
      </c>
      <c r="M507" s="3" t="s">
        <v>76</v>
      </c>
      <c r="N507" s="3" t="s">
        <v>76</v>
      </c>
      <c r="O507" s="3" t="s">
        <v>2</v>
      </c>
      <c r="P507" s="3" t="s">
        <v>3</v>
      </c>
      <c r="Q507" s="3">
        <v>2040</v>
      </c>
      <c r="R507" s="3">
        <v>220</v>
      </c>
      <c r="S507" s="3">
        <v>448800</v>
      </c>
      <c r="T507" s="3">
        <v>44880</v>
      </c>
      <c r="U507" s="3">
        <v>493680.00000000006</v>
      </c>
    </row>
    <row r="508" spans="1:21" x14ac:dyDescent="0.25">
      <c r="A508" s="1">
        <v>508</v>
      </c>
      <c r="B508" s="2">
        <v>45300</v>
      </c>
      <c r="C508" s="2">
        <v>45300</v>
      </c>
      <c r="D508" s="4">
        <v>2024</v>
      </c>
      <c r="E508" s="4">
        <v>1</v>
      </c>
      <c r="F508" s="4">
        <v>9</v>
      </c>
      <c r="G508" s="1" t="s">
        <v>31</v>
      </c>
      <c r="H508" s="1" t="s">
        <v>52</v>
      </c>
      <c r="I508" s="1" t="s">
        <v>53</v>
      </c>
      <c r="J508" s="1" t="s">
        <v>54</v>
      </c>
      <c r="K508" s="3" t="s">
        <v>28</v>
      </c>
      <c r="L508" s="3" t="s">
        <v>6</v>
      </c>
      <c r="M508" s="3" t="s">
        <v>23</v>
      </c>
      <c r="N508" s="3" t="s">
        <v>4</v>
      </c>
      <c r="O508" s="3" t="s">
        <v>5</v>
      </c>
      <c r="P508" s="3" t="s">
        <v>3</v>
      </c>
      <c r="Q508" s="3">
        <v>300</v>
      </c>
      <c r="R508" s="3">
        <v>85</v>
      </c>
      <c r="S508" s="3">
        <v>25500</v>
      </c>
      <c r="T508" s="3">
        <v>2550</v>
      </c>
      <c r="U508" s="3">
        <v>28050.000000000004</v>
      </c>
    </row>
    <row r="509" spans="1:21" x14ac:dyDescent="0.25">
      <c r="A509" s="1">
        <v>509</v>
      </c>
      <c r="B509" s="2">
        <v>45300</v>
      </c>
      <c r="C509" s="2">
        <v>45300</v>
      </c>
      <c r="D509" s="4">
        <v>2024</v>
      </c>
      <c r="E509" s="4">
        <v>1</v>
      </c>
      <c r="F509" s="4">
        <v>9</v>
      </c>
      <c r="G509" s="1" t="s">
        <v>31</v>
      </c>
      <c r="H509" s="1" t="s">
        <v>52</v>
      </c>
      <c r="I509" s="1" t="s">
        <v>53</v>
      </c>
      <c r="J509" s="1" t="s">
        <v>54</v>
      </c>
      <c r="K509" s="3" t="s">
        <v>28</v>
      </c>
      <c r="L509" s="3" t="s">
        <v>6</v>
      </c>
      <c r="M509" s="3" t="s">
        <v>23</v>
      </c>
      <c r="N509" s="3" t="s">
        <v>4</v>
      </c>
      <c r="O509" s="3" t="s">
        <v>5</v>
      </c>
      <c r="P509" s="3" t="s">
        <v>3</v>
      </c>
      <c r="Q509" s="3">
        <v>170</v>
      </c>
      <c r="R509" s="3">
        <v>85</v>
      </c>
      <c r="S509" s="3">
        <v>14450</v>
      </c>
      <c r="T509" s="3">
        <v>1445</v>
      </c>
      <c r="U509" s="3">
        <v>15895.000000000002</v>
      </c>
    </row>
    <row r="510" spans="1:21" x14ac:dyDescent="0.25">
      <c r="A510" s="1">
        <v>510</v>
      </c>
      <c r="B510" s="2">
        <v>45300</v>
      </c>
      <c r="C510" s="2">
        <v>45300</v>
      </c>
      <c r="D510" s="4">
        <v>2024</v>
      </c>
      <c r="E510" s="4">
        <v>1</v>
      </c>
      <c r="F510" s="4">
        <v>9</v>
      </c>
      <c r="G510" s="1" t="s">
        <v>31</v>
      </c>
      <c r="H510" s="1" t="s">
        <v>52</v>
      </c>
      <c r="I510" s="1" t="s">
        <v>53</v>
      </c>
      <c r="J510" s="1" t="s">
        <v>54</v>
      </c>
      <c r="K510" s="3" t="s">
        <v>28</v>
      </c>
      <c r="L510" s="3" t="s">
        <v>6</v>
      </c>
      <c r="M510" s="3" t="s">
        <v>23</v>
      </c>
      <c r="N510" s="3" t="s">
        <v>4</v>
      </c>
      <c r="O510" s="3" t="s">
        <v>5</v>
      </c>
      <c r="P510" s="3" t="s">
        <v>3</v>
      </c>
      <c r="Q510" s="3">
        <v>80</v>
      </c>
      <c r="R510" s="3">
        <v>85</v>
      </c>
      <c r="S510" s="3">
        <v>6800</v>
      </c>
      <c r="T510" s="3">
        <v>680</v>
      </c>
      <c r="U510" s="3">
        <v>7480.0000000000009</v>
      </c>
    </row>
    <row r="511" spans="1:21" x14ac:dyDescent="0.25">
      <c r="A511" s="1">
        <v>511</v>
      </c>
      <c r="B511" s="2">
        <v>45300</v>
      </c>
      <c r="C511" s="2">
        <v>45300</v>
      </c>
      <c r="D511" s="4">
        <v>2024</v>
      </c>
      <c r="E511" s="4">
        <v>1</v>
      </c>
      <c r="F511" s="4">
        <v>9</v>
      </c>
      <c r="G511" s="1" t="s">
        <v>31</v>
      </c>
      <c r="H511" s="1" t="s">
        <v>52</v>
      </c>
      <c r="I511" s="1" t="s">
        <v>53</v>
      </c>
      <c r="J511" s="1" t="s">
        <v>54</v>
      </c>
      <c r="K511" s="3" t="s">
        <v>28</v>
      </c>
      <c r="L511" s="3" t="s">
        <v>6</v>
      </c>
      <c r="M511" s="3" t="s">
        <v>23</v>
      </c>
      <c r="N511" s="3" t="s">
        <v>4</v>
      </c>
      <c r="O511" s="3" t="s">
        <v>5</v>
      </c>
      <c r="P511" s="3" t="s">
        <v>3</v>
      </c>
      <c r="Q511" s="3">
        <v>220</v>
      </c>
      <c r="R511" s="3">
        <v>85</v>
      </c>
      <c r="S511" s="3">
        <v>18700</v>
      </c>
      <c r="T511" s="3">
        <v>1870</v>
      </c>
      <c r="U511" s="3">
        <v>20570</v>
      </c>
    </row>
    <row r="512" spans="1:21" x14ac:dyDescent="0.25">
      <c r="A512" s="1">
        <v>512</v>
      </c>
      <c r="B512" s="2">
        <v>45300</v>
      </c>
      <c r="C512" s="2">
        <v>45300</v>
      </c>
      <c r="D512" s="4">
        <v>2024</v>
      </c>
      <c r="E512" s="4">
        <v>1</v>
      </c>
      <c r="F512" s="4">
        <v>9</v>
      </c>
      <c r="G512" s="1" t="s">
        <v>31</v>
      </c>
      <c r="I512" s="1" t="s">
        <v>59</v>
      </c>
      <c r="J512" s="1" t="s">
        <v>60</v>
      </c>
      <c r="K512" s="3" t="s">
        <v>28</v>
      </c>
      <c r="L512" s="3" t="s">
        <v>6</v>
      </c>
      <c r="M512" s="3" t="s">
        <v>23</v>
      </c>
      <c r="N512" s="3" t="s">
        <v>4</v>
      </c>
      <c r="O512" s="3" t="s">
        <v>5</v>
      </c>
      <c r="P512" s="3" t="s">
        <v>3</v>
      </c>
      <c r="Q512" s="3">
        <v>120</v>
      </c>
      <c r="R512" s="3">
        <v>85</v>
      </c>
      <c r="S512" s="3">
        <v>10200</v>
      </c>
      <c r="T512" s="3">
        <v>1020</v>
      </c>
      <c r="U512" s="3">
        <v>11220</v>
      </c>
    </row>
    <row r="513" spans="1:21" x14ac:dyDescent="0.25">
      <c r="A513" s="1">
        <v>513</v>
      </c>
      <c r="B513" s="2">
        <v>45300</v>
      </c>
      <c r="C513" s="2">
        <v>45300</v>
      </c>
      <c r="D513" s="4">
        <v>2024</v>
      </c>
      <c r="E513" s="4">
        <v>1</v>
      </c>
      <c r="F513" s="4">
        <v>9</v>
      </c>
      <c r="G513" s="1" t="s">
        <v>31</v>
      </c>
      <c r="I513" s="1" t="s">
        <v>61</v>
      </c>
      <c r="J513" s="1" t="s">
        <v>62</v>
      </c>
      <c r="K513" s="3" t="s">
        <v>28</v>
      </c>
      <c r="L513" s="3" t="s">
        <v>6</v>
      </c>
      <c r="M513" s="3" t="s">
        <v>23</v>
      </c>
      <c r="N513" s="3" t="s">
        <v>4</v>
      </c>
      <c r="O513" s="3" t="s">
        <v>5</v>
      </c>
      <c r="P513" s="3" t="s">
        <v>3</v>
      </c>
      <c r="Q513" s="3">
        <v>180</v>
      </c>
      <c r="R513" s="3">
        <v>85</v>
      </c>
      <c r="S513" s="3">
        <v>15300</v>
      </c>
      <c r="T513" s="3">
        <v>1530</v>
      </c>
      <c r="U513" s="3">
        <v>16830</v>
      </c>
    </row>
    <row r="514" spans="1:21" x14ac:dyDescent="0.25">
      <c r="A514" s="1">
        <v>514</v>
      </c>
      <c r="B514" s="2">
        <v>45300</v>
      </c>
      <c r="C514" s="2">
        <v>45300</v>
      </c>
      <c r="D514" s="4">
        <v>2024</v>
      </c>
      <c r="E514" s="4">
        <v>1</v>
      </c>
      <c r="F514" s="4">
        <v>9</v>
      </c>
      <c r="G514" s="1" t="s">
        <v>31</v>
      </c>
      <c r="I514" s="1" t="s">
        <v>67</v>
      </c>
      <c r="J514" s="1" t="s">
        <v>68</v>
      </c>
      <c r="K514" s="3" t="s">
        <v>28</v>
      </c>
      <c r="L514" s="3" t="s">
        <v>6</v>
      </c>
      <c r="M514" s="3" t="s">
        <v>23</v>
      </c>
      <c r="N514" s="3" t="s">
        <v>4</v>
      </c>
      <c r="O514" s="3" t="s">
        <v>5</v>
      </c>
      <c r="P514" s="3" t="s">
        <v>3</v>
      </c>
      <c r="Q514" s="3">
        <v>110</v>
      </c>
      <c r="R514" s="3">
        <v>85</v>
      </c>
      <c r="S514" s="3">
        <v>9350</v>
      </c>
      <c r="T514" s="3">
        <v>935</v>
      </c>
      <c r="U514" s="3">
        <v>10285</v>
      </c>
    </row>
    <row r="515" spans="1:21" x14ac:dyDescent="0.25">
      <c r="A515" s="1">
        <v>515</v>
      </c>
      <c r="B515" s="2">
        <v>45300</v>
      </c>
      <c r="C515" s="2">
        <v>45300</v>
      </c>
      <c r="D515" s="4">
        <v>2024</v>
      </c>
      <c r="E515" s="4">
        <v>1</v>
      </c>
      <c r="F515" s="4">
        <v>9</v>
      </c>
      <c r="G515" s="1" t="s">
        <v>31</v>
      </c>
      <c r="I515" s="1" t="s">
        <v>57</v>
      </c>
      <c r="J515" s="1" t="s">
        <v>58</v>
      </c>
      <c r="K515" s="3" t="s">
        <v>28</v>
      </c>
      <c r="L515" s="3" t="s">
        <v>6</v>
      </c>
      <c r="M515" s="3" t="s">
        <v>23</v>
      </c>
      <c r="N515" s="3" t="s">
        <v>4</v>
      </c>
      <c r="O515" s="3" t="s">
        <v>5</v>
      </c>
      <c r="P515" s="3" t="s">
        <v>3</v>
      </c>
      <c r="Q515" s="3">
        <v>180</v>
      </c>
      <c r="R515" s="3">
        <v>85</v>
      </c>
      <c r="S515" s="3">
        <v>15300</v>
      </c>
      <c r="T515" s="3">
        <v>1530</v>
      </c>
      <c r="U515" s="3">
        <v>16830</v>
      </c>
    </row>
    <row r="516" spans="1:21" x14ac:dyDescent="0.25">
      <c r="A516" s="1">
        <v>516</v>
      </c>
      <c r="B516" s="2">
        <v>45300</v>
      </c>
      <c r="C516" s="2">
        <v>45300</v>
      </c>
      <c r="D516" s="4">
        <v>2024</v>
      </c>
      <c r="E516" s="4">
        <v>1</v>
      </c>
      <c r="F516" s="4">
        <v>9</v>
      </c>
      <c r="G516" s="1" t="s">
        <v>31</v>
      </c>
      <c r="I516" s="1" t="s">
        <v>61</v>
      </c>
      <c r="J516" s="1" t="s">
        <v>62</v>
      </c>
      <c r="K516" s="3" t="s">
        <v>28</v>
      </c>
      <c r="L516" s="3" t="s">
        <v>6</v>
      </c>
      <c r="M516" s="3" t="s">
        <v>23</v>
      </c>
      <c r="N516" s="3" t="s">
        <v>4</v>
      </c>
      <c r="O516" s="3" t="s">
        <v>5</v>
      </c>
      <c r="P516" s="3" t="s">
        <v>3</v>
      </c>
      <c r="Q516" s="3">
        <v>200</v>
      </c>
      <c r="R516" s="3">
        <v>85</v>
      </c>
      <c r="S516" s="3">
        <v>17000</v>
      </c>
      <c r="T516" s="3">
        <v>1700</v>
      </c>
      <c r="U516" s="3">
        <v>18700</v>
      </c>
    </row>
    <row r="517" spans="1:21" x14ac:dyDescent="0.25">
      <c r="A517" s="1">
        <v>517</v>
      </c>
      <c r="B517" s="2">
        <v>45300</v>
      </c>
      <c r="C517" s="2">
        <v>45300</v>
      </c>
      <c r="D517" s="4">
        <v>2024</v>
      </c>
      <c r="E517" s="4">
        <v>1</v>
      </c>
      <c r="F517" s="4">
        <v>9</v>
      </c>
      <c r="G517" s="1" t="s">
        <v>31</v>
      </c>
      <c r="I517" s="1" t="s">
        <v>25</v>
      </c>
      <c r="J517" s="1" t="s">
        <v>29</v>
      </c>
      <c r="K517" s="3" t="s">
        <v>28</v>
      </c>
      <c r="L517" s="3" t="s">
        <v>6</v>
      </c>
      <c r="M517" s="3" t="s">
        <v>23</v>
      </c>
      <c r="N517" s="3" t="s">
        <v>4</v>
      </c>
      <c r="O517" s="3" t="s">
        <v>5</v>
      </c>
      <c r="P517" s="3" t="s">
        <v>3</v>
      </c>
      <c r="Q517" s="3">
        <v>230</v>
      </c>
      <c r="R517" s="3">
        <v>85</v>
      </c>
      <c r="S517" s="3">
        <v>19550</v>
      </c>
      <c r="T517" s="3">
        <v>1955</v>
      </c>
      <c r="U517" s="3">
        <v>21505</v>
      </c>
    </row>
    <row r="518" spans="1:21" x14ac:dyDescent="0.25">
      <c r="A518" s="1">
        <v>518</v>
      </c>
      <c r="B518" s="2">
        <v>45300</v>
      </c>
      <c r="C518" s="2">
        <v>45300</v>
      </c>
      <c r="D518" s="4">
        <v>2024</v>
      </c>
      <c r="E518" s="4">
        <v>1</v>
      </c>
      <c r="F518" s="4">
        <v>9</v>
      </c>
      <c r="G518" s="1" t="s">
        <v>31</v>
      </c>
      <c r="I518" s="1" t="s">
        <v>59</v>
      </c>
      <c r="J518" s="1" t="s">
        <v>60</v>
      </c>
      <c r="K518" s="3" t="s">
        <v>28</v>
      </c>
      <c r="L518" s="3" t="s">
        <v>6</v>
      </c>
      <c r="M518" s="3" t="s">
        <v>23</v>
      </c>
      <c r="N518" s="3" t="s">
        <v>4</v>
      </c>
      <c r="O518" s="3" t="s">
        <v>5</v>
      </c>
      <c r="P518" s="3" t="s">
        <v>3</v>
      </c>
      <c r="Q518" s="3">
        <v>110</v>
      </c>
      <c r="R518" s="3">
        <v>85</v>
      </c>
      <c r="S518" s="3">
        <v>9350</v>
      </c>
      <c r="T518" s="3">
        <v>935</v>
      </c>
      <c r="U518" s="3">
        <v>10285</v>
      </c>
    </row>
    <row r="519" spans="1:21" x14ac:dyDescent="0.25">
      <c r="A519" s="1">
        <v>519</v>
      </c>
      <c r="B519" s="2">
        <v>45300</v>
      </c>
      <c r="C519" s="2">
        <v>45300</v>
      </c>
      <c r="D519" s="4">
        <v>2024</v>
      </c>
      <c r="E519" s="4">
        <v>1</v>
      </c>
      <c r="F519" s="4">
        <v>9</v>
      </c>
      <c r="G519" s="1" t="s">
        <v>31</v>
      </c>
      <c r="I519" s="1" t="s">
        <v>63</v>
      </c>
      <c r="J519" s="1" t="s">
        <v>64</v>
      </c>
      <c r="K519" s="3" t="s">
        <v>28</v>
      </c>
      <c r="L519" s="3" t="s">
        <v>6</v>
      </c>
      <c r="M519" s="3" t="s">
        <v>23</v>
      </c>
      <c r="N519" s="3" t="s">
        <v>4</v>
      </c>
      <c r="O519" s="3" t="s">
        <v>5</v>
      </c>
      <c r="P519" s="3" t="s">
        <v>3</v>
      </c>
      <c r="Q519" s="3">
        <v>280</v>
      </c>
      <c r="R519" s="3">
        <v>85</v>
      </c>
      <c r="S519" s="3">
        <v>23800</v>
      </c>
      <c r="T519" s="3">
        <v>2380</v>
      </c>
      <c r="U519" s="3">
        <v>26180.000000000004</v>
      </c>
    </row>
    <row r="520" spans="1:21" x14ac:dyDescent="0.25">
      <c r="A520" s="1">
        <v>520</v>
      </c>
      <c r="B520" s="2">
        <v>45300</v>
      </c>
      <c r="C520" s="2">
        <v>45300</v>
      </c>
      <c r="D520" s="4">
        <v>2024</v>
      </c>
      <c r="E520" s="4">
        <v>1</v>
      </c>
      <c r="F520" s="4">
        <v>9</v>
      </c>
      <c r="G520" s="1" t="s">
        <v>31</v>
      </c>
      <c r="I520" s="1" t="s">
        <v>67</v>
      </c>
      <c r="J520" s="1" t="s">
        <v>68</v>
      </c>
      <c r="K520" s="3" t="s">
        <v>28</v>
      </c>
      <c r="L520" s="3" t="s">
        <v>6</v>
      </c>
      <c r="M520" s="3" t="s">
        <v>23</v>
      </c>
      <c r="N520" s="3" t="s">
        <v>4</v>
      </c>
      <c r="O520" s="3" t="s">
        <v>5</v>
      </c>
      <c r="P520" s="3" t="s">
        <v>3</v>
      </c>
      <c r="Q520" s="3">
        <v>90</v>
      </c>
      <c r="R520" s="3">
        <v>85</v>
      </c>
      <c r="S520" s="3">
        <v>7650</v>
      </c>
      <c r="T520" s="3">
        <v>765</v>
      </c>
      <c r="U520" s="3">
        <v>8415</v>
      </c>
    </row>
    <row r="521" spans="1:21" x14ac:dyDescent="0.25">
      <c r="A521" s="1">
        <v>521</v>
      </c>
      <c r="B521" s="2">
        <v>45300</v>
      </c>
      <c r="C521" s="2">
        <v>45300</v>
      </c>
      <c r="D521" s="4">
        <v>2024</v>
      </c>
      <c r="E521" s="4">
        <v>1</v>
      </c>
      <c r="F521" s="4">
        <v>9</v>
      </c>
      <c r="G521" s="1" t="s">
        <v>31</v>
      </c>
      <c r="I521" s="1" t="s">
        <v>65</v>
      </c>
      <c r="J521" s="1" t="s">
        <v>66</v>
      </c>
      <c r="K521" s="3" t="s">
        <v>28</v>
      </c>
      <c r="L521" s="3" t="s">
        <v>6</v>
      </c>
      <c r="M521" s="3" t="s">
        <v>23</v>
      </c>
      <c r="N521" s="3" t="s">
        <v>4</v>
      </c>
      <c r="O521" s="3" t="s">
        <v>5</v>
      </c>
      <c r="P521" s="3" t="s">
        <v>3</v>
      </c>
      <c r="Q521" s="3">
        <v>450</v>
      </c>
      <c r="R521" s="3">
        <v>85</v>
      </c>
      <c r="S521" s="3">
        <v>38250</v>
      </c>
      <c r="T521" s="3">
        <v>3825</v>
      </c>
      <c r="U521" s="3">
        <v>42075</v>
      </c>
    </row>
    <row r="522" spans="1:21" x14ac:dyDescent="0.25">
      <c r="A522" s="1">
        <v>522</v>
      </c>
      <c r="B522" s="2">
        <v>45300</v>
      </c>
      <c r="C522" s="2">
        <v>45300</v>
      </c>
      <c r="D522" s="4">
        <v>2024</v>
      </c>
      <c r="E522" s="4">
        <v>1</v>
      </c>
      <c r="F522" s="4">
        <v>9</v>
      </c>
      <c r="G522" s="1" t="s">
        <v>31</v>
      </c>
      <c r="I522" s="1" t="s">
        <v>55</v>
      </c>
      <c r="J522" s="1" t="s">
        <v>31</v>
      </c>
      <c r="K522" s="3" t="s">
        <v>119</v>
      </c>
      <c r="L522" s="3" t="s">
        <v>6</v>
      </c>
      <c r="M522" s="3" t="s">
        <v>23</v>
      </c>
      <c r="N522" s="3" t="s">
        <v>4</v>
      </c>
      <c r="O522" s="3" t="s">
        <v>2</v>
      </c>
      <c r="P522" s="3" t="s">
        <v>3</v>
      </c>
      <c r="Q522" s="3">
        <v>3300</v>
      </c>
      <c r="R522" s="3">
        <v>85</v>
      </c>
      <c r="S522" s="3">
        <v>280500</v>
      </c>
      <c r="T522" s="3">
        <v>28050</v>
      </c>
      <c r="U522" s="3">
        <v>308550</v>
      </c>
    </row>
    <row r="523" spans="1:21" x14ac:dyDescent="0.25">
      <c r="A523" s="1">
        <v>523</v>
      </c>
      <c r="B523" s="2">
        <v>45300</v>
      </c>
      <c r="C523" s="2">
        <v>45300</v>
      </c>
      <c r="D523" s="4">
        <v>2024</v>
      </c>
      <c r="E523" s="4">
        <v>1</v>
      </c>
      <c r="F523" s="4">
        <v>9</v>
      </c>
      <c r="G523" s="1" t="s">
        <v>31</v>
      </c>
      <c r="I523" s="1" t="s">
        <v>37</v>
      </c>
      <c r="J523" s="1" t="s">
        <v>38</v>
      </c>
      <c r="K523" s="3" t="s">
        <v>28</v>
      </c>
      <c r="L523" s="3" t="s">
        <v>6</v>
      </c>
      <c r="M523" s="3" t="s">
        <v>23</v>
      </c>
      <c r="N523" s="3" t="s">
        <v>4</v>
      </c>
      <c r="O523" s="3" t="s">
        <v>5</v>
      </c>
      <c r="P523" s="3" t="s">
        <v>3</v>
      </c>
      <c r="Q523" s="3">
        <v>280</v>
      </c>
      <c r="R523" s="3">
        <v>85</v>
      </c>
      <c r="S523" s="3">
        <v>23800</v>
      </c>
      <c r="T523" s="3">
        <v>2380</v>
      </c>
      <c r="U523" s="3">
        <v>26180.000000000004</v>
      </c>
    </row>
    <row r="524" spans="1:21" x14ac:dyDescent="0.25">
      <c r="A524" s="1">
        <v>524</v>
      </c>
      <c r="B524" s="2">
        <v>45300</v>
      </c>
      <c r="C524" s="2">
        <v>45300</v>
      </c>
      <c r="D524" s="4">
        <v>2024</v>
      </c>
      <c r="E524" s="4">
        <v>1</v>
      </c>
      <c r="F524" s="4">
        <v>9</v>
      </c>
      <c r="G524" s="1" t="s">
        <v>31</v>
      </c>
      <c r="I524" s="1" t="s">
        <v>59</v>
      </c>
      <c r="J524" s="1" t="s">
        <v>60</v>
      </c>
      <c r="K524" s="3" t="s">
        <v>28</v>
      </c>
      <c r="L524" s="3" t="s">
        <v>6</v>
      </c>
      <c r="M524" s="3" t="s">
        <v>23</v>
      </c>
      <c r="N524" s="3" t="s">
        <v>4</v>
      </c>
      <c r="O524" s="3" t="s">
        <v>5</v>
      </c>
      <c r="P524" s="3" t="s">
        <v>3</v>
      </c>
      <c r="Q524" s="3">
        <v>200</v>
      </c>
      <c r="R524" s="3">
        <v>85</v>
      </c>
      <c r="S524" s="3">
        <v>17000</v>
      </c>
      <c r="T524" s="3">
        <v>1700</v>
      </c>
      <c r="U524" s="3">
        <v>18700</v>
      </c>
    </row>
    <row r="525" spans="1:21" x14ac:dyDescent="0.25">
      <c r="A525" s="1">
        <v>525</v>
      </c>
      <c r="B525" s="2">
        <v>45300</v>
      </c>
      <c r="C525" s="2">
        <v>45300</v>
      </c>
      <c r="D525" s="4">
        <v>2024</v>
      </c>
      <c r="E525" s="4">
        <v>1</v>
      </c>
      <c r="F525" s="4">
        <v>9</v>
      </c>
      <c r="G525" s="1" t="s">
        <v>31</v>
      </c>
      <c r="I525" s="1" t="s">
        <v>61</v>
      </c>
      <c r="J525" s="1" t="s">
        <v>62</v>
      </c>
      <c r="K525" s="3" t="s">
        <v>28</v>
      </c>
      <c r="L525" s="3" t="s">
        <v>6</v>
      </c>
      <c r="M525" s="3" t="s">
        <v>23</v>
      </c>
      <c r="N525" s="3" t="s">
        <v>4</v>
      </c>
      <c r="O525" s="3" t="s">
        <v>5</v>
      </c>
      <c r="P525" s="3" t="s">
        <v>3</v>
      </c>
      <c r="Q525" s="3">
        <v>60</v>
      </c>
      <c r="R525" s="3">
        <v>85</v>
      </c>
      <c r="S525" s="3">
        <v>5100</v>
      </c>
      <c r="T525" s="3">
        <v>510</v>
      </c>
      <c r="U525" s="3">
        <v>5610</v>
      </c>
    </row>
    <row r="526" spans="1:21" x14ac:dyDescent="0.25">
      <c r="A526" s="1">
        <v>526</v>
      </c>
      <c r="B526" s="2">
        <v>45300</v>
      </c>
      <c r="C526" s="2">
        <v>45300</v>
      </c>
      <c r="D526" s="4">
        <v>2024</v>
      </c>
      <c r="E526" s="4">
        <v>1</v>
      </c>
      <c r="F526" s="4">
        <v>9</v>
      </c>
      <c r="G526" s="1" t="s">
        <v>31</v>
      </c>
      <c r="I526" s="1" t="s">
        <v>67</v>
      </c>
      <c r="J526" s="1" t="s">
        <v>68</v>
      </c>
      <c r="K526" s="3" t="s">
        <v>28</v>
      </c>
      <c r="L526" s="3" t="s">
        <v>6</v>
      </c>
      <c r="M526" s="3" t="s">
        <v>23</v>
      </c>
      <c r="N526" s="3" t="s">
        <v>4</v>
      </c>
      <c r="O526" s="3" t="s">
        <v>5</v>
      </c>
      <c r="P526" s="3" t="s">
        <v>3</v>
      </c>
      <c r="Q526" s="3">
        <v>70</v>
      </c>
      <c r="R526" s="3">
        <v>85</v>
      </c>
      <c r="S526" s="3">
        <v>5950</v>
      </c>
      <c r="T526" s="3">
        <v>595</v>
      </c>
      <c r="U526" s="3">
        <v>6545.0000000000009</v>
      </c>
    </row>
    <row r="527" spans="1:21" x14ac:dyDescent="0.25">
      <c r="A527" s="1">
        <v>527</v>
      </c>
      <c r="B527" s="2">
        <v>45300</v>
      </c>
      <c r="C527" s="2">
        <v>45300</v>
      </c>
      <c r="D527" s="4">
        <v>2024</v>
      </c>
      <c r="E527" s="4">
        <v>1</v>
      </c>
      <c r="F527" s="4">
        <v>9</v>
      </c>
      <c r="G527" s="1" t="s">
        <v>31</v>
      </c>
      <c r="I527" s="1" t="s">
        <v>100</v>
      </c>
      <c r="J527" s="1" t="s">
        <v>101</v>
      </c>
      <c r="K527" s="3" t="s">
        <v>28</v>
      </c>
      <c r="L527" s="3" t="s">
        <v>6</v>
      </c>
      <c r="M527" s="3" t="s">
        <v>23</v>
      </c>
      <c r="N527" s="3" t="s">
        <v>4</v>
      </c>
      <c r="O527" s="3" t="s">
        <v>5</v>
      </c>
      <c r="P527" s="3" t="s">
        <v>3</v>
      </c>
      <c r="Q527" s="3">
        <v>300</v>
      </c>
      <c r="R527" s="3">
        <v>85</v>
      </c>
      <c r="S527" s="3">
        <v>25500</v>
      </c>
      <c r="T527" s="3">
        <v>2550</v>
      </c>
      <c r="U527" s="3">
        <v>28050.000000000004</v>
      </c>
    </row>
    <row r="528" spans="1:21" x14ac:dyDescent="0.25">
      <c r="A528" s="1">
        <v>528</v>
      </c>
      <c r="B528" s="2">
        <v>45300</v>
      </c>
      <c r="C528" s="2">
        <v>45300</v>
      </c>
      <c r="D528" s="4">
        <v>2024</v>
      </c>
      <c r="E528" s="4">
        <v>1</v>
      </c>
      <c r="F528" s="4">
        <v>9</v>
      </c>
      <c r="G528" s="1" t="s">
        <v>31</v>
      </c>
      <c r="I528" s="1" t="s">
        <v>25</v>
      </c>
      <c r="J528" s="1" t="s">
        <v>29</v>
      </c>
      <c r="K528" s="3" t="s">
        <v>28</v>
      </c>
      <c r="L528" s="3" t="s">
        <v>6</v>
      </c>
      <c r="M528" s="3" t="s">
        <v>23</v>
      </c>
      <c r="N528" s="3" t="s">
        <v>4</v>
      </c>
      <c r="O528" s="3" t="s">
        <v>5</v>
      </c>
      <c r="P528" s="3" t="s">
        <v>3</v>
      </c>
      <c r="Q528" s="3">
        <v>80</v>
      </c>
      <c r="R528" s="3">
        <v>85</v>
      </c>
      <c r="S528" s="3">
        <v>6800</v>
      </c>
      <c r="T528" s="3">
        <v>680</v>
      </c>
      <c r="U528" s="3">
        <v>7480.0000000000009</v>
      </c>
    </row>
    <row r="529" spans="1:21" x14ac:dyDescent="0.25">
      <c r="A529" s="1">
        <v>529</v>
      </c>
      <c r="B529" s="2">
        <v>45300</v>
      </c>
      <c r="C529" s="2">
        <v>45300</v>
      </c>
      <c r="D529" s="4">
        <v>2024</v>
      </c>
      <c r="E529" s="4">
        <v>1</v>
      </c>
      <c r="F529" s="4">
        <v>9</v>
      </c>
      <c r="G529" s="1" t="s">
        <v>31</v>
      </c>
      <c r="I529" s="1" t="s">
        <v>69</v>
      </c>
      <c r="J529" s="1" t="s">
        <v>70</v>
      </c>
      <c r="K529" s="3" t="s">
        <v>28</v>
      </c>
      <c r="L529" s="3" t="s">
        <v>6</v>
      </c>
      <c r="M529" s="3" t="s">
        <v>23</v>
      </c>
      <c r="N529" s="3" t="s">
        <v>144</v>
      </c>
      <c r="O529" s="3" t="s">
        <v>5</v>
      </c>
      <c r="P529" s="3" t="s">
        <v>3</v>
      </c>
      <c r="Q529" s="3">
        <v>140</v>
      </c>
      <c r="R529" s="3">
        <v>140</v>
      </c>
      <c r="S529" s="3">
        <v>19600</v>
      </c>
      <c r="T529" s="3">
        <v>1960</v>
      </c>
      <c r="U529" s="3">
        <v>21560</v>
      </c>
    </row>
    <row r="530" spans="1:21" x14ac:dyDescent="0.25">
      <c r="A530" s="1">
        <v>530</v>
      </c>
      <c r="B530" s="2">
        <v>45300</v>
      </c>
      <c r="C530" s="2">
        <v>45300</v>
      </c>
      <c r="D530" s="4">
        <v>2024</v>
      </c>
      <c r="E530" s="4">
        <v>1</v>
      </c>
      <c r="F530" s="4">
        <v>9</v>
      </c>
      <c r="G530" s="1" t="s">
        <v>31</v>
      </c>
      <c r="I530" s="1" t="s">
        <v>67</v>
      </c>
      <c r="J530" s="1" t="s">
        <v>68</v>
      </c>
      <c r="K530" s="3" t="s">
        <v>28</v>
      </c>
      <c r="L530" s="3" t="s">
        <v>6</v>
      </c>
      <c r="M530" s="3" t="s">
        <v>23</v>
      </c>
      <c r="N530" s="3" t="s">
        <v>4</v>
      </c>
      <c r="O530" s="3" t="s">
        <v>5</v>
      </c>
      <c r="P530" s="3" t="s">
        <v>3</v>
      </c>
      <c r="Q530" s="3">
        <v>80</v>
      </c>
      <c r="R530" s="3">
        <v>85</v>
      </c>
      <c r="S530" s="3">
        <v>6800</v>
      </c>
      <c r="T530" s="3">
        <v>680</v>
      </c>
      <c r="U530" s="3">
        <v>7480.0000000000009</v>
      </c>
    </row>
    <row r="531" spans="1:21" x14ac:dyDescent="0.25">
      <c r="A531" s="1">
        <v>531</v>
      </c>
      <c r="B531" s="2">
        <v>45300</v>
      </c>
      <c r="C531" s="2">
        <v>45300</v>
      </c>
      <c r="D531" s="4">
        <v>2024</v>
      </c>
      <c r="E531" s="4">
        <v>1</v>
      </c>
      <c r="F531" s="4">
        <v>9</v>
      </c>
      <c r="G531" s="1" t="s">
        <v>31</v>
      </c>
      <c r="I531" s="1" t="s">
        <v>100</v>
      </c>
      <c r="J531" s="1" t="s">
        <v>101</v>
      </c>
      <c r="K531" s="3" t="s">
        <v>28</v>
      </c>
      <c r="L531" s="3" t="s">
        <v>6</v>
      </c>
      <c r="M531" s="3" t="s">
        <v>23</v>
      </c>
      <c r="N531" s="3" t="s">
        <v>4</v>
      </c>
      <c r="O531" s="3" t="s">
        <v>5</v>
      </c>
      <c r="P531" s="3" t="s">
        <v>3</v>
      </c>
      <c r="Q531" s="3">
        <v>100</v>
      </c>
      <c r="R531" s="3">
        <v>85</v>
      </c>
      <c r="S531" s="3">
        <v>8500</v>
      </c>
      <c r="T531" s="3">
        <v>850</v>
      </c>
      <c r="U531" s="3">
        <v>9350</v>
      </c>
    </row>
    <row r="532" spans="1:21" x14ac:dyDescent="0.25">
      <c r="A532" s="1">
        <v>532</v>
      </c>
      <c r="B532" s="2">
        <v>45300</v>
      </c>
      <c r="C532" s="2">
        <v>45300</v>
      </c>
      <c r="D532" s="4">
        <v>2024</v>
      </c>
      <c r="E532" s="4">
        <v>1</v>
      </c>
      <c r="F532" s="4">
        <v>9</v>
      </c>
      <c r="G532" s="1" t="s">
        <v>31</v>
      </c>
      <c r="I532" s="1" t="s">
        <v>57</v>
      </c>
      <c r="J532" s="1" t="s">
        <v>58</v>
      </c>
      <c r="K532" s="3" t="s">
        <v>28</v>
      </c>
      <c r="L532" s="3" t="s">
        <v>6</v>
      </c>
      <c r="M532" s="3" t="s">
        <v>23</v>
      </c>
      <c r="N532" s="3" t="s">
        <v>4</v>
      </c>
      <c r="O532" s="3" t="s">
        <v>5</v>
      </c>
      <c r="P532" s="3" t="s">
        <v>3</v>
      </c>
      <c r="Q532" s="3">
        <v>230</v>
      </c>
      <c r="R532" s="3">
        <v>85</v>
      </c>
      <c r="S532" s="3">
        <v>19550</v>
      </c>
      <c r="T532" s="3">
        <v>1955</v>
      </c>
      <c r="U532" s="3">
        <v>21505</v>
      </c>
    </row>
    <row r="533" spans="1:21" x14ac:dyDescent="0.25">
      <c r="A533" s="1">
        <v>533</v>
      </c>
      <c r="B533" s="2">
        <v>45300</v>
      </c>
      <c r="C533" s="2">
        <v>45300</v>
      </c>
      <c r="D533" s="4">
        <v>2024</v>
      </c>
      <c r="E533" s="4">
        <v>1</v>
      </c>
      <c r="F533" s="4">
        <v>9</v>
      </c>
      <c r="G533" s="1" t="s">
        <v>31</v>
      </c>
      <c r="I533" s="1" t="s">
        <v>55</v>
      </c>
      <c r="J533" s="1" t="s">
        <v>31</v>
      </c>
      <c r="K533" s="3" t="s">
        <v>119</v>
      </c>
      <c r="L533" s="3" t="s">
        <v>6</v>
      </c>
      <c r="M533" s="3" t="s">
        <v>23</v>
      </c>
      <c r="N533" s="3" t="s">
        <v>4</v>
      </c>
      <c r="O533" s="3" t="s">
        <v>2</v>
      </c>
      <c r="P533" s="3" t="s">
        <v>3</v>
      </c>
      <c r="Q533" s="3">
        <v>3650</v>
      </c>
      <c r="R533" s="3">
        <v>85</v>
      </c>
      <c r="S533" s="3">
        <v>310250</v>
      </c>
      <c r="T533" s="3">
        <v>31025</v>
      </c>
      <c r="U533" s="3">
        <v>341275</v>
      </c>
    </row>
    <row r="534" spans="1:21" x14ac:dyDescent="0.25">
      <c r="A534" s="1">
        <v>534</v>
      </c>
      <c r="B534" s="2">
        <v>45300</v>
      </c>
      <c r="C534" s="2">
        <v>45300</v>
      </c>
      <c r="D534" s="4">
        <v>2024</v>
      </c>
      <c r="E534" s="4">
        <v>1</v>
      </c>
      <c r="F534" s="4">
        <v>9</v>
      </c>
      <c r="G534" s="1" t="s">
        <v>31</v>
      </c>
      <c r="I534" s="1" t="s">
        <v>69</v>
      </c>
      <c r="J534" s="1" t="s">
        <v>70</v>
      </c>
      <c r="K534" s="3" t="s">
        <v>28</v>
      </c>
      <c r="L534" s="3" t="s">
        <v>6</v>
      </c>
      <c r="M534" s="3" t="s">
        <v>23</v>
      </c>
      <c r="N534" s="3" t="s">
        <v>4</v>
      </c>
      <c r="O534" s="3" t="s">
        <v>5</v>
      </c>
      <c r="P534" s="3" t="s">
        <v>3</v>
      </c>
      <c r="Q534" s="3">
        <v>40</v>
      </c>
      <c r="R534" s="3">
        <v>85</v>
      </c>
      <c r="S534" s="3">
        <v>3400</v>
      </c>
      <c r="T534" s="3">
        <v>340</v>
      </c>
      <c r="U534" s="3">
        <v>3740.0000000000005</v>
      </c>
    </row>
    <row r="535" spans="1:21" x14ac:dyDescent="0.25">
      <c r="A535" s="1">
        <v>535</v>
      </c>
      <c r="B535" s="2">
        <v>45300</v>
      </c>
      <c r="C535" s="2">
        <v>45300</v>
      </c>
      <c r="D535" s="4">
        <v>2024</v>
      </c>
      <c r="E535" s="4">
        <v>1</v>
      </c>
      <c r="F535" s="4">
        <v>9</v>
      </c>
      <c r="G535" s="1" t="s">
        <v>31</v>
      </c>
      <c r="I535" s="1" t="s">
        <v>69</v>
      </c>
      <c r="J535" s="1" t="s">
        <v>70</v>
      </c>
      <c r="K535" s="3" t="s">
        <v>28</v>
      </c>
      <c r="L535" s="3" t="s">
        <v>6</v>
      </c>
      <c r="M535" s="3" t="s">
        <v>23</v>
      </c>
      <c r="N535" s="3" t="s">
        <v>4</v>
      </c>
      <c r="O535" s="3" t="s">
        <v>5</v>
      </c>
      <c r="P535" s="3" t="s">
        <v>3</v>
      </c>
      <c r="Q535" s="3">
        <v>120</v>
      </c>
      <c r="R535" s="3">
        <v>85</v>
      </c>
      <c r="S535" s="3">
        <v>10200</v>
      </c>
      <c r="T535" s="3">
        <v>1020</v>
      </c>
      <c r="U535" s="3">
        <v>11220</v>
      </c>
    </row>
    <row r="536" spans="1:21" x14ac:dyDescent="0.25">
      <c r="A536" s="1">
        <v>536</v>
      </c>
      <c r="B536" s="2">
        <v>45300</v>
      </c>
      <c r="C536" s="2">
        <v>45300</v>
      </c>
      <c r="D536" s="4">
        <v>2024</v>
      </c>
      <c r="E536" s="4">
        <v>1</v>
      </c>
      <c r="F536" s="4">
        <v>9</v>
      </c>
      <c r="G536" s="1" t="s">
        <v>31</v>
      </c>
      <c r="I536" s="1" t="s">
        <v>55</v>
      </c>
      <c r="J536" s="1" t="s">
        <v>31</v>
      </c>
      <c r="K536" s="3" t="s">
        <v>119</v>
      </c>
      <c r="L536" s="3" t="s">
        <v>6</v>
      </c>
      <c r="M536" s="3" t="s">
        <v>23</v>
      </c>
      <c r="N536" s="3" t="s">
        <v>4</v>
      </c>
      <c r="O536" s="3" t="s">
        <v>2</v>
      </c>
      <c r="P536" s="3" t="s">
        <v>3</v>
      </c>
      <c r="Q536" s="3">
        <v>3650</v>
      </c>
      <c r="R536" s="3">
        <v>85</v>
      </c>
      <c r="S536" s="3">
        <v>310250</v>
      </c>
      <c r="T536" s="3">
        <v>31025</v>
      </c>
      <c r="U536" s="3">
        <v>341275</v>
      </c>
    </row>
    <row r="537" spans="1:21" x14ac:dyDescent="0.25">
      <c r="A537" s="1">
        <v>537</v>
      </c>
      <c r="B537" s="2">
        <v>45300</v>
      </c>
      <c r="C537" s="2">
        <v>45300</v>
      </c>
      <c r="D537" s="4">
        <v>2024</v>
      </c>
      <c r="E537" s="4">
        <v>1</v>
      </c>
      <c r="F537" s="4">
        <v>9</v>
      </c>
      <c r="G537" s="1" t="s">
        <v>31</v>
      </c>
      <c r="I537" s="1" t="s">
        <v>61</v>
      </c>
      <c r="J537" s="1" t="s">
        <v>62</v>
      </c>
      <c r="K537" s="3" t="s">
        <v>28</v>
      </c>
      <c r="L537" s="3" t="s">
        <v>6</v>
      </c>
      <c r="M537" s="3" t="s">
        <v>23</v>
      </c>
      <c r="N537" s="3" t="s">
        <v>4</v>
      </c>
      <c r="O537" s="3" t="s">
        <v>5</v>
      </c>
      <c r="P537" s="3" t="s">
        <v>3</v>
      </c>
      <c r="Q537" s="3">
        <v>60</v>
      </c>
      <c r="R537" s="3">
        <v>85</v>
      </c>
      <c r="S537" s="3">
        <v>5100</v>
      </c>
      <c r="T537" s="3">
        <v>510</v>
      </c>
      <c r="U537" s="3">
        <v>5610</v>
      </c>
    </row>
    <row r="538" spans="1:21" x14ac:dyDescent="0.25">
      <c r="A538" s="1">
        <v>538</v>
      </c>
      <c r="B538" s="2">
        <v>45300</v>
      </c>
      <c r="C538" s="2">
        <v>45300</v>
      </c>
      <c r="D538" s="4">
        <v>2024</v>
      </c>
      <c r="E538" s="4">
        <v>1</v>
      </c>
      <c r="F538" s="4">
        <v>9</v>
      </c>
      <c r="G538" s="1" t="s">
        <v>31</v>
      </c>
      <c r="I538" s="1" t="s">
        <v>55</v>
      </c>
      <c r="J538" s="1" t="s">
        <v>31</v>
      </c>
      <c r="K538" s="3" t="s">
        <v>119</v>
      </c>
      <c r="L538" s="3" t="s">
        <v>6</v>
      </c>
      <c r="M538" s="3" t="s">
        <v>23</v>
      </c>
      <c r="N538" s="3" t="s">
        <v>4</v>
      </c>
      <c r="O538" s="3" t="s">
        <v>2</v>
      </c>
      <c r="P538" s="3" t="s">
        <v>3</v>
      </c>
      <c r="Q538" s="3">
        <v>3780</v>
      </c>
      <c r="R538" s="3">
        <v>85</v>
      </c>
      <c r="S538" s="3">
        <v>321300</v>
      </c>
      <c r="T538" s="3">
        <v>32130</v>
      </c>
      <c r="U538" s="3">
        <v>353430</v>
      </c>
    </row>
    <row r="539" spans="1:21" x14ac:dyDescent="0.25">
      <c r="A539" s="1">
        <v>539</v>
      </c>
      <c r="B539" s="2">
        <v>45300</v>
      </c>
      <c r="C539" s="2">
        <v>45300</v>
      </c>
      <c r="D539" s="4">
        <v>2024</v>
      </c>
      <c r="E539" s="4">
        <v>1</v>
      </c>
      <c r="F539" s="4">
        <v>9</v>
      </c>
      <c r="G539" s="1" t="s">
        <v>31</v>
      </c>
      <c r="I539" s="1" t="s">
        <v>61</v>
      </c>
      <c r="J539" s="1" t="s">
        <v>62</v>
      </c>
      <c r="K539" s="3" t="s">
        <v>28</v>
      </c>
      <c r="L539" s="3" t="s">
        <v>6</v>
      </c>
      <c r="M539" s="3" t="s">
        <v>23</v>
      </c>
      <c r="N539" s="3" t="s">
        <v>4</v>
      </c>
      <c r="O539" s="3" t="s">
        <v>5</v>
      </c>
      <c r="P539" s="3" t="s">
        <v>3</v>
      </c>
      <c r="Q539" s="3">
        <v>110</v>
      </c>
      <c r="R539" s="3">
        <v>85</v>
      </c>
      <c r="S539" s="3">
        <v>9350</v>
      </c>
      <c r="T539" s="3">
        <v>935</v>
      </c>
      <c r="U539" s="3">
        <v>10285</v>
      </c>
    </row>
    <row r="540" spans="1:21" x14ac:dyDescent="0.25">
      <c r="A540" s="1">
        <v>540</v>
      </c>
      <c r="B540" s="2">
        <v>45300</v>
      </c>
      <c r="C540" s="2">
        <v>45300</v>
      </c>
      <c r="D540" s="4">
        <v>2024</v>
      </c>
      <c r="E540" s="4">
        <v>1</v>
      </c>
      <c r="F540" s="4">
        <v>9</v>
      </c>
      <c r="G540" s="1" t="s">
        <v>30</v>
      </c>
      <c r="I540" s="1" t="s">
        <v>107</v>
      </c>
      <c r="J540" s="1" t="s">
        <v>108</v>
      </c>
      <c r="K540" s="3" t="s">
        <v>28</v>
      </c>
      <c r="L540" s="3" t="s">
        <v>6</v>
      </c>
      <c r="M540" s="3" t="s">
        <v>23</v>
      </c>
      <c r="N540" s="3" t="s">
        <v>4</v>
      </c>
      <c r="O540" s="3" t="s">
        <v>5</v>
      </c>
      <c r="P540" s="3" t="s">
        <v>3</v>
      </c>
      <c r="Q540" s="3">
        <v>130</v>
      </c>
      <c r="R540" s="3">
        <v>95</v>
      </c>
      <c r="S540" s="3">
        <v>12350</v>
      </c>
      <c r="T540" s="3">
        <v>1235</v>
      </c>
      <c r="U540" s="3">
        <v>13585.000000000002</v>
      </c>
    </row>
    <row r="541" spans="1:21" x14ac:dyDescent="0.25">
      <c r="A541" s="1">
        <v>541</v>
      </c>
      <c r="B541" s="2">
        <v>45300</v>
      </c>
      <c r="C541" s="2">
        <v>45300</v>
      </c>
      <c r="D541" s="4">
        <v>2024</v>
      </c>
      <c r="E541" s="4">
        <v>1</v>
      </c>
      <c r="F541" s="4">
        <v>9</v>
      </c>
      <c r="G541" s="1" t="s">
        <v>30</v>
      </c>
      <c r="I541" s="1" t="s">
        <v>86</v>
      </c>
      <c r="J541" s="1" t="s">
        <v>87</v>
      </c>
      <c r="K541" s="3" t="s">
        <v>28</v>
      </c>
      <c r="L541" s="3" t="s">
        <v>6</v>
      </c>
      <c r="M541" s="3" t="s">
        <v>23</v>
      </c>
      <c r="N541" s="3" t="s">
        <v>4</v>
      </c>
      <c r="O541" s="3" t="s">
        <v>5</v>
      </c>
      <c r="P541" s="3" t="s">
        <v>3</v>
      </c>
      <c r="Q541" s="3">
        <v>240</v>
      </c>
      <c r="R541" s="3">
        <v>95</v>
      </c>
      <c r="S541" s="3">
        <v>22800</v>
      </c>
      <c r="T541" s="3">
        <v>2280</v>
      </c>
      <c r="U541" s="3">
        <v>25080.000000000004</v>
      </c>
    </row>
    <row r="542" spans="1:21" x14ac:dyDescent="0.25">
      <c r="A542" s="1">
        <v>542</v>
      </c>
      <c r="B542" s="2">
        <v>45300</v>
      </c>
      <c r="C542" s="2">
        <v>45300</v>
      </c>
      <c r="D542" s="4">
        <v>2024</v>
      </c>
      <c r="E542" s="4">
        <v>1</v>
      </c>
      <c r="F542" s="4">
        <v>9</v>
      </c>
      <c r="G542" s="1" t="s">
        <v>30</v>
      </c>
      <c r="I542" s="1" t="s">
        <v>94</v>
      </c>
      <c r="J542" s="1" t="s">
        <v>95</v>
      </c>
      <c r="K542" s="3" t="s">
        <v>28</v>
      </c>
      <c r="L542" s="3" t="s">
        <v>6</v>
      </c>
      <c r="M542" s="3" t="s">
        <v>23</v>
      </c>
      <c r="N542" s="3" t="s">
        <v>4</v>
      </c>
      <c r="O542" s="3" t="s">
        <v>5</v>
      </c>
      <c r="P542" s="3" t="s">
        <v>3</v>
      </c>
      <c r="Q542" s="3">
        <v>130</v>
      </c>
      <c r="R542" s="3">
        <v>95</v>
      </c>
      <c r="S542" s="3">
        <v>12350</v>
      </c>
      <c r="T542" s="3">
        <v>1235</v>
      </c>
      <c r="U542" s="3">
        <v>13585.000000000002</v>
      </c>
    </row>
    <row r="543" spans="1:21" x14ac:dyDescent="0.25">
      <c r="A543" s="1">
        <v>543</v>
      </c>
      <c r="B543" s="2">
        <v>45300</v>
      </c>
      <c r="C543" s="2">
        <v>45300</v>
      </c>
      <c r="D543" s="4">
        <v>2024</v>
      </c>
      <c r="E543" s="4">
        <v>1</v>
      </c>
      <c r="F543" s="4">
        <v>9</v>
      </c>
      <c r="G543" s="1" t="s">
        <v>30</v>
      </c>
      <c r="I543" s="1" t="s">
        <v>86</v>
      </c>
      <c r="J543" s="1" t="s">
        <v>87</v>
      </c>
      <c r="K543" s="3" t="s">
        <v>28</v>
      </c>
      <c r="L543" s="3" t="s">
        <v>6</v>
      </c>
      <c r="M543" s="3" t="s">
        <v>23</v>
      </c>
      <c r="N543" s="3" t="s">
        <v>4</v>
      </c>
      <c r="O543" s="3" t="s">
        <v>5</v>
      </c>
      <c r="P543" s="3" t="s">
        <v>3</v>
      </c>
      <c r="Q543" s="3">
        <v>210</v>
      </c>
      <c r="R543" s="3">
        <v>95</v>
      </c>
      <c r="S543" s="3">
        <v>19950</v>
      </c>
      <c r="T543" s="3">
        <v>1995</v>
      </c>
      <c r="U543" s="3">
        <v>21945</v>
      </c>
    </row>
    <row r="544" spans="1:21" x14ac:dyDescent="0.25">
      <c r="A544" s="1">
        <v>544</v>
      </c>
      <c r="B544" s="2">
        <v>45300</v>
      </c>
      <c r="C544" s="2">
        <v>45300</v>
      </c>
      <c r="D544" s="4">
        <v>2024</v>
      </c>
      <c r="E544" s="4">
        <v>1</v>
      </c>
      <c r="F544" s="4">
        <v>9</v>
      </c>
      <c r="G544" s="1" t="s">
        <v>30</v>
      </c>
      <c r="I544" s="1" t="s">
        <v>98</v>
      </c>
      <c r="J544" s="1" t="s">
        <v>99</v>
      </c>
      <c r="K544" s="3" t="s">
        <v>28</v>
      </c>
      <c r="L544" s="3" t="s">
        <v>6</v>
      </c>
      <c r="M544" s="3" t="s">
        <v>23</v>
      </c>
      <c r="N544" s="3" t="s">
        <v>4</v>
      </c>
      <c r="O544" s="3" t="s">
        <v>5</v>
      </c>
      <c r="P544" s="3" t="s">
        <v>3</v>
      </c>
      <c r="Q544" s="3">
        <v>180</v>
      </c>
      <c r="R544" s="3">
        <v>95</v>
      </c>
      <c r="S544" s="3">
        <v>17100</v>
      </c>
      <c r="T544" s="3">
        <v>1710</v>
      </c>
      <c r="U544" s="3">
        <v>18810</v>
      </c>
    </row>
    <row r="545" spans="1:21" x14ac:dyDescent="0.25">
      <c r="A545" s="1">
        <v>545</v>
      </c>
      <c r="B545" s="2">
        <v>45300</v>
      </c>
      <c r="C545" s="2">
        <v>45300</v>
      </c>
      <c r="D545" s="4">
        <v>2024</v>
      </c>
      <c r="E545" s="4">
        <v>1</v>
      </c>
      <c r="F545" s="4">
        <v>9</v>
      </c>
      <c r="G545" s="1" t="s">
        <v>30</v>
      </c>
      <c r="I545" s="1" t="s">
        <v>88</v>
      </c>
      <c r="J545" s="1" t="s">
        <v>89</v>
      </c>
      <c r="K545" s="3" t="s">
        <v>28</v>
      </c>
      <c r="L545" s="3" t="s">
        <v>6</v>
      </c>
      <c r="M545" s="3" t="s">
        <v>23</v>
      </c>
      <c r="N545" s="3" t="s">
        <v>4</v>
      </c>
      <c r="O545" s="3" t="s">
        <v>5</v>
      </c>
      <c r="P545" s="3" t="s">
        <v>3</v>
      </c>
      <c r="Q545" s="3">
        <v>210</v>
      </c>
      <c r="R545" s="3">
        <v>95</v>
      </c>
      <c r="S545" s="3">
        <v>19950</v>
      </c>
      <c r="T545" s="3">
        <v>1995</v>
      </c>
      <c r="U545" s="3">
        <v>21945</v>
      </c>
    </row>
    <row r="546" spans="1:21" x14ac:dyDescent="0.25">
      <c r="A546" s="1">
        <v>546</v>
      </c>
      <c r="B546" s="2">
        <v>45300</v>
      </c>
      <c r="C546" s="2">
        <v>45300</v>
      </c>
      <c r="D546" s="4">
        <v>2024</v>
      </c>
      <c r="E546" s="4">
        <v>1</v>
      </c>
      <c r="F546" s="4">
        <v>9</v>
      </c>
      <c r="G546" s="1" t="s">
        <v>30</v>
      </c>
      <c r="I546" s="1" t="s">
        <v>86</v>
      </c>
      <c r="J546" s="1" t="s">
        <v>87</v>
      </c>
      <c r="K546" s="3" t="s">
        <v>28</v>
      </c>
      <c r="L546" s="3" t="s">
        <v>6</v>
      </c>
      <c r="M546" s="3" t="s">
        <v>23</v>
      </c>
      <c r="N546" s="3" t="s">
        <v>4</v>
      </c>
      <c r="O546" s="3" t="s">
        <v>5</v>
      </c>
      <c r="P546" s="3" t="s">
        <v>3</v>
      </c>
      <c r="Q546" s="3">
        <v>120</v>
      </c>
      <c r="R546" s="3">
        <v>95</v>
      </c>
      <c r="S546" s="3">
        <v>11400</v>
      </c>
      <c r="T546" s="3">
        <v>1140</v>
      </c>
      <c r="U546" s="3">
        <v>12540.000000000002</v>
      </c>
    </row>
    <row r="547" spans="1:21" x14ac:dyDescent="0.25">
      <c r="A547" s="1">
        <v>547</v>
      </c>
      <c r="B547" s="2">
        <v>45300</v>
      </c>
      <c r="C547" s="2">
        <v>45300</v>
      </c>
      <c r="D547" s="4">
        <v>2024</v>
      </c>
      <c r="E547" s="4">
        <v>1</v>
      </c>
      <c r="F547" s="4">
        <v>9</v>
      </c>
      <c r="G547" s="1" t="s">
        <v>30</v>
      </c>
      <c r="I547" s="1" t="s">
        <v>94</v>
      </c>
      <c r="J547" s="1" t="s">
        <v>95</v>
      </c>
      <c r="K547" s="3" t="s">
        <v>28</v>
      </c>
      <c r="L547" s="3" t="s">
        <v>6</v>
      </c>
      <c r="M547" s="3" t="s">
        <v>23</v>
      </c>
      <c r="N547" s="3" t="s">
        <v>4</v>
      </c>
      <c r="O547" s="3" t="s">
        <v>5</v>
      </c>
      <c r="P547" s="3" t="s">
        <v>3</v>
      </c>
      <c r="Q547" s="3">
        <v>200</v>
      </c>
      <c r="R547" s="3">
        <v>95</v>
      </c>
      <c r="S547" s="3">
        <v>19000</v>
      </c>
      <c r="T547" s="3">
        <v>1900</v>
      </c>
      <c r="U547" s="3">
        <v>20900</v>
      </c>
    </row>
    <row r="548" spans="1:21" x14ac:dyDescent="0.25">
      <c r="A548" s="1">
        <v>548</v>
      </c>
      <c r="B548" s="2">
        <v>45300</v>
      </c>
      <c r="C548" s="2">
        <v>45300</v>
      </c>
      <c r="D548" s="4">
        <v>2024</v>
      </c>
      <c r="E548" s="4">
        <v>1</v>
      </c>
      <c r="F548" s="4">
        <v>9</v>
      </c>
      <c r="G548" s="1" t="s">
        <v>30</v>
      </c>
      <c r="I548" s="1" t="s">
        <v>90</v>
      </c>
      <c r="J548" s="1" t="s">
        <v>91</v>
      </c>
      <c r="K548" s="3" t="s">
        <v>28</v>
      </c>
      <c r="L548" s="3" t="s">
        <v>6</v>
      </c>
      <c r="M548" s="3" t="s">
        <v>23</v>
      </c>
      <c r="N548" s="3" t="s">
        <v>4</v>
      </c>
      <c r="O548" s="3" t="s">
        <v>5</v>
      </c>
      <c r="P548" s="3" t="s">
        <v>3</v>
      </c>
      <c r="Q548" s="3">
        <v>150</v>
      </c>
      <c r="R548" s="3">
        <v>95</v>
      </c>
      <c r="S548" s="3">
        <v>14250</v>
      </c>
      <c r="T548" s="3">
        <v>1425</v>
      </c>
      <c r="U548" s="3">
        <v>15675.000000000002</v>
      </c>
    </row>
    <row r="549" spans="1:21" x14ac:dyDescent="0.25">
      <c r="A549" s="1">
        <v>549</v>
      </c>
      <c r="B549" s="2">
        <v>45300</v>
      </c>
      <c r="C549" s="2">
        <v>45300</v>
      </c>
      <c r="D549" s="4">
        <v>2024</v>
      </c>
      <c r="E549" s="4">
        <v>1</v>
      </c>
      <c r="F549" s="4">
        <v>9</v>
      </c>
      <c r="G549" s="1" t="s">
        <v>30</v>
      </c>
      <c r="I549" s="1" t="s">
        <v>82</v>
      </c>
      <c r="J549" s="1" t="s">
        <v>83</v>
      </c>
      <c r="K549" s="3" t="s">
        <v>28</v>
      </c>
      <c r="L549" s="3" t="s">
        <v>6</v>
      </c>
      <c r="M549" s="3" t="s">
        <v>23</v>
      </c>
      <c r="N549" s="3" t="s">
        <v>4</v>
      </c>
      <c r="O549" s="3" t="s">
        <v>5</v>
      </c>
      <c r="P549" s="3" t="s">
        <v>3</v>
      </c>
      <c r="Q549" s="3">
        <v>70</v>
      </c>
      <c r="R549" s="3">
        <v>95</v>
      </c>
      <c r="S549" s="3">
        <v>6650</v>
      </c>
      <c r="T549" s="3">
        <v>665</v>
      </c>
      <c r="U549" s="3">
        <v>7315.0000000000009</v>
      </c>
    </row>
    <row r="550" spans="1:21" x14ac:dyDescent="0.25">
      <c r="A550" s="1">
        <v>550</v>
      </c>
      <c r="B550" s="2">
        <v>45300</v>
      </c>
      <c r="C550" s="2">
        <v>45300</v>
      </c>
      <c r="D550" s="4">
        <v>2024</v>
      </c>
      <c r="E550" s="4">
        <v>1</v>
      </c>
      <c r="F550" s="4">
        <v>9</v>
      </c>
      <c r="G550" s="1" t="s">
        <v>30</v>
      </c>
      <c r="I550" s="1" t="s">
        <v>88</v>
      </c>
      <c r="J550" s="1" t="s">
        <v>89</v>
      </c>
      <c r="K550" s="3" t="s">
        <v>28</v>
      </c>
      <c r="L550" s="3" t="s">
        <v>6</v>
      </c>
      <c r="M550" s="3" t="s">
        <v>23</v>
      </c>
      <c r="N550" s="3" t="s">
        <v>4</v>
      </c>
      <c r="O550" s="3" t="s">
        <v>5</v>
      </c>
      <c r="P550" s="3" t="s">
        <v>3</v>
      </c>
      <c r="Q550" s="3">
        <v>110</v>
      </c>
      <c r="R550" s="3">
        <v>95</v>
      </c>
      <c r="S550" s="3">
        <v>10450</v>
      </c>
      <c r="T550" s="3">
        <v>1045</v>
      </c>
      <c r="U550" s="3">
        <v>11495.000000000002</v>
      </c>
    </row>
    <row r="551" spans="1:21" x14ac:dyDescent="0.25">
      <c r="A551" s="1">
        <v>551</v>
      </c>
      <c r="B551" s="2">
        <v>45300</v>
      </c>
      <c r="C551" s="2">
        <v>45300</v>
      </c>
      <c r="D551" s="4">
        <v>2024</v>
      </c>
      <c r="E551" s="4">
        <v>1</v>
      </c>
      <c r="F551" s="4">
        <v>9</v>
      </c>
      <c r="G551" s="1" t="s">
        <v>30</v>
      </c>
      <c r="I551" s="1" t="s">
        <v>92</v>
      </c>
      <c r="J551" s="1" t="s">
        <v>93</v>
      </c>
      <c r="K551" s="3" t="s">
        <v>28</v>
      </c>
      <c r="L551" s="3" t="s">
        <v>6</v>
      </c>
      <c r="M551" s="3" t="s">
        <v>23</v>
      </c>
      <c r="N551" s="3" t="s">
        <v>4</v>
      </c>
      <c r="O551" s="3" t="s">
        <v>5</v>
      </c>
      <c r="P551" s="3" t="s">
        <v>3</v>
      </c>
      <c r="Q551" s="3">
        <v>140</v>
      </c>
      <c r="R551" s="3">
        <v>95</v>
      </c>
      <c r="S551" s="3">
        <v>13300</v>
      </c>
      <c r="T551" s="3">
        <v>1330</v>
      </c>
      <c r="U551" s="3">
        <v>14630.000000000002</v>
      </c>
    </row>
    <row r="552" spans="1:21" x14ac:dyDescent="0.25">
      <c r="A552" s="1">
        <v>552</v>
      </c>
      <c r="B552" s="2">
        <v>45300</v>
      </c>
      <c r="C552" s="2">
        <v>45300</v>
      </c>
      <c r="D552" s="4">
        <v>2024</v>
      </c>
      <c r="E552" s="4">
        <v>1</v>
      </c>
      <c r="F552" s="4">
        <v>9</v>
      </c>
      <c r="G552" s="1" t="s">
        <v>30</v>
      </c>
      <c r="I552" s="1" t="s">
        <v>86</v>
      </c>
      <c r="J552" s="1" t="s">
        <v>87</v>
      </c>
      <c r="K552" s="3" t="s">
        <v>28</v>
      </c>
      <c r="L552" s="3" t="s">
        <v>6</v>
      </c>
      <c r="M552" s="3" t="s">
        <v>23</v>
      </c>
      <c r="N552" s="3" t="s">
        <v>4</v>
      </c>
      <c r="O552" s="3" t="s">
        <v>5</v>
      </c>
      <c r="P552" s="3" t="s">
        <v>3</v>
      </c>
      <c r="Q552" s="3">
        <v>300</v>
      </c>
      <c r="R552" s="3">
        <v>95</v>
      </c>
      <c r="S552" s="3">
        <v>28500</v>
      </c>
      <c r="T552" s="3">
        <v>2850</v>
      </c>
      <c r="U552" s="3">
        <v>31350.000000000004</v>
      </c>
    </row>
    <row r="553" spans="1:21" x14ac:dyDescent="0.25">
      <c r="A553" s="1">
        <v>553</v>
      </c>
      <c r="B553" s="2">
        <v>45300</v>
      </c>
      <c r="C553" s="2">
        <v>45300</v>
      </c>
      <c r="D553" s="4">
        <v>2024</v>
      </c>
      <c r="E553" s="4">
        <v>1</v>
      </c>
      <c r="F553" s="4">
        <v>9</v>
      </c>
      <c r="G553" s="1" t="s">
        <v>30</v>
      </c>
      <c r="I553" s="1" t="s">
        <v>90</v>
      </c>
      <c r="J553" s="1" t="s">
        <v>91</v>
      </c>
      <c r="K553" s="3" t="s">
        <v>28</v>
      </c>
      <c r="L553" s="3" t="s">
        <v>6</v>
      </c>
      <c r="M553" s="3" t="s">
        <v>23</v>
      </c>
      <c r="N553" s="3" t="s">
        <v>4</v>
      </c>
      <c r="O553" s="3" t="s">
        <v>5</v>
      </c>
      <c r="P553" s="3" t="s">
        <v>3</v>
      </c>
      <c r="Q553" s="3">
        <v>140</v>
      </c>
      <c r="R553" s="3">
        <v>95</v>
      </c>
      <c r="S553" s="3">
        <v>13300</v>
      </c>
      <c r="T553" s="3">
        <v>1330</v>
      </c>
      <c r="U553" s="3">
        <v>14630.000000000002</v>
      </c>
    </row>
    <row r="554" spans="1:21" x14ac:dyDescent="0.25">
      <c r="A554" s="1">
        <v>554</v>
      </c>
      <c r="B554" s="2">
        <v>45300</v>
      </c>
      <c r="C554" s="2">
        <v>45300</v>
      </c>
      <c r="D554" s="4">
        <v>2024</v>
      </c>
      <c r="E554" s="4">
        <v>1</v>
      </c>
      <c r="F554" s="4">
        <v>9</v>
      </c>
      <c r="G554" s="1" t="s">
        <v>30</v>
      </c>
      <c r="I554" s="1" t="s">
        <v>98</v>
      </c>
      <c r="J554" s="1" t="s">
        <v>99</v>
      </c>
      <c r="K554" s="3" t="s">
        <v>28</v>
      </c>
      <c r="L554" s="3" t="s">
        <v>6</v>
      </c>
      <c r="M554" s="3" t="s">
        <v>23</v>
      </c>
      <c r="N554" s="3" t="s">
        <v>4</v>
      </c>
      <c r="O554" s="3" t="s">
        <v>5</v>
      </c>
      <c r="P554" s="3" t="s">
        <v>3</v>
      </c>
      <c r="Q554" s="3">
        <v>190</v>
      </c>
      <c r="R554" s="3">
        <v>95</v>
      </c>
      <c r="S554" s="3">
        <v>18050</v>
      </c>
      <c r="T554" s="3">
        <v>1805</v>
      </c>
      <c r="U554" s="3">
        <v>19855</v>
      </c>
    </row>
    <row r="555" spans="1:21" x14ac:dyDescent="0.25">
      <c r="A555" s="1">
        <v>555</v>
      </c>
      <c r="B555" s="2">
        <v>45300</v>
      </c>
      <c r="C555" s="2">
        <v>45300</v>
      </c>
      <c r="D555" s="4">
        <v>2024</v>
      </c>
      <c r="E555" s="4">
        <v>1</v>
      </c>
      <c r="F555" s="4">
        <v>9</v>
      </c>
      <c r="G555" s="1" t="s">
        <v>30</v>
      </c>
      <c r="I555" s="1" t="s">
        <v>110</v>
      </c>
      <c r="J555" s="1" t="s">
        <v>111</v>
      </c>
      <c r="K555" s="3" t="s">
        <v>28</v>
      </c>
      <c r="L555" s="3" t="s">
        <v>6</v>
      </c>
      <c r="M555" s="3" t="s">
        <v>23</v>
      </c>
      <c r="N555" s="3" t="s">
        <v>4</v>
      </c>
      <c r="O555" s="3" t="s">
        <v>5</v>
      </c>
      <c r="P555" s="3" t="s">
        <v>3</v>
      </c>
      <c r="Q555" s="3">
        <v>270</v>
      </c>
      <c r="R555" s="3">
        <v>95</v>
      </c>
      <c r="S555" s="3">
        <v>25650</v>
      </c>
      <c r="T555" s="3">
        <v>2565</v>
      </c>
      <c r="U555" s="3">
        <v>28215.000000000004</v>
      </c>
    </row>
    <row r="556" spans="1:21" x14ac:dyDescent="0.25">
      <c r="A556" s="1">
        <v>556</v>
      </c>
      <c r="B556" s="2">
        <v>45300</v>
      </c>
      <c r="C556" s="2">
        <v>45300</v>
      </c>
      <c r="D556" s="4">
        <v>2024</v>
      </c>
      <c r="E556" s="4">
        <v>1</v>
      </c>
      <c r="F556" s="4">
        <v>9</v>
      </c>
      <c r="G556" s="1" t="s">
        <v>30</v>
      </c>
      <c r="I556" s="1" t="s">
        <v>92</v>
      </c>
      <c r="J556" s="1" t="s">
        <v>93</v>
      </c>
      <c r="K556" s="3" t="s">
        <v>28</v>
      </c>
      <c r="L556" s="3" t="s">
        <v>6</v>
      </c>
      <c r="M556" s="3" t="s">
        <v>23</v>
      </c>
      <c r="N556" s="3" t="s">
        <v>4</v>
      </c>
      <c r="O556" s="3" t="s">
        <v>5</v>
      </c>
      <c r="P556" s="3" t="s">
        <v>3</v>
      </c>
      <c r="Q556" s="3">
        <v>250</v>
      </c>
      <c r="R556" s="3">
        <v>95</v>
      </c>
      <c r="S556" s="3">
        <v>23750</v>
      </c>
      <c r="T556" s="3">
        <v>2375</v>
      </c>
      <c r="U556" s="3">
        <v>26125.000000000004</v>
      </c>
    </row>
    <row r="557" spans="1:21" x14ac:dyDescent="0.25">
      <c r="A557" s="1">
        <v>557</v>
      </c>
      <c r="B557" s="2">
        <v>45300</v>
      </c>
      <c r="C557" s="2">
        <v>45300</v>
      </c>
      <c r="D557" s="4">
        <v>2024</v>
      </c>
      <c r="E557" s="4">
        <v>1</v>
      </c>
      <c r="F557" s="4">
        <v>9</v>
      </c>
      <c r="G557" s="1" t="s">
        <v>30</v>
      </c>
      <c r="I557" s="1" t="s">
        <v>96</v>
      </c>
      <c r="J557" s="1" t="s">
        <v>97</v>
      </c>
      <c r="K557" s="3" t="s">
        <v>28</v>
      </c>
      <c r="L557" s="3" t="s">
        <v>6</v>
      </c>
      <c r="M557" s="3" t="s">
        <v>23</v>
      </c>
      <c r="N557" s="3" t="s">
        <v>4</v>
      </c>
      <c r="O557" s="3" t="s">
        <v>5</v>
      </c>
      <c r="P557" s="3" t="s">
        <v>3</v>
      </c>
      <c r="Q557" s="3">
        <v>150</v>
      </c>
      <c r="R557" s="3">
        <v>95</v>
      </c>
      <c r="S557" s="3">
        <v>14250</v>
      </c>
      <c r="T557" s="3">
        <v>1425</v>
      </c>
      <c r="U557" s="3">
        <v>15675.000000000002</v>
      </c>
    </row>
    <row r="558" spans="1:21" x14ac:dyDescent="0.25">
      <c r="A558" s="1">
        <v>558</v>
      </c>
      <c r="B558" s="2">
        <v>45300</v>
      </c>
      <c r="C558" s="2">
        <v>45300</v>
      </c>
      <c r="D558" s="4">
        <v>2024</v>
      </c>
      <c r="E558" s="4">
        <v>1</v>
      </c>
      <c r="F558" s="4">
        <v>9</v>
      </c>
      <c r="G558" s="1" t="s">
        <v>30</v>
      </c>
      <c r="I558" s="1" t="s">
        <v>107</v>
      </c>
      <c r="J558" s="1" t="s">
        <v>108</v>
      </c>
      <c r="K558" s="3" t="s">
        <v>28</v>
      </c>
      <c r="L558" s="3" t="s">
        <v>6</v>
      </c>
      <c r="M558" s="3" t="s">
        <v>23</v>
      </c>
      <c r="N558" s="3" t="s">
        <v>4</v>
      </c>
      <c r="O558" s="3" t="s">
        <v>5</v>
      </c>
      <c r="P558" s="3" t="s">
        <v>3</v>
      </c>
      <c r="Q558" s="3">
        <v>190</v>
      </c>
      <c r="R558" s="3">
        <v>95</v>
      </c>
      <c r="S558" s="3">
        <v>18050</v>
      </c>
      <c r="T558" s="3">
        <v>1805</v>
      </c>
      <c r="U558" s="3">
        <v>19855</v>
      </c>
    </row>
    <row r="559" spans="1:21" x14ac:dyDescent="0.25">
      <c r="A559" s="1">
        <v>559</v>
      </c>
      <c r="B559" s="2">
        <v>45300</v>
      </c>
      <c r="C559" s="2">
        <v>45300</v>
      </c>
      <c r="D559" s="4">
        <v>2024</v>
      </c>
      <c r="E559" s="4">
        <v>1</v>
      </c>
      <c r="F559" s="4">
        <v>9</v>
      </c>
      <c r="G559" s="1" t="s">
        <v>30</v>
      </c>
      <c r="I559" s="1" t="s">
        <v>102</v>
      </c>
      <c r="J559" s="1" t="s">
        <v>103</v>
      </c>
      <c r="K559" s="3" t="s">
        <v>28</v>
      </c>
      <c r="L559" s="3" t="s">
        <v>6</v>
      </c>
      <c r="M559" s="3" t="s">
        <v>23</v>
      </c>
      <c r="N559" s="3" t="s">
        <v>4</v>
      </c>
      <c r="O559" s="3" t="s">
        <v>5</v>
      </c>
      <c r="P559" s="3" t="s">
        <v>3</v>
      </c>
      <c r="Q559" s="3">
        <v>280</v>
      </c>
      <c r="R559" s="3">
        <v>95</v>
      </c>
      <c r="S559" s="3">
        <v>26600</v>
      </c>
      <c r="T559" s="3">
        <v>2660</v>
      </c>
      <c r="U559" s="3">
        <v>29260.000000000004</v>
      </c>
    </row>
    <row r="560" spans="1:21" x14ac:dyDescent="0.25">
      <c r="A560" s="1">
        <v>560</v>
      </c>
      <c r="B560" s="2">
        <v>45300</v>
      </c>
      <c r="C560" s="2">
        <v>45300</v>
      </c>
      <c r="D560" s="4">
        <v>2024</v>
      </c>
      <c r="E560" s="4">
        <v>1</v>
      </c>
      <c r="F560" s="4">
        <v>9</v>
      </c>
      <c r="G560" s="1" t="s">
        <v>30</v>
      </c>
      <c r="I560" s="1" t="s">
        <v>25</v>
      </c>
      <c r="J560" s="1" t="s">
        <v>29</v>
      </c>
      <c r="K560" s="3" t="s">
        <v>28</v>
      </c>
      <c r="L560" s="3" t="s">
        <v>6</v>
      </c>
      <c r="M560" s="3" t="s">
        <v>23</v>
      </c>
      <c r="N560" s="3" t="s">
        <v>4</v>
      </c>
      <c r="O560" s="3" t="s">
        <v>5</v>
      </c>
      <c r="P560" s="3" t="s">
        <v>3</v>
      </c>
      <c r="Q560" s="3">
        <v>160</v>
      </c>
      <c r="R560" s="3">
        <v>95</v>
      </c>
      <c r="S560" s="3">
        <v>15200</v>
      </c>
      <c r="T560" s="3">
        <v>1520</v>
      </c>
      <c r="U560" s="3">
        <v>16720</v>
      </c>
    </row>
    <row r="561" spans="1:21" x14ac:dyDescent="0.25">
      <c r="A561" s="1">
        <v>561</v>
      </c>
      <c r="B561" s="2">
        <v>45300</v>
      </c>
      <c r="C561" s="2">
        <v>45300</v>
      </c>
      <c r="D561" s="4">
        <v>2024</v>
      </c>
      <c r="E561" s="4">
        <v>1</v>
      </c>
      <c r="F561" s="4">
        <v>9</v>
      </c>
      <c r="G561" s="1" t="s">
        <v>30</v>
      </c>
      <c r="I561" s="1" t="s">
        <v>98</v>
      </c>
      <c r="J561" s="1" t="s">
        <v>99</v>
      </c>
      <c r="K561" s="3" t="s">
        <v>28</v>
      </c>
      <c r="L561" s="3" t="s">
        <v>6</v>
      </c>
      <c r="M561" s="3" t="s">
        <v>23</v>
      </c>
      <c r="N561" s="3" t="s">
        <v>4</v>
      </c>
      <c r="O561" s="3" t="s">
        <v>5</v>
      </c>
      <c r="P561" s="3" t="s">
        <v>3</v>
      </c>
      <c r="Q561" s="3">
        <v>190</v>
      </c>
      <c r="R561" s="3">
        <v>95</v>
      </c>
      <c r="S561" s="3">
        <v>18050</v>
      </c>
      <c r="T561" s="3">
        <v>1805</v>
      </c>
      <c r="U561" s="3">
        <v>19855</v>
      </c>
    </row>
    <row r="562" spans="1:21" x14ac:dyDescent="0.25">
      <c r="A562" s="1">
        <v>562</v>
      </c>
      <c r="B562" s="2">
        <v>45300</v>
      </c>
      <c r="C562" s="2">
        <v>45300</v>
      </c>
      <c r="D562" s="4">
        <v>2024</v>
      </c>
      <c r="E562" s="4">
        <v>1</v>
      </c>
      <c r="F562" s="4">
        <v>9</v>
      </c>
      <c r="G562" s="1" t="s">
        <v>30</v>
      </c>
      <c r="I562" s="1" t="s">
        <v>82</v>
      </c>
      <c r="J562" s="1" t="s">
        <v>83</v>
      </c>
      <c r="K562" s="3" t="s">
        <v>28</v>
      </c>
      <c r="L562" s="3" t="s">
        <v>6</v>
      </c>
      <c r="M562" s="3" t="s">
        <v>23</v>
      </c>
      <c r="N562" s="3" t="s">
        <v>4</v>
      </c>
      <c r="O562" s="3" t="s">
        <v>5</v>
      </c>
      <c r="P562" s="3" t="s">
        <v>3</v>
      </c>
      <c r="Q562" s="3">
        <v>130</v>
      </c>
      <c r="R562" s="3">
        <v>95</v>
      </c>
      <c r="S562" s="3">
        <v>12350</v>
      </c>
      <c r="T562" s="3">
        <v>1235</v>
      </c>
      <c r="U562" s="3">
        <v>13585.000000000002</v>
      </c>
    </row>
    <row r="563" spans="1:21" x14ac:dyDescent="0.25">
      <c r="A563" s="1">
        <v>563</v>
      </c>
      <c r="B563" s="2">
        <v>45300</v>
      </c>
      <c r="C563" s="2">
        <v>45300</v>
      </c>
      <c r="D563" s="4">
        <v>2024</v>
      </c>
      <c r="E563" s="4">
        <v>1</v>
      </c>
      <c r="F563" s="4">
        <v>9</v>
      </c>
      <c r="G563" s="1" t="s">
        <v>30</v>
      </c>
      <c r="I563" s="1" t="s">
        <v>88</v>
      </c>
      <c r="J563" s="1" t="s">
        <v>89</v>
      </c>
      <c r="K563" s="3" t="s">
        <v>28</v>
      </c>
      <c r="L563" s="3" t="s">
        <v>6</v>
      </c>
      <c r="M563" s="3" t="s">
        <v>23</v>
      </c>
      <c r="N563" s="3" t="s">
        <v>4</v>
      </c>
      <c r="O563" s="3" t="s">
        <v>5</v>
      </c>
      <c r="P563" s="3" t="s">
        <v>3</v>
      </c>
      <c r="Q563" s="3">
        <v>330</v>
      </c>
      <c r="R563" s="3">
        <v>95</v>
      </c>
      <c r="S563" s="3">
        <v>31350</v>
      </c>
      <c r="T563" s="3">
        <v>3135</v>
      </c>
      <c r="U563" s="3">
        <v>34485</v>
      </c>
    </row>
    <row r="564" spans="1:21" x14ac:dyDescent="0.25">
      <c r="B564" s="2"/>
      <c r="C564" s="2"/>
      <c r="D564" s="4"/>
      <c r="E564" s="4"/>
      <c r="F564" s="4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1:21" x14ac:dyDescent="0.25">
      <c r="B565" s="2"/>
      <c r="C565" s="2"/>
      <c r="D565" s="4"/>
      <c r="E565" s="4"/>
      <c r="F565" s="4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1:21" x14ac:dyDescent="0.25">
      <c r="B566" s="2"/>
      <c r="C566" s="2"/>
      <c r="D566" s="4"/>
      <c r="E566" s="4"/>
      <c r="F566" s="4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1:21" x14ac:dyDescent="0.25">
      <c r="B567" s="2"/>
      <c r="C567" s="2"/>
      <c r="D567" s="4"/>
      <c r="E567" s="4"/>
      <c r="F567" s="4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1:21" x14ac:dyDescent="0.25">
      <c r="B568" s="2"/>
      <c r="C568" s="2"/>
      <c r="D568" s="4"/>
      <c r="E568" s="4"/>
      <c r="F568" s="4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1:21" x14ac:dyDescent="0.25">
      <c r="B569" s="2"/>
      <c r="C569" s="2"/>
      <c r="D569" s="4"/>
      <c r="E569" s="4"/>
      <c r="F569" s="4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1:21" x14ac:dyDescent="0.25">
      <c r="B570" s="2"/>
      <c r="C570" s="2"/>
      <c r="D570" s="4"/>
      <c r="E570" s="4"/>
      <c r="F570" s="4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1:21" x14ac:dyDescent="0.25">
      <c r="B571" s="2"/>
      <c r="C571" s="2"/>
      <c r="D571" s="4"/>
      <c r="E571" s="4"/>
      <c r="F571" s="4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1:21" x14ac:dyDescent="0.25">
      <c r="B572" s="2"/>
      <c r="C572" s="2"/>
      <c r="D572" s="4"/>
      <c r="E572" s="4"/>
      <c r="F572" s="4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1:21" x14ac:dyDescent="0.25">
      <c r="B573" s="2"/>
      <c r="C573" s="2"/>
      <c r="D573" s="4"/>
      <c r="E573" s="4"/>
      <c r="F573" s="4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1:21" x14ac:dyDescent="0.25">
      <c r="B574" s="2"/>
      <c r="C574" s="2"/>
      <c r="D574" s="4"/>
      <c r="E574" s="4"/>
      <c r="F574" s="4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1:21" x14ac:dyDescent="0.25">
      <c r="B575" s="2"/>
      <c r="C575" s="2"/>
      <c r="D575" s="4"/>
      <c r="E575" s="4"/>
      <c r="F575" s="4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1:21" x14ac:dyDescent="0.25">
      <c r="B576" s="2"/>
      <c r="C576" s="2"/>
      <c r="D576" s="4"/>
      <c r="E576" s="4"/>
      <c r="F576" s="4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2"/>
      <c r="D577" s="4"/>
      <c r="E577" s="4"/>
      <c r="F577" s="4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2"/>
      <c r="D578" s="4"/>
      <c r="E578" s="4"/>
      <c r="F578" s="4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2"/>
      <c r="D579" s="4"/>
      <c r="E579" s="4"/>
      <c r="F579" s="4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2"/>
      <c r="D580" s="4"/>
      <c r="E580" s="4"/>
      <c r="F580" s="4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2"/>
      <c r="D581" s="4"/>
      <c r="E581" s="4"/>
      <c r="F581" s="4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2"/>
      <c r="D582" s="4"/>
      <c r="E582" s="4"/>
      <c r="F582" s="4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2"/>
      <c r="D583" s="4"/>
      <c r="E583" s="4"/>
      <c r="F583" s="4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2"/>
      <c r="D584" s="4"/>
      <c r="E584" s="4"/>
      <c r="F584" s="4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2"/>
      <c r="D585" s="4"/>
      <c r="E585" s="4"/>
      <c r="F585" s="4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2"/>
      <c r="D586" s="4"/>
      <c r="E586" s="4"/>
      <c r="F586" s="4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2"/>
      <c r="D587" s="4"/>
      <c r="E587" s="4"/>
      <c r="F587" s="4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2"/>
      <c r="D588" s="4"/>
      <c r="E588" s="4"/>
      <c r="F588" s="4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2"/>
      <c r="D589" s="4"/>
      <c r="E589" s="4"/>
      <c r="F589" s="4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2"/>
      <c r="D590" s="4"/>
      <c r="E590" s="4"/>
      <c r="F590" s="4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2"/>
      <c r="D591" s="4"/>
      <c r="E591" s="4"/>
      <c r="F591" s="4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2"/>
      <c r="D592" s="4"/>
      <c r="E592" s="4"/>
      <c r="F592" s="4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2"/>
      <c r="D593" s="4"/>
      <c r="E593" s="4"/>
      <c r="F593" s="4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2"/>
      <c r="D594" s="4"/>
      <c r="E594" s="4"/>
      <c r="F594" s="4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2"/>
      <c r="D595" s="4"/>
      <c r="E595" s="4"/>
      <c r="F595" s="4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2"/>
      <c r="D596" s="4"/>
      <c r="E596" s="4"/>
      <c r="F596" s="4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2"/>
      <c r="D597" s="4"/>
      <c r="E597" s="4"/>
      <c r="F597" s="4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2"/>
      <c r="D598" s="4"/>
      <c r="E598" s="4"/>
      <c r="F598" s="4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2"/>
      <c r="D599" s="4"/>
      <c r="E599" s="4"/>
      <c r="F599" s="4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2"/>
      <c r="D600" s="4"/>
      <c r="E600" s="4"/>
      <c r="F600" s="4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2"/>
      <c r="D601" s="4"/>
      <c r="E601" s="4"/>
      <c r="F601" s="4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2"/>
      <c r="D602" s="4"/>
      <c r="E602" s="4"/>
      <c r="F602" s="4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2"/>
      <c r="D603" s="4"/>
      <c r="E603" s="4"/>
      <c r="F603" s="4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2"/>
      <c r="D604" s="4"/>
      <c r="E604" s="4"/>
      <c r="F604" s="4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2"/>
      <c r="D605" s="4"/>
      <c r="E605" s="4"/>
      <c r="F605" s="4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2"/>
      <c r="D606" s="4"/>
      <c r="E606" s="4"/>
      <c r="F606" s="4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2"/>
      <c r="D607" s="4"/>
      <c r="E607" s="4"/>
      <c r="F607" s="4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2"/>
      <c r="D608" s="4"/>
      <c r="E608" s="4"/>
      <c r="F608" s="4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2"/>
      <c r="D609" s="4"/>
      <c r="E609" s="4"/>
      <c r="F609" s="4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2"/>
      <c r="D610" s="4"/>
      <c r="E610" s="4"/>
      <c r="F610" s="4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2"/>
      <c r="D611" s="4"/>
      <c r="E611" s="4"/>
      <c r="F611" s="4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2"/>
      <c r="D612" s="4"/>
      <c r="E612" s="4"/>
      <c r="F612" s="4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2"/>
      <c r="D613" s="4"/>
      <c r="E613" s="4"/>
      <c r="F613" s="4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2"/>
      <c r="D614" s="4"/>
      <c r="E614" s="4"/>
      <c r="F614" s="4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2"/>
      <c r="D615" s="4"/>
      <c r="E615" s="4"/>
      <c r="F615" s="4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2"/>
      <c r="D616" s="4"/>
      <c r="E616" s="4"/>
      <c r="F616" s="4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2"/>
      <c r="D617" s="4"/>
      <c r="E617" s="4"/>
      <c r="F617" s="4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2"/>
      <c r="D618" s="4"/>
      <c r="E618" s="4"/>
      <c r="F618" s="4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2"/>
      <c r="D619" s="4"/>
      <c r="E619" s="4"/>
      <c r="F619" s="4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2"/>
      <c r="D620" s="4"/>
      <c r="E620" s="4"/>
      <c r="F620" s="4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2"/>
      <c r="D621" s="4"/>
      <c r="E621" s="4"/>
      <c r="F621" s="4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2"/>
      <c r="D622" s="4"/>
      <c r="E622" s="4"/>
      <c r="F622" s="4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2"/>
      <c r="D623" s="4"/>
      <c r="E623" s="4"/>
      <c r="F623" s="4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2"/>
      <c r="D624" s="4"/>
      <c r="E624" s="4"/>
      <c r="F624" s="4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2"/>
      <c r="D625" s="4"/>
      <c r="E625" s="4"/>
      <c r="F625" s="4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2"/>
      <c r="D626" s="4"/>
      <c r="E626" s="4"/>
      <c r="F626" s="4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2"/>
      <c r="D627" s="4"/>
      <c r="E627" s="4"/>
      <c r="F627" s="4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2"/>
      <c r="D628" s="4"/>
      <c r="E628" s="4"/>
      <c r="F628" s="4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2"/>
      <c r="D629" s="4"/>
      <c r="E629" s="4"/>
      <c r="F629" s="4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2"/>
      <c r="D630" s="4"/>
      <c r="E630" s="4"/>
      <c r="F630" s="4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2"/>
      <c r="D631" s="4"/>
      <c r="E631" s="4"/>
      <c r="F631" s="4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2"/>
      <c r="D632" s="4"/>
      <c r="E632" s="4"/>
      <c r="F632" s="4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2"/>
      <c r="D633" s="4"/>
      <c r="E633" s="4"/>
      <c r="F633" s="4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2"/>
      <c r="D634" s="4"/>
      <c r="E634" s="4"/>
      <c r="F634" s="4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2"/>
      <c r="D635" s="4"/>
      <c r="E635" s="4"/>
      <c r="F635" s="4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2"/>
      <c r="D636" s="4"/>
      <c r="E636" s="4"/>
      <c r="F636" s="4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2"/>
      <c r="D637" s="4"/>
      <c r="E637" s="4"/>
      <c r="F637" s="4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2"/>
      <c r="D638" s="4"/>
      <c r="E638" s="4"/>
      <c r="F638" s="4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2"/>
      <c r="D639" s="4"/>
      <c r="E639" s="4"/>
      <c r="F639" s="4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2"/>
      <c r="D640" s="4"/>
      <c r="E640" s="4"/>
      <c r="F640" s="4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2"/>
      <c r="D641" s="4"/>
      <c r="E641" s="4"/>
      <c r="F641" s="4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2"/>
      <c r="D642" s="4"/>
      <c r="E642" s="4"/>
      <c r="F642" s="4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2"/>
      <c r="D643" s="4"/>
      <c r="E643" s="4"/>
      <c r="F643" s="4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2"/>
      <c r="D644" s="4"/>
      <c r="E644" s="4"/>
      <c r="F644" s="4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2"/>
      <c r="D645" s="4"/>
      <c r="E645" s="4"/>
      <c r="F645" s="4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2"/>
      <c r="D646" s="4"/>
      <c r="E646" s="4"/>
      <c r="F646" s="4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2"/>
      <c r="D647" s="4"/>
      <c r="E647" s="4"/>
      <c r="F647" s="4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2"/>
      <c r="D648" s="4"/>
      <c r="E648" s="4"/>
      <c r="F648" s="4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2"/>
      <c r="D649" s="4"/>
      <c r="E649" s="4"/>
      <c r="F649" s="4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2"/>
      <c r="D650" s="4"/>
      <c r="E650" s="4"/>
      <c r="F650" s="4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2"/>
      <c r="D651" s="4"/>
      <c r="E651" s="4"/>
      <c r="F651" s="4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2"/>
      <c r="D652" s="4"/>
      <c r="E652" s="4"/>
      <c r="F652" s="4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2"/>
      <c r="D653" s="4"/>
      <c r="E653" s="4"/>
      <c r="F653" s="4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2"/>
      <c r="D654" s="4"/>
      <c r="E654" s="4"/>
      <c r="F654" s="4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2"/>
      <c r="D655" s="4"/>
      <c r="E655" s="4"/>
      <c r="F655" s="4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2"/>
      <c r="D656" s="4"/>
      <c r="E656" s="4"/>
      <c r="F656" s="4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2"/>
      <c r="D657" s="4"/>
      <c r="E657" s="4"/>
      <c r="F657" s="4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2"/>
      <c r="D658" s="4"/>
      <c r="E658" s="4"/>
      <c r="F658" s="4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2"/>
      <c r="D659" s="4"/>
      <c r="E659" s="4"/>
      <c r="F659" s="4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2"/>
      <c r="D660" s="4"/>
      <c r="E660" s="4"/>
      <c r="F660" s="4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2"/>
      <c r="D661" s="4"/>
      <c r="E661" s="4"/>
      <c r="F661" s="4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2"/>
      <c r="D662" s="4"/>
      <c r="E662" s="4"/>
      <c r="F662" s="4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2"/>
      <c r="D663" s="4"/>
      <c r="E663" s="4"/>
      <c r="F663" s="4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2"/>
      <c r="D664" s="4"/>
      <c r="E664" s="4"/>
      <c r="F664" s="4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2"/>
      <c r="D665" s="4"/>
      <c r="E665" s="4"/>
      <c r="F665" s="4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2"/>
      <c r="D666" s="4"/>
      <c r="E666" s="4"/>
      <c r="F666" s="4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2"/>
      <c r="D667" s="4"/>
      <c r="E667" s="4"/>
      <c r="F667" s="4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2"/>
      <c r="D668" s="4"/>
      <c r="E668" s="4"/>
      <c r="F668" s="4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2"/>
      <c r="D669" s="4"/>
      <c r="E669" s="4"/>
      <c r="F669" s="4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2"/>
      <c r="D670" s="4"/>
      <c r="E670" s="4"/>
      <c r="F670" s="4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2"/>
      <c r="D671" s="4"/>
      <c r="E671" s="4"/>
      <c r="F671" s="4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2"/>
      <c r="D672" s="4"/>
      <c r="E672" s="4"/>
      <c r="F672" s="4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2"/>
      <c r="D673" s="4"/>
      <c r="E673" s="4"/>
      <c r="F673" s="4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2"/>
      <c r="D674" s="4"/>
      <c r="E674" s="4"/>
      <c r="F674" s="4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2"/>
      <c r="D675" s="4"/>
      <c r="E675" s="4"/>
      <c r="F675" s="4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2"/>
      <c r="D676" s="4"/>
      <c r="E676" s="4"/>
      <c r="F676" s="4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2"/>
      <c r="D677" s="4"/>
      <c r="E677" s="4"/>
      <c r="F677" s="4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2"/>
      <c r="D678" s="4"/>
      <c r="E678" s="4"/>
      <c r="F678" s="4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2"/>
      <c r="D679" s="4"/>
      <c r="E679" s="4"/>
      <c r="F679" s="4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2"/>
      <c r="D680" s="4"/>
      <c r="E680" s="4"/>
      <c r="F680" s="4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2"/>
      <c r="D681" s="4"/>
      <c r="E681" s="4"/>
      <c r="F681" s="4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2"/>
      <c r="D682" s="4"/>
      <c r="E682" s="4"/>
      <c r="F682" s="4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2"/>
      <c r="D683" s="4"/>
      <c r="E683" s="4"/>
      <c r="F683" s="4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2"/>
      <c r="D684" s="4"/>
      <c r="E684" s="4"/>
      <c r="F684" s="4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2"/>
      <c r="D685" s="4"/>
      <c r="E685" s="4"/>
      <c r="F685" s="4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2"/>
      <c r="D686" s="4"/>
      <c r="E686" s="4"/>
      <c r="F686" s="4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2"/>
      <c r="D687" s="4"/>
      <c r="E687" s="4"/>
      <c r="F687" s="4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2"/>
      <c r="D688" s="4"/>
      <c r="E688" s="4"/>
      <c r="F688" s="4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2"/>
      <c r="D689" s="4"/>
      <c r="E689" s="4"/>
      <c r="F689" s="4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2"/>
      <c r="D690" s="4"/>
      <c r="E690" s="4"/>
      <c r="F690" s="4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2"/>
      <c r="D691" s="4"/>
      <c r="E691" s="4"/>
      <c r="F691" s="4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2"/>
      <c r="D692" s="4"/>
      <c r="E692" s="4"/>
      <c r="F692" s="4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2"/>
      <c r="D693" s="4"/>
      <c r="E693" s="4"/>
      <c r="F693" s="4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2"/>
      <c r="D694" s="4"/>
      <c r="E694" s="4"/>
      <c r="F694" s="4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2"/>
      <c r="D695" s="4"/>
      <c r="E695" s="4"/>
      <c r="F695" s="4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2"/>
      <c r="D696" s="4"/>
      <c r="E696" s="4"/>
      <c r="F696" s="4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2"/>
      <c r="D697" s="4"/>
      <c r="E697" s="4"/>
      <c r="F697" s="4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2"/>
      <c r="D698" s="4"/>
      <c r="E698" s="4"/>
      <c r="F698" s="4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2"/>
      <c r="D699" s="4"/>
      <c r="E699" s="4"/>
      <c r="F699" s="4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2"/>
      <c r="D700" s="4"/>
      <c r="E700" s="4"/>
      <c r="F700" s="4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2"/>
      <c r="D701" s="4"/>
      <c r="E701" s="4"/>
      <c r="F701" s="4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2"/>
      <c r="D702" s="4"/>
      <c r="E702" s="4"/>
      <c r="F702" s="4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2"/>
      <c r="D703" s="4"/>
      <c r="E703" s="4"/>
      <c r="F703" s="4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2"/>
      <c r="D704" s="4"/>
      <c r="E704" s="4"/>
      <c r="F704" s="4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2"/>
      <c r="D705" s="4"/>
      <c r="E705" s="4"/>
      <c r="F705" s="4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2"/>
      <c r="D706" s="4"/>
      <c r="E706" s="4"/>
      <c r="F706" s="4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2"/>
      <c r="D707" s="4"/>
      <c r="E707" s="4"/>
      <c r="F707" s="4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2"/>
      <c r="D708" s="4"/>
      <c r="E708" s="4"/>
      <c r="F708" s="4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2"/>
      <c r="D709" s="4"/>
      <c r="E709" s="4"/>
      <c r="F709" s="4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2"/>
      <c r="D710" s="4"/>
      <c r="E710" s="4"/>
      <c r="F710" s="4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2"/>
      <c r="D711" s="4"/>
      <c r="E711" s="4"/>
      <c r="F711" s="4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2"/>
      <c r="D712" s="4"/>
      <c r="E712" s="4"/>
      <c r="F712" s="4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2"/>
      <c r="D713" s="4"/>
      <c r="E713" s="4"/>
      <c r="F713" s="4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2"/>
      <c r="D714" s="4"/>
      <c r="E714" s="4"/>
      <c r="F714" s="4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2"/>
      <c r="D715" s="4"/>
      <c r="E715" s="4"/>
      <c r="F715" s="4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2"/>
      <c r="D716" s="4"/>
      <c r="E716" s="4"/>
      <c r="F716" s="4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2"/>
      <c r="D717" s="4"/>
      <c r="E717" s="4"/>
      <c r="F717" s="4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2"/>
      <c r="D718" s="4"/>
      <c r="E718" s="4"/>
      <c r="F718" s="4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2"/>
      <c r="D719" s="4"/>
      <c r="E719" s="4"/>
      <c r="F719" s="4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2"/>
      <c r="D720" s="4"/>
      <c r="E720" s="4"/>
      <c r="F720" s="4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2"/>
      <c r="D721" s="4"/>
      <c r="E721" s="4"/>
      <c r="F721" s="4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2"/>
      <c r="D722" s="4"/>
      <c r="E722" s="4"/>
      <c r="F722" s="4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2"/>
      <c r="D723" s="4"/>
      <c r="E723" s="4"/>
      <c r="F723" s="4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2"/>
      <c r="D724" s="4"/>
      <c r="E724" s="4"/>
      <c r="F724" s="4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2"/>
      <c r="D725" s="4"/>
      <c r="E725" s="4"/>
      <c r="F725" s="4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2"/>
      <c r="D726" s="4"/>
      <c r="E726" s="4"/>
      <c r="F726" s="4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2"/>
      <c r="D727" s="4"/>
      <c r="E727" s="4"/>
      <c r="F727" s="4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2"/>
      <c r="D728" s="4"/>
      <c r="E728" s="4"/>
      <c r="F728" s="4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2"/>
      <c r="D729" s="4"/>
      <c r="E729" s="4"/>
      <c r="F729" s="4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2"/>
      <c r="D730" s="4"/>
      <c r="E730" s="4"/>
      <c r="F730" s="4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2"/>
      <c r="D731" s="4"/>
      <c r="E731" s="4"/>
      <c r="F731" s="4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2"/>
      <c r="D732" s="4"/>
      <c r="E732" s="4"/>
      <c r="F732" s="4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2"/>
      <c r="D733" s="4"/>
      <c r="E733" s="4"/>
      <c r="F733" s="4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2"/>
      <c r="D734" s="4"/>
      <c r="E734" s="4"/>
      <c r="F734" s="4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2"/>
      <c r="D735" s="4"/>
      <c r="E735" s="4"/>
      <c r="F735" s="4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2"/>
      <c r="D736" s="4"/>
      <c r="E736" s="4"/>
      <c r="F736" s="4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2"/>
      <c r="D737" s="4"/>
      <c r="E737" s="4"/>
      <c r="F737" s="4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2"/>
      <c r="D738" s="4"/>
      <c r="E738" s="4"/>
      <c r="F738" s="4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2"/>
      <c r="D739" s="4"/>
      <c r="E739" s="4"/>
      <c r="F739" s="4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2"/>
      <c r="D740" s="4"/>
      <c r="E740" s="4"/>
      <c r="F740" s="4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2"/>
      <c r="D741" s="4"/>
      <c r="E741" s="4"/>
      <c r="F741" s="4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2"/>
      <c r="D742" s="4"/>
      <c r="E742" s="4"/>
      <c r="F742" s="4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2"/>
      <c r="D743" s="4"/>
      <c r="E743" s="4"/>
      <c r="F743" s="4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2"/>
      <c r="D744" s="4"/>
      <c r="E744" s="4"/>
      <c r="F744" s="4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2"/>
      <c r="D745" s="4"/>
      <c r="E745" s="4"/>
      <c r="F745" s="4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2"/>
      <c r="D746" s="4"/>
      <c r="E746" s="4"/>
      <c r="F746" s="4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2"/>
      <c r="D747" s="4"/>
      <c r="E747" s="4"/>
      <c r="F747" s="4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2"/>
      <c r="D748" s="4"/>
      <c r="E748" s="4"/>
      <c r="F748" s="4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2"/>
      <c r="D749" s="4"/>
      <c r="E749" s="4"/>
      <c r="F749" s="4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2"/>
      <c r="D750" s="4"/>
      <c r="E750" s="4"/>
      <c r="F750" s="4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2"/>
      <c r="D751" s="4"/>
      <c r="E751" s="4"/>
      <c r="F751" s="4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2"/>
      <c r="D752" s="4"/>
      <c r="E752" s="4"/>
      <c r="F752" s="4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2"/>
      <c r="D753" s="4"/>
      <c r="E753" s="4"/>
      <c r="F753" s="4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2"/>
      <c r="D754" s="4"/>
      <c r="E754" s="4"/>
      <c r="F754" s="4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2"/>
      <c r="D755" s="4"/>
      <c r="E755" s="4"/>
      <c r="F755" s="4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2"/>
      <c r="D756" s="4"/>
      <c r="E756" s="4"/>
      <c r="F756" s="4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2"/>
      <c r="D757" s="4"/>
      <c r="E757" s="4"/>
      <c r="F757" s="4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2"/>
      <c r="D758" s="4"/>
      <c r="E758" s="4"/>
      <c r="F758" s="4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2"/>
      <c r="D759" s="4"/>
      <c r="E759" s="4"/>
      <c r="F759" s="4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2"/>
      <c r="D760" s="4"/>
      <c r="E760" s="4"/>
      <c r="F760" s="4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2"/>
      <c r="D761" s="4"/>
      <c r="E761" s="4"/>
      <c r="F761" s="4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2"/>
      <c r="D762" s="4"/>
      <c r="E762" s="4"/>
      <c r="F762" s="4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2"/>
      <c r="D763" s="4"/>
      <c r="E763" s="4"/>
      <c r="F763" s="4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2"/>
      <c r="D764" s="4"/>
      <c r="E764" s="4"/>
      <c r="F764" s="4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2"/>
      <c r="D765" s="4"/>
      <c r="E765" s="4"/>
      <c r="F765" s="4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2"/>
      <c r="D766" s="4"/>
      <c r="E766" s="4"/>
      <c r="F766" s="4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2"/>
      <c r="D767" s="4"/>
      <c r="E767" s="4"/>
      <c r="F767" s="4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2"/>
      <c r="D768" s="4"/>
      <c r="E768" s="4"/>
      <c r="F768" s="4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2"/>
      <c r="D769" s="4"/>
      <c r="E769" s="4"/>
      <c r="F769" s="4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2"/>
      <c r="D770" s="4"/>
      <c r="E770" s="4"/>
      <c r="F770" s="4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2"/>
      <c r="D771" s="4"/>
      <c r="E771" s="4"/>
      <c r="F771" s="4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2"/>
      <c r="D772" s="4"/>
      <c r="E772" s="4"/>
      <c r="F772" s="4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2"/>
      <c r="D773" s="4"/>
      <c r="E773" s="4"/>
      <c r="F773" s="4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2"/>
      <c r="D774" s="4"/>
      <c r="E774" s="4"/>
      <c r="F774" s="4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2"/>
      <c r="D775" s="4"/>
      <c r="E775" s="4"/>
      <c r="F775" s="4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2"/>
      <c r="D776" s="4"/>
      <c r="E776" s="4"/>
      <c r="F776" s="4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2"/>
      <c r="D777" s="4"/>
      <c r="E777" s="4"/>
      <c r="F777" s="4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2"/>
      <c r="D778" s="4"/>
      <c r="E778" s="4"/>
      <c r="F778" s="4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2"/>
      <c r="D779" s="4"/>
      <c r="E779" s="4"/>
      <c r="F779" s="4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2"/>
      <c r="D780" s="4"/>
      <c r="E780" s="4"/>
      <c r="F780" s="4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2"/>
      <c r="D781" s="4"/>
      <c r="E781" s="4"/>
      <c r="F781" s="4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2"/>
      <c r="D782" s="4"/>
      <c r="E782" s="4"/>
      <c r="F782" s="4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2"/>
      <c r="D783" s="4"/>
      <c r="E783" s="4"/>
      <c r="F783" s="4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2"/>
      <c r="D784" s="4"/>
      <c r="E784" s="4"/>
      <c r="F784" s="4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2"/>
      <c r="D785" s="4"/>
      <c r="E785" s="4"/>
      <c r="F785" s="4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2"/>
      <c r="D786" s="4"/>
      <c r="E786" s="4"/>
      <c r="F786" s="4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2"/>
      <c r="D787" s="4"/>
      <c r="E787" s="4"/>
      <c r="F787" s="4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2"/>
      <c r="D788" s="4"/>
      <c r="E788" s="4"/>
      <c r="F788" s="4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2"/>
      <c r="D789" s="4"/>
      <c r="E789" s="4"/>
      <c r="F789" s="4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2"/>
      <c r="D790" s="4"/>
      <c r="E790" s="4"/>
      <c r="F790" s="4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2"/>
      <c r="D791" s="4"/>
      <c r="E791" s="4"/>
      <c r="F791" s="4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2"/>
      <c r="D792" s="4"/>
      <c r="E792" s="4"/>
      <c r="F792" s="4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2"/>
      <c r="D793" s="4"/>
      <c r="E793" s="4"/>
      <c r="F793" s="4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2"/>
      <c r="D794" s="4"/>
      <c r="E794" s="4"/>
      <c r="F794" s="4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2"/>
      <c r="D795" s="4"/>
      <c r="E795" s="4"/>
      <c r="F795" s="4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2"/>
      <c r="D796" s="4"/>
      <c r="E796" s="4"/>
      <c r="F796" s="4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2"/>
      <c r="D797" s="4"/>
      <c r="E797" s="4"/>
      <c r="F797" s="4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2"/>
      <c r="D798" s="4"/>
      <c r="E798" s="4"/>
      <c r="F798" s="4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2"/>
      <c r="D799" s="4"/>
      <c r="E799" s="4"/>
      <c r="F799" s="4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2"/>
      <c r="D800" s="4"/>
      <c r="E800" s="4"/>
      <c r="F800" s="4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2"/>
      <c r="D801" s="4"/>
      <c r="E801" s="4"/>
      <c r="F801" s="4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2"/>
      <c r="D802" s="4"/>
      <c r="E802" s="4"/>
      <c r="F802" s="4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2"/>
      <c r="D803" s="4"/>
      <c r="E803" s="4"/>
      <c r="F803" s="4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2"/>
      <c r="D804" s="4"/>
      <c r="E804" s="4"/>
      <c r="F804" s="4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2"/>
      <c r="D805" s="4"/>
      <c r="E805" s="4"/>
      <c r="F805" s="4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2"/>
      <c r="D806" s="4"/>
      <c r="E806" s="4"/>
      <c r="F806" s="4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2"/>
      <c r="D807" s="4"/>
      <c r="E807" s="4"/>
      <c r="F807" s="4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2"/>
      <c r="D808" s="4"/>
      <c r="E808" s="4"/>
      <c r="F808" s="4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2"/>
      <c r="D809" s="4"/>
      <c r="E809" s="4"/>
      <c r="F809" s="4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2"/>
      <c r="D810" s="4"/>
      <c r="E810" s="4"/>
      <c r="F810" s="4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2"/>
      <c r="D811" s="4"/>
      <c r="E811" s="4"/>
      <c r="F811" s="4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2"/>
      <c r="D812" s="4"/>
      <c r="E812" s="4"/>
      <c r="F812" s="4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2"/>
      <c r="D813" s="4"/>
      <c r="E813" s="4"/>
      <c r="F813" s="4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2"/>
      <c r="D814" s="4"/>
      <c r="E814" s="4"/>
      <c r="F814" s="4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2"/>
      <c r="D815" s="4"/>
      <c r="E815" s="4"/>
      <c r="F815" s="4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2"/>
      <c r="D816" s="4"/>
      <c r="E816" s="4"/>
      <c r="F816" s="4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2"/>
      <c r="D817" s="4"/>
      <c r="E817" s="4"/>
      <c r="F817" s="4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2"/>
      <c r="D818" s="4"/>
      <c r="E818" s="4"/>
      <c r="F818" s="4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2"/>
      <c r="D819" s="4"/>
      <c r="E819" s="4"/>
      <c r="F819" s="4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2"/>
      <c r="D820" s="4"/>
      <c r="E820" s="4"/>
      <c r="F820" s="4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2"/>
      <c r="D821" s="4"/>
      <c r="E821" s="4"/>
      <c r="F821" s="4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2"/>
      <c r="D822" s="4"/>
      <c r="E822" s="4"/>
      <c r="F822" s="4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2"/>
      <c r="D823" s="4"/>
      <c r="E823" s="4"/>
      <c r="F823" s="4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2"/>
      <c r="D824" s="4"/>
      <c r="E824" s="4"/>
      <c r="F824" s="4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2"/>
      <c r="D825" s="4"/>
      <c r="E825" s="4"/>
      <c r="F825" s="4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2"/>
      <c r="D826" s="4"/>
      <c r="E826" s="4"/>
      <c r="F826" s="4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2"/>
      <c r="D827" s="4"/>
      <c r="E827" s="4"/>
      <c r="F827" s="4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2"/>
      <c r="D828" s="4"/>
      <c r="E828" s="4"/>
      <c r="F828" s="4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2"/>
      <c r="D829" s="4"/>
      <c r="E829" s="4"/>
      <c r="F829" s="4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2"/>
      <c r="D830" s="4"/>
      <c r="E830" s="4"/>
      <c r="F830" s="4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2"/>
      <c r="D831" s="4"/>
      <c r="E831" s="4"/>
      <c r="F831" s="4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2"/>
      <c r="D832" s="4"/>
      <c r="E832" s="4"/>
      <c r="F832" s="4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2"/>
      <c r="D833" s="4"/>
      <c r="E833" s="4"/>
      <c r="F833" s="4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2"/>
      <c r="D834" s="4"/>
      <c r="E834" s="4"/>
      <c r="F834" s="4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2"/>
      <c r="D835" s="4"/>
      <c r="E835" s="4"/>
      <c r="F835" s="4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2"/>
      <c r="D836" s="4"/>
      <c r="E836" s="4"/>
      <c r="F836" s="4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2"/>
      <c r="D837" s="4"/>
      <c r="E837" s="4"/>
      <c r="F837" s="4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2"/>
      <c r="D838" s="4"/>
      <c r="E838" s="4"/>
      <c r="F838" s="4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2"/>
      <c r="D839" s="4"/>
      <c r="E839" s="4"/>
      <c r="F839" s="4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2"/>
      <c r="D840" s="4"/>
      <c r="E840" s="4"/>
      <c r="F840" s="4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2"/>
      <c r="D841" s="4"/>
      <c r="E841" s="4"/>
      <c r="F841" s="4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2"/>
      <c r="D842" s="4"/>
      <c r="E842" s="4"/>
      <c r="F842" s="4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2"/>
      <c r="D843" s="4"/>
      <c r="E843" s="4"/>
      <c r="F843" s="4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2"/>
      <c r="D844" s="4"/>
      <c r="E844" s="4"/>
      <c r="F844" s="4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2"/>
      <c r="D845" s="4"/>
      <c r="E845" s="4"/>
      <c r="F845" s="4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2"/>
      <c r="D846" s="4"/>
      <c r="E846" s="4"/>
      <c r="F846" s="4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2"/>
      <c r="D847" s="4"/>
      <c r="E847" s="4"/>
      <c r="F847" s="4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2"/>
      <c r="D848" s="4"/>
      <c r="E848" s="4"/>
      <c r="F848" s="4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2"/>
      <c r="D849" s="4"/>
      <c r="E849" s="4"/>
      <c r="F849" s="4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2"/>
      <c r="D850" s="4"/>
      <c r="E850" s="4"/>
      <c r="F850" s="4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2"/>
      <c r="D851" s="4"/>
      <c r="E851" s="4"/>
      <c r="F851" s="4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2"/>
      <c r="D852" s="4"/>
      <c r="E852" s="4"/>
      <c r="F852" s="4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2"/>
      <c r="D853" s="4"/>
      <c r="E853" s="4"/>
      <c r="F853" s="4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2"/>
      <c r="D854" s="4"/>
      <c r="E854" s="4"/>
      <c r="F854" s="4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2"/>
      <c r="D855" s="4"/>
      <c r="E855" s="4"/>
      <c r="F855" s="4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2"/>
      <c r="D856" s="4"/>
      <c r="E856" s="4"/>
      <c r="F856" s="4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2"/>
      <c r="D857" s="4"/>
      <c r="E857" s="4"/>
      <c r="F857" s="4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2"/>
      <c r="D858" s="4"/>
      <c r="E858" s="4"/>
      <c r="F858" s="4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2"/>
      <c r="D859" s="4"/>
      <c r="E859" s="4"/>
      <c r="F859" s="4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2"/>
      <c r="D860" s="4"/>
      <c r="E860" s="4"/>
      <c r="F860" s="4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2"/>
      <c r="D861" s="4"/>
      <c r="E861" s="4"/>
      <c r="F861" s="4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2"/>
      <c r="D862" s="4"/>
      <c r="E862" s="4"/>
      <c r="F862" s="4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2"/>
      <c r="D863" s="4"/>
      <c r="E863" s="4"/>
      <c r="F863" s="4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2"/>
      <c r="D864" s="4"/>
      <c r="E864" s="4"/>
      <c r="F864" s="4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2"/>
      <c r="D865" s="4"/>
      <c r="E865" s="4"/>
      <c r="F865" s="4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2"/>
      <c r="D866" s="4"/>
      <c r="E866" s="4"/>
      <c r="F866" s="4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2"/>
      <c r="D867" s="4"/>
      <c r="E867" s="4"/>
      <c r="F867" s="4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2"/>
      <c r="D868" s="4"/>
      <c r="E868" s="4"/>
      <c r="F868" s="4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2"/>
      <c r="D869" s="4"/>
      <c r="E869" s="4"/>
      <c r="F869" s="4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2"/>
      <c r="D870" s="4"/>
      <c r="E870" s="4"/>
      <c r="F870" s="4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2"/>
      <c r="D871" s="4"/>
      <c r="E871" s="4"/>
      <c r="F871" s="4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2"/>
      <c r="D872" s="4"/>
      <c r="E872" s="4"/>
      <c r="F872" s="4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2"/>
      <c r="D873" s="4"/>
      <c r="E873" s="4"/>
      <c r="F873" s="4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2"/>
      <c r="D874" s="4"/>
      <c r="E874" s="4"/>
      <c r="F874" s="4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2"/>
      <c r="D875" s="4"/>
      <c r="E875" s="4"/>
      <c r="F875" s="4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2"/>
      <c r="D876" s="4"/>
      <c r="E876" s="4"/>
      <c r="F876" s="4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2"/>
      <c r="D877" s="4"/>
      <c r="E877" s="4"/>
      <c r="F877" s="4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2"/>
      <c r="D878" s="4"/>
      <c r="E878" s="4"/>
      <c r="F878" s="4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2"/>
      <c r="D879" s="4"/>
      <c r="E879" s="4"/>
      <c r="F879" s="4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2"/>
      <c r="D880" s="4"/>
      <c r="E880" s="4"/>
      <c r="F880" s="4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2"/>
      <c r="D881" s="4"/>
      <c r="E881" s="4"/>
      <c r="F881" s="4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2"/>
      <c r="D882" s="4"/>
      <c r="E882" s="4"/>
      <c r="F882" s="4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2"/>
      <c r="D883" s="4"/>
      <c r="E883" s="4"/>
      <c r="F883" s="4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2"/>
      <c r="D884" s="4"/>
      <c r="E884" s="4"/>
      <c r="F884" s="4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2"/>
      <c r="D885" s="4"/>
      <c r="E885" s="4"/>
      <c r="F885" s="4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2"/>
      <c r="D886" s="4"/>
      <c r="E886" s="4"/>
      <c r="F886" s="4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2"/>
      <c r="D887" s="4"/>
      <c r="E887" s="4"/>
      <c r="F887" s="4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2"/>
      <c r="D888" s="4"/>
      <c r="E888" s="4"/>
      <c r="F888" s="4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2"/>
      <c r="D889" s="4"/>
      <c r="E889" s="4"/>
      <c r="F889" s="4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2"/>
      <c r="D890" s="4"/>
      <c r="E890" s="4"/>
      <c r="F890" s="4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2"/>
      <c r="D891" s="4"/>
      <c r="E891" s="4"/>
      <c r="F891" s="4"/>
      <c r="N891" s="3"/>
      <c r="O891" s="3"/>
      <c r="P891" s="3"/>
      <c r="Q891" s="3"/>
      <c r="R891" s="3"/>
      <c r="S891" s="3"/>
      <c r="T891" s="3"/>
      <c r="U891" s="3"/>
    </row>
    <row r="892" spans="2:21" x14ac:dyDescent="0.25">
      <c r="B892" s="2"/>
      <c r="C892" s="2"/>
      <c r="D892" s="4"/>
      <c r="E892" s="4"/>
      <c r="F892" s="4"/>
      <c r="Q892" s="3"/>
      <c r="R892" s="3"/>
      <c r="S892" s="3"/>
      <c r="T892" s="3"/>
      <c r="U892" s="3"/>
    </row>
    <row r="893" spans="2:21" x14ac:dyDescent="0.25">
      <c r="B893" s="2"/>
      <c r="C893" s="2"/>
      <c r="D893" s="4"/>
      <c r="E893" s="4"/>
      <c r="F893" s="4"/>
      <c r="Q893" s="3"/>
      <c r="R893" s="3"/>
      <c r="S893" s="3"/>
      <c r="T893" s="3"/>
      <c r="U893" s="3"/>
    </row>
    <row r="894" spans="2:21" x14ac:dyDescent="0.25">
      <c r="B894" s="2"/>
      <c r="C894" s="2"/>
      <c r="D894" s="4"/>
      <c r="E894" s="4"/>
      <c r="F894" s="4"/>
      <c r="Q894" s="3"/>
      <c r="R894" s="3"/>
      <c r="S894" s="3"/>
      <c r="T894" s="3"/>
      <c r="U894" s="3"/>
    </row>
    <row r="895" spans="2:21" x14ac:dyDescent="0.25">
      <c r="B895" s="2"/>
      <c r="C895" s="2"/>
      <c r="D895" s="4"/>
      <c r="E895" s="4"/>
      <c r="F895" s="4"/>
      <c r="Q895" s="3"/>
      <c r="R895" s="3"/>
      <c r="S895" s="3"/>
      <c r="T895" s="3"/>
      <c r="U895" s="3"/>
    </row>
    <row r="896" spans="2:21" x14ac:dyDescent="0.25">
      <c r="B896" s="2"/>
      <c r="C896" s="2"/>
      <c r="D896" s="4"/>
      <c r="E896" s="4"/>
      <c r="F896" s="4"/>
      <c r="Q896" s="3"/>
      <c r="R896" s="3"/>
      <c r="S896" s="3"/>
      <c r="T896" s="3"/>
      <c r="U896" s="3"/>
    </row>
    <row r="897" spans="2:21" x14ac:dyDescent="0.25">
      <c r="B897" s="2"/>
      <c r="C897" s="2"/>
      <c r="D897" s="4"/>
      <c r="E897" s="4"/>
      <c r="F897" s="4"/>
      <c r="Q897" s="3"/>
      <c r="R897" s="3"/>
      <c r="S897" s="3"/>
      <c r="T897" s="3"/>
      <c r="U897" s="3"/>
    </row>
    <row r="898" spans="2:21" x14ac:dyDescent="0.25">
      <c r="B898" s="2"/>
      <c r="C898" s="2"/>
      <c r="D898" s="4"/>
      <c r="E898" s="4"/>
      <c r="F898" s="4"/>
      <c r="Q898" s="3"/>
      <c r="R898" s="3"/>
      <c r="S898" s="3"/>
      <c r="T898" s="3"/>
      <c r="U898" s="3"/>
    </row>
    <row r="899" spans="2:21" x14ac:dyDescent="0.25">
      <c r="B899" s="2"/>
      <c r="C899" s="2"/>
      <c r="D899" s="4"/>
      <c r="E899" s="4"/>
      <c r="F899" s="4"/>
      <c r="Q899" s="3"/>
      <c r="R899" s="3"/>
      <c r="S899" s="3"/>
      <c r="T899" s="3"/>
      <c r="U899" s="3"/>
    </row>
    <row r="900" spans="2:21" x14ac:dyDescent="0.25">
      <c r="B900" s="2"/>
      <c r="C900" s="2"/>
      <c r="D900" s="4"/>
      <c r="E900" s="4"/>
      <c r="F900" s="4"/>
      <c r="Q900" s="3"/>
      <c r="R900" s="3"/>
      <c r="S900" s="3"/>
      <c r="T900" s="3"/>
      <c r="U900" s="3"/>
    </row>
    <row r="901" spans="2:21" x14ac:dyDescent="0.25">
      <c r="B901" s="2"/>
      <c r="C901" s="2"/>
      <c r="D901" s="4"/>
      <c r="E901" s="4"/>
      <c r="F901" s="4"/>
      <c r="Q901" s="3"/>
      <c r="R901" s="3"/>
      <c r="S901" s="3"/>
      <c r="T901" s="3"/>
      <c r="U901" s="3"/>
    </row>
    <row r="902" spans="2:21" x14ac:dyDescent="0.25">
      <c r="B902" s="2"/>
      <c r="C902" s="2"/>
      <c r="D902" s="4"/>
      <c r="E902" s="4"/>
      <c r="F902" s="4"/>
      <c r="Q902" s="3"/>
      <c r="R902" s="3"/>
      <c r="S902" s="3"/>
      <c r="T902" s="3"/>
      <c r="U902" s="3"/>
    </row>
    <row r="903" spans="2:21" x14ac:dyDescent="0.25">
      <c r="B903" s="2"/>
      <c r="C903" s="2"/>
      <c r="D903" s="4"/>
      <c r="E903" s="4"/>
      <c r="F903" s="4"/>
      <c r="Q903" s="3"/>
      <c r="R903" s="3"/>
      <c r="S903" s="3"/>
      <c r="T903" s="3"/>
      <c r="U903" s="3"/>
    </row>
    <row r="904" spans="2:21" x14ac:dyDescent="0.25">
      <c r="B904" s="2"/>
      <c r="C904" s="2"/>
      <c r="D904" s="4"/>
      <c r="E904" s="4"/>
      <c r="F904" s="4"/>
      <c r="Q904" s="3"/>
      <c r="R904" s="3"/>
      <c r="S904" s="3"/>
      <c r="T904" s="3"/>
      <c r="U904" s="3"/>
    </row>
    <row r="905" spans="2:21" x14ac:dyDescent="0.25">
      <c r="B905" s="2"/>
      <c r="C905" s="2"/>
      <c r="D905" s="4"/>
      <c r="E905" s="4"/>
      <c r="F905" s="4"/>
      <c r="Q905" s="3"/>
      <c r="R905" s="3"/>
      <c r="S905" s="3"/>
      <c r="T905" s="3"/>
      <c r="U905" s="3"/>
    </row>
    <row r="906" spans="2:21" x14ac:dyDescent="0.25">
      <c r="B906" s="2"/>
      <c r="C906" s="2"/>
      <c r="D906" s="4"/>
      <c r="E906" s="4"/>
      <c r="F906" s="4"/>
      <c r="Q906" s="3"/>
      <c r="R906" s="3"/>
      <c r="S906" s="3"/>
      <c r="T906" s="3"/>
      <c r="U906" s="3"/>
    </row>
    <row r="907" spans="2:21" x14ac:dyDescent="0.25">
      <c r="B907" s="2"/>
      <c r="C907" s="2"/>
      <c r="D907" s="4"/>
      <c r="E907" s="4"/>
      <c r="F907" s="4"/>
      <c r="Q907" s="3"/>
      <c r="R907" s="3"/>
      <c r="S907" s="3"/>
      <c r="T907" s="3"/>
      <c r="U907" s="3"/>
    </row>
    <row r="908" spans="2:21" x14ac:dyDescent="0.25">
      <c r="B908" s="2"/>
      <c r="C908" s="2"/>
      <c r="D908" s="4"/>
      <c r="E908" s="4"/>
      <c r="F908" s="4"/>
      <c r="Q908" s="3"/>
      <c r="R908" s="3"/>
      <c r="S908" s="3"/>
      <c r="T908" s="3"/>
      <c r="U908" s="3"/>
    </row>
    <row r="909" spans="2:21" x14ac:dyDescent="0.25">
      <c r="B909" s="2"/>
      <c r="C909" s="2"/>
      <c r="D909" s="4"/>
      <c r="E909" s="4"/>
      <c r="F909" s="4"/>
      <c r="Q909" s="3"/>
      <c r="R909" s="3"/>
      <c r="S909" s="3"/>
      <c r="T909" s="3"/>
      <c r="U909" s="3"/>
    </row>
    <row r="910" spans="2:21" x14ac:dyDescent="0.25">
      <c r="B910" s="2"/>
      <c r="C910" s="2"/>
      <c r="D910" s="4"/>
      <c r="E910" s="4"/>
      <c r="F910" s="4"/>
      <c r="Q910" s="3"/>
      <c r="R910" s="3"/>
      <c r="S910" s="3"/>
      <c r="T910" s="3"/>
      <c r="U910" s="3"/>
    </row>
    <row r="911" spans="2:21" x14ac:dyDescent="0.25">
      <c r="B911" s="2"/>
      <c r="C911" s="2"/>
      <c r="D911" s="4"/>
      <c r="E911" s="4"/>
      <c r="F911" s="4"/>
      <c r="Q911" s="3"/>
      <c r="R911" s="3"/>
      <c r="S911" s="3"/>
      <c r="T911" s="3"/>
      <c r="U911" s="3"/>
    </row>
    <row r="912" spans="2:21" x14ac:dyDescent="0.25">
      <c r="B912" s="2"/>
      <c r="C912" s="2"/>
      <c r="D912" s="4"/>
      <c r="E912" s="4"/>
      <c r="F912" s="4"/>
      <c r="Q912" s="3"/>
      <c r="R912" s="3"/>
      <c r="S912" s="3"/>
      <c r="T912" s="3"/>
      <c r="U912" s="3"/>
    </row>
    <row r="913" spans="2:21" x14ac:dyDescent="0.25">
      <c r="B913" s="2"/>
      <c r="C913" s="2"/>
      <c r="D913" s="4"/>
      <c r="E913" s="4"/>
      <c r="F913" s="4"/>
      <c r="Q913" s="3"/>
      <c r="R913" s="3"/>
      <c r="S913" s="3"/>
      <c r="T913" s="3"/>
      <c r="U913" s="3"/>
    </row>
    <row r="914" spans="2:21" x14ac:dyDescent="0.25">
      <c r="B914" s="2"/>
      <c r="C914" s="2"/>
      <c r="D914" s="4"/>
      <c r="E914" s="4"/>
      <c r="F914" s="4"/>
      <c r="Q914" s="3"/>
      <c r="R914" s="3"/>
      <c r="S914" s="3"/>
      <c r="T914" s="3"/>
      <c r="U914" s="3"/>
    </row>
    <row r="915" spans="2:21" x14ac:dyDescent="0.25">
      <c r="B915" s="2"/>
      <c r="C915" s="2"/>
      <c r="D915" s="4"/>
      <c r="E915" s="4"/>
      <c r="F915" s="4"/>
      <c r="Q915" s="3"/>
      <c r="R915" s="3"/>
      <c r="S915" s="3"/>
      <c r="T915" s="3"/>
      <c r="U915" s="3"/>
    </row>
    <row r="916" spans="2:21" x14ac:dyDescent="0.25">
      <c r="B916" s="2"/>
      <c r="C916" s="2"/>
      <c r="D916" s="4"/>
      <c r="E916" s="4"/>
      <c r="F916" s="4"/>
      <c r="Q916" s="3"/>
      <c r="R916" s="3"/>
      <c r="S916" s="3"/>
      <c r="T916" s="3"/>
      <c r="U916" s="3"/>
    </row>
    <row r="917" spans="2:21" x14ac:dyDescent="0.25">
      <c r="B917" s="2"/>
      <c r="C917" s="2"/>
      <c r="D917" s="4"/>
      <c r="E917" s="4"/>
      <c r="F917" s="4"/>
      <c r="Q917" s="3"/>
      <c r="R917" s="3"/>
      <c r="S917" s="3"/>
      <c r="T917" s="3"/>
      <c r="U917" s="3"/>
    </row>
    <row r="918" spans="2:21" x14ac:dyDescent="0.25">
      <c r="B918" s="2"/>
      <c r="C918" s="2"/>
      <c r="D918" s="4"/>
      <c r="E918" s="4"/>
      <c r="F918" s="4"/>
      <c r="Q918" s="3"/>
      <c r="R918" s="3"/>
      <c r="S918" s="3"/>
      <c r="T918" s="3"/>
      <c r="U918" s="3"/>
    </row>
    <row r="919" spans="2:21" x14ac:dyDescent="0.25">
      <c r="B919" s="2"/>
      <c r="C919" s="2"/>
      <c r="D919" s="4"/>
      <c r="E919" s="4"/>
      <c r="F919" s="4"/>
      <c r="Q919" s="3"/>
      <c r="R919" s="3"/>
      <c r="S919" s="3"/>
      <c r="T919" s="3"/>
      <c r="U919" s="3"/>
    </row>
    <row r="920" spans="2:21" x14ac:dyDescent="0.25">
      <c r="B920" s="2"/>
      <c r="C920" s="2"/>
      <c r="D920" s="4"/>
      <c r="E920" s="4"/>
      <c r="F920" s="4"/>
      <c r="Q920" s="3"/>
      <c r="R920" s="3"/>
      <c r="S920" s="3"/>
      <c r="T920" s="3"/>
      <c r="U920" s="3"/>
    </row>
    <row r="921" spans="2:21" x14ac:dyDescent="0.25">
      <c r="B921" s="2"/>
      <c r="C921" s="2"/>
      <c r="D921" s="4"/>
      <c r="E921" s="4"/>
      <c r="F921" s="4"/>
      <c r="Q921" s="3"/>
      <c r="R921" s="3"/>
      <c r="S921" s="3"/>
      <c r="T921" s="3"/>
      <c r="U921" s="3"/>
    </row>
    <row r="922" spans="2:21" x14ac:dyDescent="0.25">
      <c r="B922" s="2"/>
      <c r="C922" s="2"/>
      <c r="D922" s="4"/>
      <c r="E922" s="4"/>
      <c r="F922" s="4"/>
      <c r="Q922" s="3"/>
      <c r="R922" s="3"/>
      <c r="S922" s="3"/>
      <c r="T922" s="3"/>
      <c r="U922" s="3"/>
    </row>
    <row r="923" spans="2:21" x14ac:dyDescent="0.25">
      <c r="B923" s="2"/>
      <c r="C923" s="2"/>
      <c r="D923" s="4"/>
      <c r="E923" s="4"/>
      <c r="F923" s="4"/>
      <c r="Q923" s="3"/>
      <c r="R923" s="3"/>
      <c r="S923" s="3"/>
      <c r="T923" s="3"/>
      <c r="U923" s="3"/>
    </row>
    <row r="924" spans="2:21" x14ac:dyDescent="0.25">
      <c r="B924" s="2"/>
      <c r="C924" s="2"/>
      <c r="D924" s="4"/>
      <c r="E924" s="4"/>
      <c r="F924" s="4"/>
      <c r="Q924" s="3"/>
      <c r="R924" s="3"/>
      <c r="S924" s="3"/>
      <c r="T924" s="3"/>
      <c r="U924" s="3"/>
    </row>
    <row r="925" spans="2:21" x14ac:dyDescent="0.25">
      <c r="B925" s="2"/>
      <c r="C925" s="2"/>
      <c r="D925" s="4"/>
      <c r="E925" s="4"/>
      <c r="F925" s="4"/>
      <c r="Q925" s="3"/>
      <c r="R925" s="3"/>
      <c r="S925" s="3"/>
      <c r="T925" s="3"/>
      <c r="U925" s="3"/>
    </row>
    <row r="926" spans="2:21" x14ac:dyDescent="0.25">
      <c r="B926" s="2"/>
      <c r="C926" s="2"/>
      <c r="D926" s="4"/>
      <c r="E926" s="4"/>
      <c r="F926" s="4"/>
      <c r="Q926" s="3"/>
      <c r="R926" s="3"/>
      <c r="S926" s="3"/>
      <c r="T926" s="3"/>
      <c r="U926" s="3"/>
    </row>
    <row r="927" spans="2:21" x14ac:dyDescent="0.25">
      <c r="B927" s="2"/>
      <c r="C927" s="2"/>
      <c r="D927" s="4"/>
      <c r="E927" s="4"/>
      <c r="F927" s="4"/>
      <c r="Q927" s="3"/>
      <c r="R927" s="3"/>
      <c r="S927" s="3"/>
      <c r="T927" s="3"/>
      <c r="U927" s="3"/>
    </row>
    <row r="928" spans="2:21" x14ac:dyDescent="0.25">
      <c r="B928" s="2"/>
      <c r="C928" s="2"/>
      <c r="D928" s="4"/>
      <c r="E928" s="4"/>
      <c r="F928" s="4"/>
      <c r="Q928" s="3"/>
      <c r="R928" s="3"/>
      <c r="S928" s="3"/>
      <c r="T928" s="3"/>
      <c r="U928" s="3"/>
    </row>
    <row r="929" spans="2:21" x14ac:dyDescent="0.25">
      <c r="B929" s="2"/>
      <c r="C929" s="2"/>
      <c r="D929" s="4"/>
      <c r="E929" s="4"/>
      <c r="F929" s="4"/>
      <c r="Q929" s="3"/>
      <c r="R929" s="3"/>
      <c r="S929" s="3"/>
      <c r="T929" s="3"/>
      <c r="U929" s="3"/>
    </row>
    <row r="930" spans="2:21" x14ac:dyDescent="0.25">
      <c r="B930" s="2"/>
      <c r="C930" s="2"/>
      <c r="D930" s="4"/>
      <c r="E930" s="4"/>
      <c r="F930" s="4"/>
      <c r="Q930" s="3"/>
      <c r="R930" s="3"/>
      <c r="S930" s="3"/>
      <c r="T930" s="3"/>
      <c r="U930" s="3"/>
    </row>
    <row r="931" spans="2:21" x14ac:dyDescent="0.25">
      <c r="B931" s="2"/>
      <c r="C931" s="2"/>
      <c r="D931" s="4"/>
      <c r="E931" s="4"/>
      <c r="F931" s="4"/>
      <c r="Q931" s="3"/>
      <c r="R931" s="3"/>
      <c r="S931" s="3"/>
      <c r="T931" s="3"/>
      <c r="U931" s="3"/>
    </row>
    <row r="932" spans="2:21" x14ac:dyDescent="0.25">
      <c r="B932" s="2"/>
      <c r="C932" s="2"/>
      <c r="D932" s="4"/>
      <c r="E932" s="4"/>
      <c r="F932" s="4"/>
      <c r="Q932" s="3"/>
      <c r="R932" s="3"/>
      <c r="S932" s="3"/>
      <c r="T932" s="3"/>
      <c r="U932" s="3"/>
    </row>
    <row r="933" spans="2:21" x14ac:dyDescent="0.25">
      <c r="B933" s="2"/>
      <c r="C933" s="2"/>
      <c r="D933" s="4"/>
      <c r="E933" s="4"/>
      <c r="F933" s="4"/>
      <c r="Q933" s="3"/>
      <c r="R933" s="3"/>
      <c r="S933" s="3"/>
      <c r="T933" s="3"/>
      <c r="U933" s="3"/>
    </row>
    <row r="934" spans="2:21" x14ac:dyDescent="0.25">
      <c r="B934" s="2"/>
      <c r="C934" s="2"/>
      <c r="D934" s="4"/>
      <c r="E934" s="4"/>
      <c r="F934" s="4"/>
      <c r="Q934" s="3"/>
      <c r="R934" s="3"/>
      <c r="S934" s="3"/>
      <c r="T934" s="3"/>
      <c r="U934" s="3"/>
    </row>
    <row r="935" spans="2:21" x14ac:dyDescent="0.25">
      <c r="B935" s="2"/>
      <c r="C935" s="2"/>
      <c r="D935" s="4"/>
      <c r="E935" s="4"/>
      <c r="F935" s="4"/>
      <c r="Q935" s="3"/>
      <c r="R935" s="3"/>
      <c r="S935" s="3"/>
      <c r="T935" s="3"/>
      <c r="U935" s="3"/>
    </row>
    <row r="936" spans="2:21" x14ac:dyDescent="0.25">
      <c r="B936" s="2"/>
      <c r="C936" s="2"/>
      <c r="D936" s="4"/>
      <c r="E936" s="4"/>
      <c r="F936" s="4"/>
      <c r="Q936" s="3"/>
      <c r="R936" s="3"/>
      <c r="S936" s="3"/>
      <c r="T936" s="3"/>
      <c r="U936" s="3"/>
    </row>
    <row r="937" spans="2:21" x14ac:dyDescent="0.25">
      <c r="B937" s="2"/>
      <c r="C937" s="2"/>
      <c r="D937" s="4"/>
      <c r="E937" s="4"/>
      <c r="F937" s="4"/>
      <c r="Q937" s="3"/>
      <c r="R937" s="3"/>
      <c r="S937" s="3"/>
      <c r="T937" s="3"/>
      <c r="U937" s="3"/>
    </row>
    <row r="938" spans="2:21" x14ac:dyDescent="0.25">
      <c r="B938" s="2"/>
      <c r="C938" s="2"/>
      <c r="D938" s="4"/>
      <c r="E938" s="4"/>
      <c r="F938" s="4"/>
      <c r="Q938" s="3"/>
      <c r="R938" s="3"/>
      <c r="S938" s="3"/>
      <c r="T938" s="3"/>
      <c r="U938" s="3"/>
    </row>
    <row r="939" spans="2:21" x14ac:dyDescent="0.25">
      <c r="B939" s="2"/>
      <c r="C939" s="2"/>
      <c r="D939" s="4"/>
      <c r="E939" s="4"/>
      <c r="F939" s="4"/>
      <c r="Q939" s="3"/>
      <c r="R939" s="3"/>
      <c r="S939" s="3"/>
      <c r="T939" s="3"/>
      <c r="U939" s="3"/>
    </row>
    <row r="940" spans="2:21" x14ac:dyDescent="0.25">
      <c r="B940" s="2"/>
      <c r="C940" s="2"/>
      <c r="D940" s="4"/>
      <c r="E940" s="4"/>
      <c r="F940" s="4"/>
      <c r="Q940" s="3"/>
      <c r="R940" s="3"/>
      <c r="S940" s="3"/>
      <c r="T940" s="3"/>
      <c r="U940" s="3"/>
    </row>
    <row r="941" spans="2:21" x14ac:dyDescent="0.25">
      <c r="B941" s="2"/>
      <c r="C941" s="2"/>
      <c r="D941" s="4"/>
      <c r="E941" s="4"/>
      <c r="F941" s="4"/>
      <c r="Q941" s="3"/>
      <c r="R941" s="3"/>
      <c r="S941" s="3"/>
      <c r="T941" s="3"/>
      <c r="U941" s="3"/>
    </row>
    <row r="942" spans="2:21" x14ac:dyDescent="0.25">
      <c r="B942" s="2"/>
      <c r="C942" s="2"/>
      <c r="D942" s="4"/>
      <c r="E942" s="4"/>
      <c r="F942" s="4"/>
      <c r="Q942" s="3"/>
      <c r="R942" s="3"/>
      <c r="S942" s="3"/>
      <c r="T942" s="3"/>
      <c r="U942" s="3"/>
    </row>
    <row r="943" spans="2:21" x14ac:dyDescent="0.25">
      <c r="B943" s="2"/>
      <c r="C943" s="2"/>
      <c r="D943" s="4"/>
      <c r="E943" s="4"/>
      <c r="F943" s="4"/>
      <c r="Q943" s="3"/>
      <c r="R943" s="3"/>
      <c r="S943" s="3"/>
      <c r="T943" s="3"/>
      <c r="U943" s="3"/>
    </row>
    <row r="944" spans="2:21" x14ac:dyDescent="0.25">
      <c r="B944" s="2"/>
      <c r="C944" s="2"/>
      <c r="D944" s="4"/>
      <c r="E944" s="4"/>
      <c r="F944" s="4"/>
      <c r="Q944" s="3"/>
      <c r="R944" s="3"/>
      <c r="S944" s="3"/>
      <c r="T944" s="3"/>
      <c r="U944" s="3"/>
    </row>
    <row r="945" spans="2:21" x14ac:dyDescent="0.25">
      <c r="B945" s="2"/>
      <c r="C945" s="2"/>
      <c r="D945" s="4"/>
      <c r="E945" s="4"/>
      <c r="F945" s="4"/>
      <c r="Q945" s="3"/>
      <c r="R945" s="3"/>
      <c r="S945" s="3"/>
      <c r="T945" s="3"/>
      <c r="U945" s="3"/>
    </row>
    <row r="946" spans="2:21" x14ac:dyDescent="0.25">
      <c r="B946" s="2"/>
      <c r="C946" s="2"/>
      <c r="D946" s="4"/>
      <c r="E946" s="4"/>
      <c r="F946" s="4"/>
      <c r="Q946" s="3"/>
      <c r="R946" s="3"/>
      <c r="S946" s="3"/>
      <c r="T946" s="3"/>
      <c r="U946" s="3"/>
    </row>
    <row r="947" spans="2:21" x14ac:dyDescent="0.25">
      <c r="B947" s="2"/>
      <c r="C947" s="2"/>
      <c r="D947" s="4"/>
      <c r="E947" s="4"/>
      <c r="F947" s="4"/>
      <c r="Q947" s="3"/>
      <c r="R947" s="3"/>
      <c r="S947" s="3"/>
      <c r="T947" s="3"/>
      <c r="U947" s="3"/>
    </row>
    <row r="948" spans="2:21" x14ac:dyDescent="0.25">
      <c r="B948" s="2"/>
      <c r="C948" s="2"/>
      <c r="D948" s="4"/>
      <c r="E948" s="4"/>
      <c r="F948" s="4"/>
      <c r="Q948" s="3"/>
      <c r="R948" s="3"/>
      <c r="S948" s="3"/>
      <c r="T948" s="3"/>
      <c r="U948" s="3"/>
    </row>
    <row r="949" spans="2:21" x14ac:dyDescent="0.25">
      <c r="B949" s="2"/>
      <c r="C949" s="2"/>
      <c r="D949" s="4"/>
      <c r="E949" s="4"/>
      <c r="F949" s="4"/>
      <c r="Q949" s="3"/>
      <c r="R949" s="3"/>
      <c r="S949" s="3"/>
      <c r="T949" s="3"/>
      <c r="U949" s="3"/>
    </row>
    <row r="950" spans="2:21" x14ac:dyDescent="0.25">
      <c r="B950" s="2"/>
      <c r="C950" s="2"/>
      <c r="D950" s="4"/>
      <c r="E950" s="4"/>
      <c r="F950" s="4"/>
      <c r="Q950" s="3"/>
      <c r="R950" s="3"/>
      <c r="S950" s="3"/>
      <c r="T950" s="3"/>
      <c r="U950" s="3"/>
    </row>
    <row r="951" spans="2:21" x14ac:dyDescent="0.25">
      <c r="B951" s="2"/>
      <c r="C951" s="2"/>
      <c r="D951" s="4"/>
      <c r="E951" s="4"/>
      <c r="F951" s="4"/>
      <c r="Q951" s="3"/>
      <c r="R951" s="3"/>
      <c r="S951" s="3"/>
      <c r="T951" s="3"/>
      <c r="U951" s="3"/>
    </row>
    <row r="952" spans="2:21" x14ac:dyDescent="0.25">
      <c r="B952" s="2"/>
      <c r="C952" s="2"/>
      <c r="D952" s="4"/>
      <c r="E952" s="4"/>
      <c r="F952" s="4"/>
      <c r="Q952" s="3"/>
      <c r="R952" s="3"/>
      <c r="S952" s="3"/>
      <c r="T952" s="3"/>
      <c r="U952" s="3"/>
    </row>
    <row r="953" spans="2:21" x14ac:dyDescent="0.25">
      <c r="B953" s="2"/>
      <c r="C953" s="2"/>
      <c r="D953" s="4"/>
      <c r="E953" s="4"/>
      <c r="F953" s="4"/>
      <c r="Q953" s="3"/>
      <c r="R953" s="3"/>
      <c r="S953" s="3"/>
      <c r="T953" s="3"/>
      <c r="U953" s="3"/>
    </row>
    <row r="954" spans="2:21" x14ac:dyDescent="0.25">
      <c r="B954" s="2"/>
      <c r="C954" s="2"/>
      <c r="D954" s="4"/>
      <c r="E954" s="4"/>
      <c r="F954" s="4"/>
      <c r="Q954" s="3"/>
      <c r="R954" s="3"/>
      <c r="S954" s="3"/>
      <c r="T954" s="3"/>
      <c r="U954" s="3"/>
    </row>
    <row r="955" spans="2:21" x14ac:dyDescent="0.25">
      <c r="B955" s="2"/>
      <c r="C955" s="2"/>
      <c r="D955" s="4"/>
      <c r="E955" s="4"/>
      <c r="F955" s="4"/>
      <c r="Q955" s="3"/>
      <c r="R955" s="3"/>
      <c r="S955" s="3"/>
      <c r="T955" s="3"/>
      <c r="U955" s="3"/>
    </row>
    <row r="956" spans="2:21" x14ac:dyDescent="0.25">
      <c r="B956" s="2"/>
      <c r="C956" s="2"/>
      <c r="D956" s="4"/>
      <c r="E956" s="4"/>
      <c r="F956" s="4"/>
      <c r="Q956" s="3"/>
      <c r="R956" s="3"/>
      <c r="S956" s="3"/>
      <c r="T956" s="3"/>
      <c r="U956" s="3"/>
    </row>
    <row r="957" spans="2:21" x14ac:dyDescent="0.25">
      <c r="B957" s="2"/>
      <c r="C957" s="2"/>
      <c r="D957" s="4"/>
      <c r="E957" s="4"/>
      <c r="F957" s="4"/>
      <c r="Q957" s="3"/>
      <c r="R957" s="3"/>
      <c r="S957" s="3"/>
      <c r="T957" s="3"/>
      <c r="U957" s="3"/>
    </row>
    <row r="958" spans="2:21" x14ac:dyDescent="0.25">
      <c r="B958" s="2"/>
      <c r="C958" s="2"/>
      <c r="D958" s="4"/>
      <c r="E958" s="4"/>
      <c r="F958" s="4"/>
      <c r="Q958" s="3"/>
      <c r="R958" s="3"/>
      <c r="S958" s="3"/>
      <c r="T958" s="3"/>
      <c r="U958" s="3"/>
    </row>
    <row r="959" spans="2:21" x14ac:dyDescent="0.25">
      <c r="B959" s="2"/>
      <c r="C959" s="2"/>
      <c r="D959" s="4"/>
      <c r="E959" s="4"/>
      <c r="F959" s="4"/>
      <c r="Q959" s="3"/>
      <c r="R959" s="3"/>
      <c r="S959" s="3"/>
      <c r="T959" s="3"/>
      <c r="U959" s="3"/>
    </row>
    <row r="960" spans="2:21" x14ac:dyDescent="0.25">
      <c r="B960" s="2"/>
      <c r="C960" s="2"/>
      <c r="D960" s="4"/>
      <c r="E960" s="4"/>
      <c r="F960" s="4"/>
      <c r="Q960" s="3"/>
      <c r="R960" s="3"/>
      <c r="S960" s="3"/>
      <c r="T960" s="3"/>
      <c r="U960" s="3"/>
    </row>
    <row r="961" spans="2:21" x14ac:dyDescent="0.25">
      <c r="B961" s="2"/>
      <c r="C961" s="2"/>
      <c r="D961" s="4"/>
      <c r="E961" s="4"/>
      <c r="F961" s="4"/>
      <c r="Q961" s="3"/>
      <c r="R961" s="3"/>
      <c r="S961" s="3"/>
      <c r="T961" s="3"/>
      <c r="U961" s="3"/>
    </row>
    <row r="962" spans="2:21" x14ac:dyDescent="0.25">
      <c r="B962" s="2"/>
      <c r="C962" s="2"/>
      <c r="D962" s="4"/>
      <c r="E962" s="4"/>
      <c r="F962" s="4"/>
      <c r="Q962" s="3"/>
      <c r="R962" s="3"/>
      <c r="S962" s="3"/>
      <c r="T962" s="3"/>
      <c r="U962" s="3"/>
    </row>
    <row r="963" spans="2:21" x14ac:dyDescent="0.25">
      <c r="B963" s="2"/>
      <c r="C963" s="2"/>
      <c r="D963" s="4"/>
      <c r="E963" s="4"/>
      <c r="F963" s="4"/>
      <c r="Q963" s="3"/>
      <c r="R963" s="3"/>
      <c r="S963" s="3"/>
      <c r="T963" s="3"/>
      <c r="U963" s="3"/>
    </row>
    <row r="964" spans="2:21" x14ac:dyDescent="0.25">
      <c r="B964" s="2"/>
      <c r="C964" s="2"/>
      <c r="D964" s="4"/>
      <c r="E964" s="4"/>
      <c r="F964" s="4"/>
      <c r="Q964" s="3"/>
      <c r="R964" s="3"/>
      <c r="S964" s="3"/>
      <c r="T964" s="3"/>
      <c r="U964" s="3"/>
    </row>
    <row r="965" spans="2:21" x14ac:dyDescent="0.25">
      <c r="B965" s="2"/>
      <c r="C965" s="2"/>
      <c r="D965" s="4"/>
      <c r="E965" s="4"/>
      <c r="F965" s="4"/>
      <c r="Q965" s="3"/>
      <c r="R965" s="3"/>
      <c r="S965" s="3"/>
      <c r="T965" s="3"/>
      <c r="U965" s="3"/>
    </row>
    <row r="966" spans="2:21" x14ac:dyDescent="0.25">
      <c r="B966" s="2"/>
      <c r="C966" s="2"/>
      <c r="D966" s="4"/>
      <c r="E966" s="4"/>
      <c r="F966" s="4"/>
      <c r="Q966" s="3"/>
      <c r="R966" s="3"/>
      <c r="S966" s="3"/>
      <c r="T966" s="3"/>
      <c r="U966" s="3"/>
    </row>
    <row r="967" spans="2:21" x14ac:dyDescent="0.25">
      <c r="B967" s="2"/>
      <c r="C967" s="2"/>
      <c r="D967" s="4"/>
      <c r="E967" s="4"/>
      <c r="F967" s="4"/>
      <c r="Q967" s="3"/>
      <c r="R967" s="3"/>
      <c r="S967" s="3"/>
      <c r="T967" s="3"/>
      <c r="U967" s="3"/>
    </row>
    <row r="968" spans="2:21" x14ac:dyDescent="0.25">
      <c r="B968" s="2"/>
      <c r="C968" s="2"/>
      <c r="D968" s="4"/>
      <c r="E968" s="4"/>
      <c r="F968" s="4"/>
      <c r="Q968" s="3"/>
      <c r="R968" s="3"/>
      <c r="S968" s="3"/>
      <c r="T968" s="3"/>
      <c r="U968" s="3"/>
    </row>
    <row r="969" spans="2:21" x14ac:dyDescent="0.25">
      <c r="B969" s="2"/>
      <c r="C969" s="2"/>
      <c r="D969" s="4"/>
      <c r="E969" s="4"/>
      <c r="F969" s="4"/>
      <c r="Q969" s="3"/>
      <c r="R969" s="3"/>
      <c r="S969" s="3"/>
      <c r="T969" s="3"/>
      <c r="U969" s="3"/>
    </row>
    <row r="970" spans="2:21" x14ac:dyDescent="0.25">
      <c r="B970" s="2"/>
      <c r="C970" s="2"/>
      <c r="D970" s="4"/>
      <c r="E970" s="4"/>
      <c r="F970" s="4"/>
      <c r="Q970" s="3"/>
      <c r="R970" s="3"/>
      <c r="S970" s="3"/>
      <c r="T970" s="3"/>
      <c r="U970" s="3"/>
    </row>
    <row r="971" spans="2:21" x14ac:dyDescent="0.25">
      <c r="B971" s="2"/>
      <c r="C971" s="2"/>
      <c r="D971" s="4"/>
      <c r="E971" s="4"/>
      <c r="F971" s="4"/>
      <c r="Q971" s="3"/>
      <c r="R971" s="3"/>
      <c r="S971" s="3"/>
      <c r="T971" s="3"/>
      <c r="U971" s="3"/>
    </row>
    <row r="972" spans="2:21" x14ac:dyDescent="0.25">
      <c r="B972" s="2"/>
      <c r="C972" s="2"/>
      <c r="D972" s="4"/>
      <c r="E972" s="4"/>
      <c r="F972" s="4"/>
      <c r="Q972" s="3"/>
      <c r="R972" s="3"/>
      <c r="S972" s="3"/>
      <c r="T972" s="3"/>
      <c r="U972" s="3"/>
    </row>
    <row r="973" spans="2:21" x14ac:dyDescent="0.25">
      <c r="B973" s="2"/>
      <c r="C973" s="2"/>
      <c r="D973" s="4"/>
      <c r="E973" s="4"/>
      <c r="F973" s="4"/>
      <c r="Q973" s="3"/>
      <c r="R973" s="3"/>
      <c r="S973" s="3"/>
      <c r="T973" s="3"/>
      <c r="U973" s="3"/>
    </row>
    <row r="974" spans="2:21" x14ac:dyDescent="0.25">
      <c r="B974" s="2"/>
      <c r="C974" s="2"/>
      <c r="D974" s="4"/>
      <c r="E974" s="4"/>
      <c r="F974" s="4"/>
      <c r="Q974" s="3"/>
      <c r="R974" s="3"/>
      <c r="S974" s="3"/>
      <c r="T974" s="3"/>
      <c r="U974" s="3"/>
    </row>
    <row r="975" spans="2:21" x14ac:dyDescent="0.25">
      <c r="B975" s="2"/>
      <c r="C975" s="2"/>
      <c r="D975" s="4"/>
      <c r="E975" s="4"/>
      <c r="F975" s="4"/>
      <c r="Q975" s="3"/>
      <c r="R975" s="3"/>
      <c r="S975" s="3"/>
      <c r="T975" s="3"/>
      <c r="U975" s="3"/>
    </row>
    <row r="976" spans="2:21" x14ac:dyDescent="0.25">
      <c r="B976" s="2"/>
      <c r="C976" s="2"/>
      <c r="D976" s="4"/>
      <c r="E976" s="4"/>
      <c r="F976" s="4"/>
      <c r="Q976" s="3"/>
      <c r="R976" s="3"/>
      <c r="S976" s="3"/>
      <c r="T976" s="3"/>
      <c r="U976" s="3"/>
    </row>
    <row r="977" spans="2:21" x14ac:dyDescent="0.25">
      <c r="B977" s="2"/>
      <c r="C977" s="2"/>
      <c r="D977" s="4"/>
      <c r="E977" s="4"/>
      <c r="F977" s="4"/>
      <c r="Q977" s="3"/>
      <c r="R977" s="3"/>
      <c r="S977" s="3"/>
      <c r="T977" s="3"/>
      <c r="U977" s="3"/>
    </row>
    <row r="978" spans="2:21" x14ac:dyDescent="0.25">
      <c r="B978" s="2"/>
      <c r="C978" s="2"/>
      <c r="D978" s="4"/>
      <c r="E978" s="4"/>
      <c r="F978" s="4"/>
      <c r="Q978" s="3"/>
      <c r="R978" s="3"/>
      <c r="S978" s="3"/>
      <c r="T978" s="3"/>
      <c r="U978" s="3"/>
    </row>
    <row r="979" spans="2:21" x14ac:dyDescent="0.25">
      <c r="B979" s="2"/>
      <c r="C979" s="2"/>
      <c r="D979" s="4"/>
      <c r="E979" s="4"/>
      <c r="F979" s="4"/>
      <c r="Q979" s="3"/>
      <c r="R979" s="3"/>
      <c r="S979" s="3"/>
      <c r="T979" s="3"/>
      <c r="U979" s="3"/>
    </row>
    <row r="980" spans="2:21" x14ac:dyDescent="0.25">
      <c r="B980" s="2"/>
      <c r="C980" s="2"/>
      <c r="D980" s="4"/>
      <c r="E980" s="4"/>
      <c r="F980" s="4"/>
      <c r="Q980" s="3"/>
      <c r="R980" s="3"/>
      <c r="S980" s="3"/>
      <c r="T980" s="3"/>
      <c r="U980" s="3"/>
    </row>
    <row r="981" spans="2:21" x14ac:dyDescent="0.25">
      <c r="B981" s="2"/>
      <c r="C981" s="2"/>
      <c r="D981" s="4"/>
      <c r="E981" s="4"/>
      <c r="F981" s="4"/>
      <c r="Q981" s="3"/>
      <c r="R981" s="3"/>
      <c r="S981" s="3"/>
      <c r="T981" s="3"/>
      <c r="U981" s="3"/>
    </row>
    <row r="982" spans="2:21" x14ac:dyDescent="0.25">
      <c r="B982" s="2"/>
      <c r="C982" s="2"/>
      <c r="D982" s="4"/>
      <c r="E982" s="4"/>
      <c r="F982" s="4"/>
      <c r="Q982" s="3"/>
      <c r="R982" s="3"/>
      <c r="S982" s="3"/>
      <c r="T982" s="3"/>
      <c r="U982" s="3"/>
    </row>
    <row r="983" spans="2:21" x14ac:dyDescent="0.25">
      <c r="B983" s="2"/>
      <c r="C983" s="2"/>
      <c r="D983" s="4"/>
      <c r="E983" s="4"/>
      <c r="F983" s="4"/>
      <c r="Q983" s="3"/>
      <c r="R983" s="3"/>
      <c r="S983" s="3"/>
      <c r="T983" s="3"/>
      <c r="U983" s="3"/>
    </row>
    <row r="984" spans="2:21" x14ac:dyDescent="0.25">
      <c r="B984" s="2"/>
      <c r="C984" s="2"/>
      <c r="D984" s="4"/>
      <c r="E984" s="4"/>
      <c r="F984" s="4"/>
      <c r="Q984" s="3"/>
      <c r="R984" s="3"/>
      <c r="S984" s="3"/>
      <c r="T984" s="3"/>
      <c r="U984" s="3"/>
    </row>
    <row r="985" spans="2:21" x14ac:dyDescent="0.25">
      <c r="B985" s="2"/>
      <c r="C985" s="2"/>
      <c r="D985" s="4"/>
      <c r="E985" s="4"/>
      <c r="F985" s="4"/>
      <c r="Q985" s="3"/>
      <c r="R985" s="3"/>
      <c r="S985" s="3"/>
      <c r="T985" s="3"/>
      <c r="U985" s="3"/>
    </row>
    <row r="986" spans="2:21" x14ac:dyDescent="0.25">
      <c r="B986" s="2"/>
      <c r="C986" s="2"/>
      <c r="D986" s="4"/>
      <c r="E986" s="4"/>
      <c r="F986" s="4"/>
      <c r="Q986" s="3"/>
      <c r="R986" s="3"/>
      <c r="S986" s="3"/>
      <c r="T986" s="3"/>
      <c r="U986" s="3"/>
    </row>
    <row r="987" spans="2:21" x14ac:dyDescent="0.25">
      <c r="B987" s="2"/>
      <c r="C987" s="2"/>
      <c r="D987" s="4"/>
      <c r="E987" s="4"/>
      <c r="F987" s="4"/>
      <c r="Q987" s="3"/>
      <c r="R987" s="3"/>
      <c r="S987" s="3"/>
      <c r="T987" s="3"/>
      <c r="U987" s="3"/>
    </row>
    <row r="988" spans="2:21" x14ac:dyDescent="0.25">
      <c r="B988" s="2"/>
      <c r="C988" s="2"/>
      <c r="D988" s="4"/>
      <c r="E988" s="4"/>
      <c r="F988" s="4"/>
      <c r="Q988" s="3"/>
      <c r="R988" s="3"/>
      <c r="S988" s="3"/>
      <c r="T988" s="3"/>
      <c r="U988" s="3"/>
    </row>
    <row r="989" spans="2:21" x14ac:dyDescent="0.25">
      <c r="B989" s="2"/>
      <c r="C989" s="2"/>
      <c r="D989" s="4"/>
      <c r="E989" s="4"/>
      <c r="F989" s="4"/>
      <c r="Q989" s="3"/>
      <c r="R989" s="3"/>
      <c r="S989" s="3"/>
      <c r="T989" s="3"/>
      <c r="U989" s="3"/>
    </row>
    <row r="990" spans="2:21" x14ac:dyDescent="0.25">
      <c r="B990" s="2"/>
      <c r="C990" s="2"/>
      <c r="D990" s="4"/>
      <c r="E990" s="4"/>
      <c r="F990" s="4"/>
      <c r="Q990" s="3"/>
      <c r="R990" s="3"/>
      <c r="S990" s="3"/>
      <c r="T990" s="3"/>
      <c r="U990" s="3"/>
    </row>
    <row r="991" spans="2:21" x14ac:dyDescent="0.25">
      <c r="B991" s="2"/>
      <c r="C991" s="2"/>
      <c r="D991" s="4"/>
      <c r="E991" s="4"/>
      <c r="F991" s="4"/>
      <c r="Q991" s="3"/>
      <c r="R991" s="3"/>
      <c r="S991" s="3"/>
      <c r="T991" s="3"/>
      <c r="U991" s="3"/>
    </row>
    <row r="992" spans="2:21" x14ac:dyDescent="0.25">
      <c r="B992" s="2"/>
      <c r="C992" s="2"/>
      <c r="D992" s="4"/>
      <c r="E992" s="4"/>
      <c r="F992" s="4"/>
      <c r="Q992" s="3"/>
      <c r="R992" s="3"/>
      <c r="S992" s="3"/>
      <c r="T992" s="3"/>
      <c r="U992" s="3"/>
    </row>
    <row r="993" spans="2:21" x14ac:dyDescent="0.25">
      <c r="B993" s="2"/>
      <c r="C993" s="2"/>
      <c r="D993" s="4"/>
      <c r="E993" s="4"/>
      <c r="F993" s="4"/>
      <c r="Q993" s="3"/>
      <c r="R993" s="3"/>
      <c r="S993" s="3"/>
      <c r="T993" s="3"/>
      <c r="U993" s="3"/>
    </row>
    <row r="994" spans="2:21" x14ac:dyDescent="0.25">
      <c r="B994" s="2"/>
      <c r="C994" s="2"/>
      <c r="D994" s="4"/>
      <c r="E994" s="4"/>
      <c r="F994" s="4"/>
      <c r="Q994" s="3"/>
      <c r="R994" s="3"/>
      <c r="S994" s="3"/>
      <c r="T994" s="3"/>
      <c r="U994" s="3"/>
    </row>
    <row r="995" spans="2:21" x14ac:dyDescent="0.25">
      <c r="B995" s="2"/>
      <c r="C995" s="2"/>
      <c r="D995" s="4"/>
      <c r="E995" s="4"/>
      <c r="F995" s="4"/>
      <c r="Q995" s="3"/>
      <c r="R995" s="3"/>
      <c r="S995" s="3"/>
      <c r="T995" s="3"/>
      <c r="U995" s="3"/>
    </row>
    <row r="996" spans="2:21" x14ac:dyDescent="0.25">
      <c r="B996" s="2"/>
      <c r="C996" s="2"/>
      <c r="D996" s="4"/>
      <c r="E996" s="4"/>
      <c r="F996" s="4"/>
      <c r="Q996" s="3"/>
      <c r="R996" s="3"/>
      <c r="S996" s="3"/>
      <c r="T996" s="3"/>
      <c r="U996" s="3"/>
    </row>
    <row r="997" spans="2:21" x14ac:dyDescent="0.25">
      <c r="B997" s="2"/>
      <c r="C997" s="2"/>
      <c r="D997" s="4"/>
      <c r="E997" s="4"/>
      <c r="F997" s="4"/>
      <c r="Q997" s="3"/>
      <c r="R997" s="3"/>
      <c r="S997" s="3"/>
      <c r="T997" s="3"/>
      <c r="U997" s="3"/>
    </row>
    <row r="998" spans="2:21" x14ac:dyDescent="0.25">
      <c r="B998" s="2"/>
      <c r="C998" s="2"/>
      <c r="D998" s="4"/>
      <c r="E998" s="4"/>
      <c r="F998" s="4"/>
      <c r="Q998" s="3"/>
      <c r="R998" s="3"/>
      <c r="S998" s="3"/>
      <c r="T998" s="3"/>
      <c r="U998" s="3"/>
    </row>
    <row r="999" spans="2:21" x14ac:dyDescent="0.25">
      <c r="B999" s="2"/>
      <c r="C999" s="2"/>
      <c r="D999" s="4"/>
      <c r="E999" s="4"/>
      <c r="F999" s="4"/>
      <c r="Q999" s="3"/>
      <c r="R999" s="3"/>
      <c r="S999" s="3"/>
      <c r="T999" s="3"/>
      <c r="U999" s="3"/>
    </row>
    <row r="1000" spans="2:21" x14ac:dyDescent="0.25">
      <c r="B1000" s="2"/>
      <c r="C1000" s="2"/>
      <c r="D1000" s="4"/>
      <c r="E1000" s="4"/>
      <c r="F1000" s="4"/>
      <c r="Q1000" s="3"/>
      <c r="R1000" s="3"/>
      <c r="S1000" s="3"/>
      <c r="T1000" s="3"/>
      <c r="U1000" s="3"/>
    </row>
    <row r="1001" spans="2:21" x14ac:dyDescent="0.25">
      <c r="B1001" s="2"/>
      <c r="C1001" s="2"/>
      <c r="D1001" s="4"/>
      <c r="E1001" s="4"/>
      <c r="F1001" s="4"/>
      <c r="Q1001" s="3"/>
      <c r="R1001" s="3"/>
      <c r="S1001" s="3"/>
      <c r="T1001" s="3"/>
      <c r="U1001" s="3"/>
    </row>
    <row r="1002" spans="2:21" x14ac:dyDescent="0.25">
      <c r="B1002" s="2"/>
      <c r="C1002" s="2"/>
      <c r="D1002" s="4"/>
      <c r="E1002" s="4"/>
      <c r="F1002" s="4"/>
      <c r="Q1002" s="3"/>
      <c r="R1002" s="3"/>
      <c r="S1002" s="3"/>
      <c r="T1002" s="3"/>
      <c r="U1002" s="3"/>
    </row>
    <row r="1003" spans="2:21" x14ac:dyDescent="0.25">
      <c r="B1003" s="2"/>
      <c r="C1003" s="2"/>
      <c r="D1003" s="4"/>
      <c r="E1003" s="4"/>
      <c r="F1003" s="4"/>
      <c r="Q1003" s="3"/>
      <c r="R1003" s="3"/>
      <c r="S1003" s="3"/>
      <c r="T1003" s="3"/>
      <c r="U1003" s="3"/>
    </row>
    <row r="1004" spans="2:21" x14ac:dyDescent="0.25">
      <c r="B1004" s="2"/>
      <c r="C1004" s="2"/>
      <c r="D1004" s="4"/>
      <c r="E1004" s="4"/>
      <c r="F1004" s="4"/>
      <c r="Q1004" s="3"/>
      <c r="R1004" s="3"/>
      <c r="S1004" s="3"/>
      <c r="T1004" s="3"/>
      <c r="U1004" s="3"/>
    </row>
    <row r="1005" spans="2:21" x14ac:dyDescent="0.25">
      <c r="B1005" s="2"/>
      <c r="C1005" s="2"/>
      <c r="D1005" s="4"/>
      <c r="E1005" s="4"/>
      <c r="F1005" s="4"/>
      <c r="Q1005" s="3"/>
      <c r="R1005" s="3"/>
      <c r="S1005" s="3"/>
      <c r="T1005" s="3"/>
      <c r="U1005" s="3"/>
    </row>
    <row r="1006" spans="2:21" x14ac:dyDescent="0.25">
      <c r="B1006" s="2"/>
      <c r="C1006" s="2"/>
      <c r="D1006" s="4"/>
      <c r="E1006" s="4"/>
      <c r="F1006" s="4"/>
      <c r="Q1006" s="3"/>
      <c r="R1006" s="3"/>
      <c r="S1006" s="3"/>
      <c r="T1006" s="3"/>
      <c r="U1006" s="3"/>
    </row>
    <row r="1007" spans="2:21" x14ac:dyDescent="0.25">
      <c r="B1007" s="2"/>
      <c r="C1007" s="2"/>
      <c r="D1007" s="4"/>
      <c r="E1007" s="4"/>
      <c r="F1007" s="4"/>
      <c r="Q1007" s="3"/>
      <c r="R1007" s="3"/>
      <c r="S1007" s="3"/>
      <c r="T1007" s="3"/>
      <c r="U1007" s="3"/>
    </row>
    <row r="1008" spans="2:21" x14ac:dyDescent="0.25">
      <c r="B1008" s="2"/>
      <c r="C1008" s="2"/>
      <c r="D1008" s="4"/>
      <c r="E1008" s="4"/>
      <c r="F1008" s="4"/>
      <c r="Q1008" s="3"/>
      <c r="R1008" s="3"/>
      <c r="S1008" s="3"/>
      <c r="T1008" s="3"/>
      <c r="U1008" s="3"/>
    </row>
    <row r="1009" spans="2:21" x14ac:dyDescent="0.25">
      <c r="B1009" s="2"/>
      <c r="C1009" s="2"/>
      <c r="D1009" s="4"/>
      <c r="E1009" s="4"/>
      <c r="F1009" s="4"/>
      <c r="Q1009" s="3"/>
      <c r="R1009" s="3"/>
      <c r="S1009" s="3"/>
      <c r="T1009" s="3"/>
      <c r="U1009" s="3"/>
    </row>
    <row r="1010" spans="2:21" x14ac:dyDescent="0.25">
      <c r="B1010" s="2"/>
      <c r="C1010" s="2"/>
      <c r="D1010" s="4"/>
      <c r="E1010" s="4"/>
      <c r="F1010" s="4"/>
      <c r="Q1010" s="3"/>
      <c r="R1010" s="3"/>
      <c r="S1010" s="3"/>
      <c r="T1010" s="3"/>
      <c r="U1010" s="3"/>
    </row>
    <row r="1011" spans="2:21" x14ac:dyDescent="0.25">
      <c r="B1011" s="2"/>
      <c r="C1011" s="2"/>
      <c r="D1011" s="4"/>
      <c r="E1011" s="4"/>
      <c r="F1011" s="4"/>
      <c r="Q1011" s="3"/>
      <c r="R1011" s="3"/>
      <c r="S1011" s="3"/>
      <c r="T1011" s="3"/>
      <c r="U1011" s="3"/>
    </row>
    <row r="1012" spans="2:21" x14ac:dyDescent="0.25">
      <c r="B1012" s="2"/>
      <c r="C1012" s="2"/>
      <c r="D1012" s="4"/>
      <c r="E1012" s="4"/>
      <c r="F1012" s="4"/>
      <c r="Q1012" s="3"/>
      <c r="R1012" s="3"/>
      <c r="S1012" s="3"/>
      <c r="T1012" s="3"/>
      <c r="U1012" s="3"/>
    </row>
    <row r="1013" spans="2:21" x14ac:dyDescent="0.25">
      <c r="B1013" s="2"/>
      <c r="C1013" s="2"/>
      <c r="D1013" s="4"/>
      <c r="E1013" s="4"/>
      <c r="F1013" s="4"/>
      <c r="Q1013" s="3"/>
      <c r="R1013" s="3"/>
      <c r="S1013" s="3"/>
      <c r="T1013" s="3"/>
      <c r="U1013" s="3"/>
    </row>
    <row r="1014" spans="2:21" x14ac:dyDescent="0.25">
      <c r="B1014" s="2"/>
      <c r="C1014" s="2"/>
      <c r="D1014" s="4"/>
      <c r="E1014" s="4"/>
      <c r="F1014" s="4"/>
      <c r="Q1014" s="3"/>
      <c r="R1014" s="3"/>
      <c r="S1014" s="3"/>
      <c r="T1014" s="3"/>
      <c r="U1014" s="3"/>
    </row>
    <row r="1015" spans="2:21" x14ac:dyDescent="0.25">
      <c r="B1015" s="2"/>
      <c r="C1015" s="2"/>
      <c r="D1015" s="4"/>
      <c r="E1015" s="4"/>
      <c r="F1015" s="4"/>
      <c r="Q1015" s="3"/>
      <c r="R1015" s="3"/>
      <c r="S1015" s="3"/>
      <c r="T1015" s="3"/>
      <c r="U1015" s="3"/>
    </row>
    <row r="1016" spans="2:21" x14ac:dyDescent="0.25">
      <c r="B1016" s="2"/>
      <c r="C1016" s="2"/>
      <c r="D1016" s="4"/>
      <c r="E1016" s="4"/>
      <c r="F1016" s="4"/>
      <c r="Q1016" s="3"/>
      <c r="R1016" s="3"/>
      <c r="S1016" s="3"/>
      <c r="T1016" s="3"/>
      <c r="U1016" s="3"/>
    </row>
    <row r="1017" spans="2:21" x14ac:dyDescent="0.25">
      <c r="B1017" s="2"/>
      <c r="C1017" s="2"/>
      <c r="D1017" s="4"/>
      <c r="E1017" s="4"/>
      <c r="F1017" s="4"/>
      <c r="Q1017" s="3"/>
      <c r="R1017" s="3"/>
      <c r="S1017" s="3"/>
      <c r="T1017" s="3"/>
      <c r="U1017" s="3"/>
    </row>
    <row r="1018" spans="2:21" x14ac:dyDescent="0.25">
      <c r="B1018" s="2"/>
      <c r="C1018" s="2"/>
      <c r="D1018" s="4"/>
      <c r="E1018" s="4"/>
      <c r="F1018" s="4"/>
      <c r="Q1018" s="3"/>
      <c r="R1018" s="3"/>
      <c r="S1018" s="3"/>
      <c r="T1018" s="3"/>
      <c r="U1018" s="3"/>
    </row>
    <row r="1019" spans="2:21" x14ac:dyDescent="0.25">
      <c r="B1019" s="2"/>
      <c r="C1019" s="2"/>
      <c r="D1019" s="4"/>
      <c r="E1019" s="4"/>
      <c r="F1019" s="4"/>
      <c r="Q1019" s="3"/>
      <c r="R1019" s="3"/>
      <c r="S1019" s="3"/>
      <c r="T1019" s="3"/>
      <c r="U1019" s="3"/>
    </row>
    <row r="1020" spans="2:21" x14ac:dyDescent="0.25">
      <c r="B1020" s="2"/>
      <c r="C1020" s="2"/>
      <c r="D1020" s="4"/>
      <c r="E1020" s="4"/>
      <c r="F1020" s="4"/>
      <c r="Q1020" s="3"/>
      <c r="R1020" s="3"/>
      <c r="S1020" s="3"/>
      <c r="T1020" s="3"/>
      <c r="U1020" s="3"/>
    </row>
    <row r="1021" spans="2:21" x14ac:dyDescent="0.25">
      <c r="B1021" s="2"/>
      <c r="C1021" s="2"/>
      <c r="D1021" s="4"/>
      <c r="E1021" s="4"/>
      <c r="F1021" s="4"/>
      <c r="Q1021" s="3"/>
      <c r="R1021" s="3"/>
      <c r="S1021" s="3"/>
      <c r="T1021" s="3"/>
      <c r="U1021" s="3"/>
    </row>
    <row r="1022" spans="2:21" x14ac:dyDescent="0.25">
      <c r="B1022" s="2"/>
      <c r="C1022" s="2"/>
      <c r="D1022" s="4"/>
      <c r="E1022" s="4"/>
      <c r="F1022" s="4"/>
      <c r="Q1022" s="3"/>
      <c r="R1022" s="3"/>
      <c r="S1022" s="3"/>
      <c r="T1022" s="3"/>
      <c r="U1022" s="3"/>
    </row>
    <row r="1023" spans="2:21" x14ac:dyDescent="0.25">
      <c r="B1023" s="2"/>
      <c r="C1023" s="2"/>
      <c r="D1023" s="4"/>
      <c r="E1023" s="4"/>
      <c r="F1023" s="4"/>
      <c r="Q1023" s="3"/>
      <c r="R1023" s="3"/>
      <c r="S1023" s="3"/>
      <c r="T1023" s="3"/>
      <c r="U1023" s="3"/>
    </row>
    <row r="1024" spans="2:21" x14ac:dyDescent="0.25">
      <c r="B1024" s="2"/>
      <c r="C1024" s="2"/>
      <c r="D1024" s="4"/>
      <c r="E1024" s="4"/>
      <c r="F1024" s="4"/>
      <c r="Q1024" s="3"/>
      <c r="R1024" s="3"/>
      <c r="S1024" s="3"/>
      <c r="T1024" s="3"/>
      <c r="U1024" s="3"/>
    </row>
    <row r="1025" spans="2:21" x14ac:dyDescent="0.25">
      <c r="B1025" s="2"/>
      <c r="C1025" s="2"/>
      <c r="D1025" s="4"/>
      <c r="E1025" s="4"/>
      <c r="F1025" s="4"/>
      <c r="Q1025" s="3"/>
      <c r="R1025" s="3"/>
      <c r="S1025" s="3"/>
      <c r="T1025" s="3"/>
      <c r="U1025" s="3"/>
    </row>
    <row r="1026" spans="2:21" x14ac:dyDescent="0.25">
      <c r="B1026" s="2"/>
      <c r="C1026" s="2"/>
      <c r="D1026" s="4"/>
      <c r="E1026" s="4"/>
      <c r="F1026" s="4"/>
      <c r="Q1026" s="3"/>
      <c r="R1026" s="3"/>
      <c r="S1026" s="3"/>
      <c r="T1026" s="3"/>
      <c r="U1026" s="3"/>
    </row>
    <row r="1027" spans="2:21" x14ac:dyDescent="0.25">
      <c r="B1027" s="2"/>
      <c r="C1027" s="2"/>
      <c r="D1027" s="4"/>
      <c r="E1027" s="4"/>
      <c r="F1027" s="4"/>
      <c r="Q1027" s="3"/>
      <c r="R1027" s="3"/>
      <c r="S1027" s="3"/>
      <c r="T1027" s="3"/>
      <c r="U1027" s="3"/>
    </row>
    <row r="1028" spans="2:21" x14ac:dyDescent="0.25">
      <c r="B1028" s="2"/>
      <c r="C1028" s="2"/>
      <c r="D1028" s="4"/>
      <c r="E1028" s="4"/>
      <c r="F1028" s="4"/>
      <c r="Q1028" s="3"/>
      <c r="R1028" s="3"/>
      <c r="S1028" s="3"/>
      <c r="T1028" s="3"/>
      <c r="U1028" s="3"/>
    </row>
    <row r="1029" spans="2:21" x14ac:dyDescent="0.25">
      <c r="B1029" s="2"/>
      <c r="C1029" s="2"/>
      <c r="D1029" s="4"/>
      <c r="E1029" s="4"/>
      <c r="F1029" s="4"/>
      <c r="Q1029" s="3"/>
      <c r="R1029" s="3"/>
      <c r="S1029" s="3"/>
      <c r="T1029" s="3"/>
      <c r="U1029" s="3"/>
    </row>
    <row r="1030" spans="2:21" x14ac:dyDescent="0.25">
      <c r="B1030" s="2"/>
      <c r="C1030" s="2"/>
      <c r="D1030" s="4"/>
      <c r="E1030" s="4"/>
      <c r="F1030" s="4"/>
      <c r="Q1030" s="3"/>
      <c r="R1030" s="3"/>
      <c r="S1030" s="3"/>
      <c r="T1030" s="3"/>
      <c r="U1030" s="3"/>
    </row>
    <row r="1031" spans="2:21" x14ac:dyDescent="0.25">
      <c r="B1031" s="2"/>
      <c r="C1031" s="2"/>
      <c r="D1031" s="4"/>
      <c r="E1031" s="4"/>
      <c r="F1031" s="4"/>
      <c r="Q1031" s="3"/>
      <c r="R1031" s="3"/>
      <c r="S1031" s="3"/>
      <c r="T1031" s="3"/>
      <c r="U1031" s="3"/>
    </row>
    <row r="1032" spans="2:21" x14ac:dyDescent="0.25">
      <c r="B1032" s="2"/>
      <c r="C1032" s="2"/>
      <c r="D1032" s="4"/>
      <c r="E1032" s="4"/>
      <c r="F1032" s="4"/>
      <c r="Q1032" s="3"/>
      <c r="R1032" s="3"/>
      <c r="S1032" s="3"/>
      <c r="T1032" s="3"/>
      <c r="U1032" s="3"/>
    </row>
    <row r="1033" spans="2:21" x14ac:dyDescent="0.25">
      <c r="B1033" s="2"/>
      <c r="C1033" s="2"/>
      <c r="D1033" s="4"/>
      <c r="E1033" s="4"/>
      <c r="F1033" s="4"/>
      <c r="Q1033" s="3"/>
      <c r="R1033" s="3"/>
      <c r="S1033" s="3"/>
      <c r="T1033" s="3"/>
      <c r="U1033" s="3"/>
    </row>
    <row r="1034" spans="2:21" x14ac:dyDescent="0.25">
      <c r="B1034" s="2"/>
      <c r="C1034" s="2"/>
      <c r="D1034" s="4"/>
      <c r="E1034" s="4"/>
      <c r="F1034" s="4"/>
      <c r="Q1034" s="3"/>
      <c r="R1034" s="3"/>
      <c r="S1034" s="3"/>
      <c r="T1034" s="3"/>
      <c r="U1034" s="3"/>
    </row>
    <row r="1035" spans="2:21" x14ac:dyDescent="0.25">
      <c r="B1035" s="2"/>
      <c r="C1035" s="2"/>
      <c r="D1035" s="4"/>
      <c r="E1035" s="4"/>
      <c r="F1035" s="4"/>
      <c r="Q1035" s="3"/>
      <c r="R1035" s="3"/>
      <c r="S1035" s="3"/>
      <c r="T1035" s="3"/>
      <c r="U1035" s="3"/>
    </row>
    <row r="1036" spans="2:21" x14ac:dyDescent="0.25">
      <c r="B1036" s="2"/>
      <c r="C1036" s="2"/>
      <c r="D1036" s="4"/>
      <c r="E1036" s="4"/>
      <c r="F1036" s="4"/>
      <c r="Q1036" s="3"/>
      <c r="R1036" s="3"/>
      <c r="S1036" s="3"/>
      <c r="T1036" s="3"/>
      <c r="U1036" s="3"/>
    </row>
    <row r="1037" spans="2:21" x14ac:dyDescent="0.25">
      <c r="B1037" s="2"/>
      <c r="C1037" s="2"/>
      <c r="D1037" s="4"/>
      <c r="E1037" s="4"/>
      <c r="F1037" s="4"/>
      <c r="Q1037" s="3"/>
      <c r="R1037" s="3"/>
      <c r="S1037" s="3"/>
      <c r="T1037" s="3"/>
      <c r="U1037" s="3"/>
    </row>
    <row r="1038" spans="2:21" x14ac:dyDescent="0.25">
      <c r="B1038" s="2"/>
      <c r="C1038" s="2"/>
      <c r="D1038" s="4"/>
      <c r="E1038" s="4"/>
      <c r="F1038" s="4"/>
      <c r="Q1038" s="3"/>
      <c r="R1038" s="3"/>
      <c r="S1038" s="3"/>
      <c r="T1038" s="3"/>
      <c r="U1038" s="3"/>
    </row>
    <row r="1039" spans="2:21" x14ac:dyDescent="0.25">
      <c r="B1039" s="2"/>
      <c r="C1039" s="2"/>
      <c r="D1039" s="4"/>
      <c r="E1039" s="4"/>
      <c r="F1039" s="4"/>
      <c r="Q1039" s="3"/>
      <c r="R1039" s="3"/>
      <c r="S1039" s="3"/>
      <c r="T1039" s="3"/>
      <c r="U1039" s="3"/>
    </row>
    <row r="1040" spans="2:21" x14ac:dyDescent="0.25">
      <c r="B1040" s="2"/>
      <c r="C1040" s="2"/>
      <c r="D1040" s="4"/>
      <c r="E1040" s="4"/>
      <c r="F1040" s="4"/>
      <c r="Q1040" s="3"/>
      <c r="R1040" s="3"/>
      <c r="S1040" s="3"/>
      <c r="T1040" s="3"/>
      <c r="U1040" s="3"/>
    </row>
    <row r="1041" spans="2:21" x14ac:dyDescent="0.25">
      <c r="B1041" s="2"/>
      <c r="C1041" s="2"/>
      <c r="D1041" s="4"/>
      <c r="E1041" s="4"/>
      <c r="F1041" s="4"/>
      <c r="Q1041" s="3"/>
      <c r="R1041" s="3"/>
      <c r="S1041" s="3"/>
      <c r="T1041" s="3"/>
      <c r="U1041" s="3"/>
    </row>
    <row r="1042" spans="2:21" x14ac:dyDescent="0.25">
      <c r="B1042" s="2"/>
      <c r="C1042" s="2"/>
      <c r="D1042" s="4"/>
      <c r="E1042" s="4"/>
      <c r="F1042" s="4"/>
      <c r="Q1042" s="3"/>
      <c r="R1042" s="3"/>
      <c r="S1042" s="3"/>
      <c r="T1042" s="3"/>
      <c r="U1042" s="3"/>
    </row>
    <row r="1043" spans="2:21" x14ac:dyDescent="0.25">
      <c r="B1043" s="2"/>
      <c r="C1043" s="2"/>
      <c r="D1043" s="4"/>
      <c r="E1043" s="4"/>
      <c r="F1043" s="4"/>
      <c r="Q1043" s="3"/>
      <c r="R1043" s="3"/>
      <c r="S1043" s="3"/>
      <c r="T1043" s="3"/>
      <c r="U1043" s="3"/>
    </row>
    <row r="1044" spans="2:21" x14ac:dyDescent="0.25">
      <c r="B1044" s="2"/>
      <c r="C1044" s="2"/>
      <c r="D1044" s="4"/>
      <c r="E1044" s="4"/>
      <c r="F1044" s="4"/>
      <c r="Q1044" s="3"/>
      <c r="R1044" s="3"/>
      <c r="S1044" s="3"/>
      <c r="T1044" s="3"/>
      <c r="U1044" s="3"/>
    </row>
    <row r="1045" spans="2:21" x14ac:dyDescent="0.25">
      <c r="B1045" s="2"/>
      <c r="C1045" s="2"/>
      <c r="D1045" s="4"/>
      <c r="E1045" s="4"/>
      <c r="F1045" s="4"/>
      <c r="Q1045" s="3"/>
      <c r="R1045" s="3"/>
      <c r="S1045" s="3"/>
      <c r="T1045" s="3"/>
      <c r="U1045" s="3"/>
    </row>
    <row r="1046" spans="2:21" x14ac:dyDescent="0.25">
      <c r="B1046" s="2"/>
      <c r="C1046" s="2"/>
      <c r="D1046" s="4"/>
      <c r="E1046" s="4"/>
      <c r="F1046" s="4"/>
      <c r="Q1046" s="3"/>
      <c r="R1046" s="3"/>
      <c r="S1046" s="3"/>
      <c r="T1046" s="3"/>
      <c r="U1046" s="3"/>
    </row>
    <row r="1047" spans="2:21" x14ac:dyDescent="0.25">
      <c r="B1047" s="2"/>
      <c r="C1047" s="2"/>
      <c r="D1047" s="4"/>
      <c r="E1047" s="4"/>
      <c r="F1047" s="4"/>
      <c r="Q1047" s="3"/>
      <c r="R1047" s="3"/>
      <c r="S1047" s="3"/>
      <c r="T1047" s="3"/>
      <c r="U1047" s="3"/>
    </row>
    <row r="1048" spans="2:21" x14ac:dyDescent="0.25">
      <c r="B1048" s="2"/>
      <c r="C1048" s="2"/>
      <c r="D1048" s="4"/>
      <c r="E1048" s="4"/>
      <c r="F1048" s="4"/>
      <c r="Q1048" s="3"/>
      <c r="R1048" s="3"/>
      <c r="S1048" s="3"/>
      <c r="T1048" s="3"/>
      <c r="U1048" s="3"/>
    </row>
    <row r="1049" spans="2:21" x14ac:dyDescent="0.25">
      <c r="B1049" s="2"/>
      <c r="C1049" s="2"/>
      <c r="D1049" s="4"/>
      <c r="E1049" s="4"/>
      <c r="F1049" s="4"/>
      <c r="Q1049" s="3"/>
      <c r="R1049" s="3"/>
      <c r="S1049" s="3"/>
      <c r="T1049" s="3"/>
      <c r="U1049" s="3"/>
    </row>
    <row r="1050" spans="2:21" x14ac:dyDescent="0.25">
      <c r="B1050" s="2"/>
      <c r="C1050" s="2"/>
      <c r="D1050" s="4"/>
      <c r="E1050" s="4"/>
      <c r="F1050" s="4"/>
      <c r="Q1050" s="3"/>
      <c r="R1050" s="3"/>
      <c r="S1050" s="3"/>
      <c r="T1050" s="3"/>
      <c r="U1050" s="3"/>
    </row>
    <row r="1051" spans="2:21" x14ac:dyDescent="0.25">
      <c r="B1051" s="2"/>
      <c r="C1051" s="2"/>
      <c r="D1051" s="4"/>
      <c r="E1051" s="4"/>
      <c r="F1051" s="4"/>
      <c r="Q1051" s="3"/>
      <c r="R1051" s="3"/>
      <c r="S1051" s="3"/>
      <c r="T1051" s="3"/>
      <c r="U1051" s="3"/>
    </row>
    <row r="1052" spans="2:21" x14ac:dyDescent="0.25">
      <c r="B1052" s="2"/>
      <c r="C1052" s="2"/>
      <c r="D1052" s="4"/>
      <c r="E1052" s="4"/>
      <c r="F1052" s="4"/>
      <c r="Q1052" s="3"/>
      <c r="R1052" s="3"/>
      <c r="S1052" s="3"/>
      <c r="T1052" s="3"/>
      <c r="U1052" s="3"/>
    </row>
    <row r="1053" spans="2:21" x14ac:dyDescent="0.25">
      <c r="B1053" s="2"/>
      <c r="C1053" s="2"/>
      <c r="D1053" s="4"/>
      <c r="E1053" s="4"/>
      <c r="F1053" s="4"/>
      <c r="Q1053" s="3"/>
      <c r="R1053" s="3"/>
      <c r="S1053" s="3"/>
      <c r="T1053" s="3"/>
      <c r="U1053" s="3"/>
    </row>
    <row r="1054" spans="2:21" x14ac:dyDescent="0.25">
      <c r="B1054" s="2"/>
      <c r="C1054" s="2"/>
      <c r="D1054" s="4"/>
      <c r="E1054" s="4"/>
      <c r="F1054" s="4"/>
      <c r="Q1054" s="3"/>
      <c r="R1054" s="3"/>
      <c r="S1054" s="3"/>
      <c r="T1054" s="3"/>
      <c r="U1054" s="3"/>
    </row>
    <row r="1055" spans="2:21" x14ac:dyDescent="0.25">
      <c r="B1055" s="2"/>
      <c r="C1055" s="2"/>
      <c r="D1055" s="4"/>
      <c r="E1055" s="4"/>
      <c r="F1055" s="4"/>
      <c r="Q1055" s="3"/>
      <c r="R1055" s="3"/>
      <c r="S1055" s="3"/>
      <c r="T1055" s="3"/>
      <c r="U1055" s="3"/>
    </row>
    <row r="1056" spans="2:21" x14ac:dyDescent="0.25">
      <c r="B1056" s="2"/>
      <c r="C1056" s="2"/>
      <c r="D1056" s="4"/>
      <c r="E1056" s="4"/>
      <c r="F1056" s="4"/>
      <c r="Q1056" s="3"/>
      <c r="R1056" s="3"/>
      <c r="S1056" s="3"/>
      <c r="T1056" s="3"/>
      <c r="U1056" s="3"/>
    </row>
    <row r="1057" spans="2:21" x14ac:dyDescent="0.25">
      <c r="B1057" s="2"/>
      <c r="C1057" s="2"/>
      <c r="D1057" s="4"/>
      <c r="E1057" s="4"/>
      <c r="F1057" s="4"/>
      <c r="Q1057" s="3"/>
      <c r="R1057" s="3"/>
      <c r="S1057" s="3"/>
      <c r="T1057" s="3"/>
      <c r="U1057" s="3"/>
    </row>
    <row r="1058" spans="2:21" x14ac:dyDescent="0.25">
      <c r="B1058" s="2"/>
      <c r="C1058" s="2"/>
      <c r="D1058" s="4"/>
      <c r="E1058" s="4"/>
      <c r="F1058" s="4"/>
      <c r="Q1058" s="3"/>
      <c r="R1058" s="3"/>
      <c r="S1058" s="3"/>
      <c r="T1058" s="3"/>
      <c r="U1058" s="3"/>
    </row>
    <row r="1059" spans="2:21" x14ac:dyDescent="0.25">
      <c r="B1059" s="2"/>
      <c r="C1059" s="2"/>
      <c r="D1059" s="4"/>
      <c r="E1059" s="4"/>
      <c r="F1059" s="4"/>
      <c r="Q1059" s="3"/>
      <c r="R1059" s="3"/>
      <c r="S1059" s="3"/>
      <c r="T1059" s="3"/>
      <c r="U1059" s="3"/>
    </row>
    <row r="1060" spans="2:21" x14ac:dyDescent="0.25">
      <c r="B1060" s="2"/>
      <c r="C1060" s="2"/>
      <c r="D1060" s="4"/>
      <c r="E1060" s="4"/>
      <c r="F1060" s="4"/>
      <c r="Q1060" s="3"/>
      <c r="R1060" s="3"/>
      <c r="S1060" s="3"/>
      <c r="T1060" s="3"/>
      <c r="U1060" s="3"/>
    </row>
    <row r="1061" spans="2:21" x14ac:dyDescent="0.25">
      <c r="B1061" s="2"/>
      <c r="C1061" s="2"/>
      <c r="D1061" s="4"/>
      <c r="E1061" s="4"/>
      <c r="F1061" s="4"/>
      <c r="Q1061" s="3"/>
      <c r="R1061" s="3"/>
      <c r="S1061" s="3"/>
      <c r="T1061" s="3"/>
      <c r="U1061" s="3"/>
    </row>
    <row r="1062" spans="2:21" x14ac:dyDescent="0.25">
      <c r="B1062" s="2"/>
      <c r="C1062" s="2"/>
      <c r="D1062" s="4"/>
      <c r="E1062" s="4"/>
      <c r="F1062" s="4"/>
      <c r="Q1062" s="3"/>
      <c r="R1062" s="3"/>
      <c r="S1062" s="3"/>
      <c r="T1062" s="3"/>
      <c r="U1062" s="3"/>
    </row>
    <row r="1063" spans="2:21" x14ac:dyDescent="0.25">
      <c r="B1063" s="2"/>
      <c r="C1063" s="2"/>
      <c r="D1063" s="4"/>
      <c r="E1063" s="4"/>
      <c r="F1063" s="4"/>
      <c r="Q1063" s="3"/>
      <c r="R1063" s="3"/>
      <c r="S1063" s="3"/>
      <c r="T1063" s="3"/>
      <c r="U1063" s="3"/>
    </row>
    <row r="1064" spans="2:21" x14ac:dyDescent="0.25">
      <c r="B1064" s="2"/>
      <c r="C1064" s="2"/>
      <c r="D1064" s="4"/>
      <c r="E1064" s="4"/>
      <c r="F1064" s="4"/>
      <c r="Q1064" s="3"/>
      <c r="R1064" s="3"/>
      <c r="S1064" s="3"/>
      <c r="T1064" s="3"/>
      <c r="U1064" s="3"/>
    </row>
    <row r="1065" spans="2:21" x14ac:dyDescent="0.25">
      <c r="B1065" s="2"/>
      <c r="C1065" s="2"/>
      <c r="D1065" s="4"/>
      <c r="E1065" s="4"/>
      <c r="F1065" s="4"/>
      <c r="Q1065" s="3"/>
      <c r="R1065" s="3"/>
      <c r="S1065" s="3"/>
      <c r="T1065" s="3"/>
      <c r="U1065" s="3"/>
    </row>
    <row r="1066" spans="2:21" x14ac:dyDescent="0.25">
      <c r="B1066" s="2"/>
      <c r="C1066" s="2"/>
      <c r="D1066" s="4"/>
      <c r="E1066" s="4"/>
      <c r="F1066" s="4"/>
      <c r="Q1066" s="3"/>
      <c r="R1066" s="3"/>
      <c r="S1066" s="3"/>
      <c r="T1066" s="3"/>
      <c r="U1066" s="3"/>
    </row>
    <row r="1067" spans="2:21" x14ac:dyDescent="0.25">
      <c r="B1067" s="2"/>
      <c r="C1067" s="2"/>
      <c r="D1067" s="4"/>
      <c r="E1067" s="4"/>
      <c r="F1067" s="4"/>
      <c r="Q1067" s="3"/>
      <c r="R1067" s="3"/>
      <c r="S1067" s="3"/>
      <c r="T1067" s="3"/>
      <c r="U1067" s="3"/>
    </row>
    <row r="1068" spans="2:21" x14ac:dyDescent="0.25">
      <c r="B1068" s="2"/>
      <c r="C1068" s="2"/>
      <c r="D1068" s="4"/>
      <c r="E1068" s="4"/>
      <c r="F1068" s="4"/>
      <c r="Q1068" s="3"/>
      <c r="R1068" s="3"/>
      <c r="S1068" s="3"/>
      <c r="T1068" s="3"/>
      <c r="U1068" s="3"/>
    </row>
    <row r="1069" spans="2:21" x14ac:dyDescent="0.25">
      <c r="B1069" s="2"/>
      <c r="C1069" s="2"/>
      <c r="D1069" s="4"/>
      <c r="E1069" s="4"/>
      <c r="F1069" s="4"/>
      <c r="Q1069" s="3"/>
      <c r="R1069" s="3"/>
      <c r="S1069" s="3"/>
      <c r="T1069" s="3"/>
      <c r="U1069" s="3"/>
    </row>
    <row r="1070" spans="2:21" x14ac:dyDescent="0.25">
      <c r="B1070" s="2"/>
      <c r="C1070" s="2"/>
      <c r="D1070" s="4"/>
      <c r="E1070" s="4"/>
      <c r="F1070" s="4"/>
      <c r="Q1070" s="3"/>
      <c r="R1070" s="3"/>
      <c r="S1070" s="3"/>
      <c r="T1070" s="3"/>
      <c r="U1070" s="3"/>
    </row>
    <row r="1071" spans="2:21" x14ac:dyDescent="0.25">
      <c r="B1071" s="2"/>
      <c r="C1071" s="2"/>
      <c r="D1071" s="4"/>
      <c r="E1071" s="4"/>
      <c r="F1071" s="4"/>
      <c r="Q1071" s="3"/>
      <c r="R1071" s="3"/>
      <c r="S1071" s="3"/>
      <c r="T1071" s="3"/>
      <c r="U1071" s="3"/>
    </row>
    <row r="1072" spans="2:21" x14ac:dyDescent="0.25">
      <c r="B1072" s="2"/>
      <c r="C1072" s="2"/>
      <c r="D1072" s="4"/>
      <c r="E1072" s="4"/>
      <c r="F1072" s="4"/>
      <c r="Q1072" s="3"/>
      <c r="R1072" s="3"/>
      <c r="S1072" s="3"/>
      <c r="T1072" s="3"/>
      <c r="U1072" s="3"/>
    </row>
    <row r="1073" spans="2:21" x14ac:dyDescent="0.25">
      <c r="B1073" s="2"/>
      <c r="C1073" s="2"/>
      <c r="D1073" s="4"/>
      <c r="E1073" s="4"/>
      <c r="F1073" s="4"/>
      <c r="Q1073" s="3"/>
      <c r="R1073" s="3"/>
      <c r="S1073" s="3"/>
      <c r="T1073" s="3"/>
      <c r="U1073" s="3"/>
    </row>
    <row r="1074" spans="2:21" x14ac:dyDescent="0.25">
      <c r="B1074" s="2"/>
      <c r="C1074" s="2"/>
      <c r="D1074" s="4"/>
      <c r="E1074" s="4"/>
      <c r="F1074" s="4"/>
      <c r="Q1074" s="3"/>
      <c r="R1074" s="3"/>
      <c r="S1074" s="3"/>
      <c r="T1074" s="3"/>
      <c r="U1074" s="3"/>
    </row>
    <row r="1075" spans="2:21" x14ac:dyDescent="0.25">
      <c r="B1075" s="2"/>
      <c r="C1075" s="2"/>
      <c r="D1075" s="4"/>
      <c r="E1075" s="4"/>
      <c r="F1075" s="4"/>
      <c r="Q1075" s="3"/>
      <c r="R1075" s="3"/>
      <c r="S1075" s="3"/>
      <c r="T1075" s="3"/>
      <c r="U1075" s="3"/>
    </row>
    <row r="1076" spans="2:21" x14ac:dyDescent="0.25">
      <c r="B1076" s="2"/>
      <c r="C1076" s="2"/>
      <c r="D1076" s="4"/>
      <c r="E1076" s="4"/>
      <c r="F1076" s="4"/>
      <c r="Q1076" s="3"/>
      <c r="R1076" s="3"/>
      <c r="S1076" s="3"/>
      <c r="T1076" s="3"/>
      <c r="U1076" s="3"/>
    </row>
    <row r="1077" spans="2:21" x14ac:dyDescent="0.25">
      <c r="B1077" s="2"/>
      <c r="C1077" s="2"/>
      <c r="D1077" s="4"/>
      <c r="E1077" s="4"/>
      <c r="F1077" s="4"/>
      <c r="Q1077" s="3"/>
      <c r="R1077" s="3"/>
      <c r="S1077" s="3"/>
      <c r="T1077" s="3"/>
      <c r="U1077" s="3"/>
    </row>
    <row r="1078" spans="2:21" x14ac:dyDescent="0.25">
      <c r="B1078" s="2"/>
      <c r="C1078" s="2"/>
      <c r="D1078" s="4"/>
      <c r="E1078" s="4"/>
      <c r="F1078" s="4"/>
      <c r="Q1078" s="3"/>
      <c r="R1078" s="3"/>
      <c r="S1078" s="3"/>
      <c r="T1078" s="3"/>
      <c r="U1078" s="3"/>
    </row>
    <row r="1079" spans="2:21" x14ac:dyDescent="0.25">
      <c r="B1079" s="2"/>
      <c r="C1079" s="2"/>
      <c r="D1079" s="4"/>
      <c r="E1079" s="4"/>
      <c r="F1079" s="4"/>
      <c r="Q1079" s="3"/>
      <c r="R1079" s="3"/>
      <c r="S1079" s="3"/>
      <c r="T1079" s="3"/>
      <c r="U1079" s="3"/>
    </row>
    <row r="1080" spans="2:21" x14ac:dyDescent="0.25">
      <c r="B1080" s="2"/>
      <c r="C1080" s="2"/>
      <c r="D1080" s="4"/>
      <c r="E1080" s="4"/>
      <c r="F1080" s="4"/>
      <c r="Q1080" s="3"/>
      <c r="R1080" s="3"/>
      <c r="S1080" s="3"/>
      <c r="T1080" s="3"/>
      <c r="U1080" s="3"/>
    </row>
    <row r="1081" spans="2:21" x14ac:dyDescent="0.25">
      <c r="B1081" s="2"/>
      <c r="C1081" s="2"/>
      <c r="D1081" s="4"/>
      <c r="E1081" s="4"/>
      <c r="F1081" s="4"/>
      <c r="Q1081" s="3"/>
      <c r="R1081" s="3"/>
      <c r="S1081" s="3"/>
      <c r="T1081" s="3"/>
      <c r="U1081" s="3"/>
    </row>
    <row r="1082" spans="2:21" x14ac:dyDescent="0.25">
      <c r="B1082" s="2"/>
      <c r="C1082" s="2"/>
      <c r="D1082" s="4"/>
      <c r="E1082" s="4"/>
      <c r="F1082" s="4"/>
      <c r="Q1082" s="3"/>
      <c r="R1082" s="3"/>
      <c r="S1082" s="3"/>
      <c r="T1082" s="3"/>
      <c r="U1082" s="3"/>
    </row>
    <row r="1083" spans="2:21" x14ac:dyDescent="0.25">
      <c r="B1083" s="2"/>
      <c r="C1083" s="2"/>
      <c r="D1083" s="4"/>
      <c r="E1083" s="4"/>
      <c r="F1083" s="4"/>
      <c r="Q1083" s="3"/>
      <c r="R1083" s="3"/>
      <c r="S1083" s="3"/>
      <c r="T1083" s="3"/>
      <c r="U1083" s="3"/>
    </row>
    <row r="1084" spans="2:21" x14ac:dyDescent="0.25">
      <c r="B1084" s="2"/>
      <c r="C1084" s="2"/>
      <c r="D1084" s="4"/>
      <c r="E1084" s="4"/>
      <c r="F1084" s="4"/>
      <c r="Q1084" s="3"/>
      <c r="R1084" s="3"/>
      <c r="S1084" s="3"/>
      <c r="T1084" s="3"/>
      <c r="U1084" s="3"/>
    </row>
    <row r="1085" spans="2:21" x14ac:dyDescent="0.25">
      <c r="B1085" s="2"/>
      <c r="C1085" s="2"/>
      <c r="D1085" s="4"/>
      <c r="E1085" s="4"/>
      <c r="F1085" s="4"/>
      <c r="Q1085" s="3"/>
      <c r="R1085" s="3"/>
      <c r="S1085" s="3"/>
      <c r="T1085" s="3"/>
      <c r="U1085" s="3"/>
    </row>
    <row r="1086" spans="2:21" x14ac:dyDescent="0.25">
      <c r="B1086" s="2"/>
      <c r="C1086" s="2"/>
      <c r="D1086" s="4"/>
      <c r="E1086" s="4"/>
      <c r="F1086" s="4"/>
      <c r="Q1086" s="3"/>
      <c r="R1086" s="3"/>
      <c r="S1086" s="3"/>
      <c r="T1086" s="3"/>
      <c r="U1086" s="3"/>
    </row>
    <row r="1087" spans="2:21" x14ac:dyDescent="0.25">
      <c r="B1087" s="2"/>
      <c r="C1087" s="2"/>
      <c r="D1087" s="4"/>
      <c r="E1087" s="4"/>
      <c r="F1087" s="4"/>
      <c r="Q1087" s="3"/>
      <c r="R1087" s="3"/>
      <c r="S1087" s="3"/>
      <c r="T1087" s="3"/>
      <c r="U1087" s="3"/>
    </row>
    <row r="1088" spans="2:21" x14ac:dyDescent="0.25">
      <c r="B1088" s="2"/>
      <c r="C1088" s="2"/>
      <c r="D1088" s="4"/>
      <c r="E1088" s="4"/>
      <c r="F1088" s="4"/>
      <c r="Q1088" s="3"/>
      <c r="R1088" s="3"/>
      <c r="S1088" s="3"/>
      <c r="T1088" s="3"/>
      <c r="U1088" s="3"/>
    </row>
    <row r="1089" spans="2:21" x14ac:dyDescent="0.25">
      <c r="B1089" s="2"/>
      <c r="C1089" s="2"/>
      <c r="D1089" s="4"/>
      <c r="E1089" s="4"/>
      <c r="F1089" s="4"/>
      <c r="Q1089" s="3"/>
      <c r="R1089" s="3"/>
      <c r="S1089" s="3"/>
      <c r="T1089" s="3"/>
      <c r="U1089" s="3"/>
    </row>
    <row r="1090" spans="2:21" x14ac:dyDescent="0.25">
      <c r="B1090" s="2"/>
      <c r="C1090" s="2"/>
      <c r="D1090" s="4"/>
      <c r="E1090" s="4"/>
      <c r="F1090" s="4"/>
      <c r="Q1090" s="3"/>
      <c r="R1090" s="3"/>
      <c r="S1090" s="3"/>
      <c r="T1090" s="3"/>
      <c r="U1090" s="3"/>
    </row>
    <row r="1091" spans="2:21" x14ac:dyDescent="0.25">
      <c r="B1091" s="2"/>
      <c r="C1091" s="2"/>
      <c r="D1091" s="4"/>
      <c r="E1091" s="4"/>
      <c r="F1091" s="4"/>
      <c r="Q1091" s="3"/>
      <c r="R1091" s="3"/>
      <c r="S1091" s="3"/>
      <c r="T1091" s="3"/>
      <c r="U1091" s="3"/>
    </row>
    <row r="1092" spans="2:21" x14ac:dyDescent="0.25">
      <c r="B1092" s="2"/>
      <c r="C1092" s="2"/>
      <c r="D1092" s="4"/>
      <c r="E1092" s="4"/>
      <c r="F1092" s="4"/>
      <c r="Q1092" s="3"/>
      <c r="R1092" s="3"/>
      <c r="S1092" s="3"/>
      <c r="T1092" s="3"/>
      <c r="U1092" s="3"/>
    </row>
    <row r="1093" spans="2:21" x14ac:dyDescent="0.25">
      <c r="B1093" s="2"/>
      <c r="C1093" s="2"/>
      <c r="D1093" s="4"/>
      <c r="E1093" s="4"/>
      <c r="F1093" s="4"/>
      <c r="Q1093" s="3"/>
      <c r="R1093" s="3"/>
      <c r="S1093" s="3"/>
      <c r="T1093" s="3"/>
      <c r="U1093" s="3"/>
    </row>
    <row r="1094" spans="2:21" x14ac:dyDescent="0.25">
      <c r="B1094" s="2"/>
      <c r="C1094" s="2"/>
      <c r="D1094" s="4"/>
      <c r="E1094" s="4"/>
      <c r="F1094" s="4"/>
      <c r="Q1094" s="3"/>
      <c r="R1094" s="3"/>
      <c r="S1094" s="3"/>
      <c r="T1094" s="3"/>
      <c r="U1094" s="3"/>
    </row>
    <row r="1095" spans="2:21" x14ac:dyDescent="0.25">
      <c r="B1095" s="2"/>
      <c r="C1095" s="2"/>
      <c r="D1095" s="4"/>
      <c r="E1095" s="4"/>
      <c r="F1095" s="4"/>
      <c r="Q1095" s="3"/>
      <c r="R1095" s="3"/>
      <c r="S1095" s="3"/>
      <c r="T1095" s="3"/>
      <c r="U1095" s="3"/>
    </row>
    <row r="1096" spans="2:21" x14ac:dyDescent="0.25">
      <c r="B1096" s="2"/>
      <c r="C1096" s="2"/>
      <c r="D1096" s="4"/>
      <c r="E1096" s="4"/>
      <c r="F1096" s="4"/>
      <c r="Q1096" s="3"/>
      <c r="R1096" s="3"/>
      <c r="S1096" s="3"/>
      <c r="T1096" s="3"/>
      <c r="U1096" s="3"/>
    </row>
    <row r="1097" spans="2:21" x14ac:dyDescent="0.25">
      <c r="B1097" s="2"/>
      <c r="C1097" s="2"/>
      <c r="D1097" s="4"/>
      <c r="E1097" s="4"/>
      <c r="F1097" s="4"/>
      <c r="Q1097" s="3"/>
      <c r="R1097" s="3"/>
      <c r="S1097" s="3"/>
      <c r="T1097" s="3"/>
      <c r="U1097" s="3"/>
    </row>
    <row r="1098" spans="2:21" x14ac:dyDescent="0.25">
      <c r="B1098" s="2"/>
      <c r="C1098" s="2"/>
      <c r="D1098" s="4"/>
      <c r="E1098" s="4"/>
      <c r="F1098" s="4"/>
      <c r="Q1098" s="3"/>
      <c r="R1098" s="3"/>
      <c r="S1098" s="3"/>
      <c r="T1098" s="3"/>
      <c r="U1098" s="3"/>
    </row>
    <row r="1099" spans="2:21" x14ac:dyDescent="0.25">
      <c r="B1099" s="2"/>
      <c r="C1099" s="2"/>
      <c r="D1099" s="4"/>
      <c r="E1099" s="4"/>
      <c r="F1099" s="4"/>
      <c r="Q1099" s="3"/>
      <c r="R1099" s="3"/>
      <c r="S1099" s="3"/>
      <c r="T1099" s="3"/>
      <c r="U1099" s="3"/>
    </row>
    <row r="1100" spans="2:21" x14ac:dyDescent="0.25">
      <c r="B1100" s="2"/>
      <c r="C1100" s="2"/>
      <c r="D1100" s="4"/>
      <c r="E1100" s="4"/>
      <c r="F1100" s="4"/>
      <c r="Q1100" s="3"/>
      <c r="R1100" s="3"/>
      <c r="S1100" s="3"/>
      <c r="T1100" s="3"/>
      <c r="U1100" s="3"/>
    </row>
    <row r="1101" spans="2:21" x14ac:dyDescent="0.25">
      <c r="B1101" s="2"/>
      <c r="C1101" s="2"/>
      <c r="D1101" s="4"/>
      <c r="E1101" s="4"/>
      <c r="F1101" s="4"/>
      <c r="Q1101" s="3"/>
      <c r="R1101" s="3"/>
      <c r="S1101" s="3"/>
      <c r="T1101" s="3"/>
      <c r="U1101" s="3"/>
    </row>
    <row r="1102" spans="2:21" x14ac:dyDescent="0.25">
      <c r="B1102" s="2"/>
      <c r="C1102" s="2"/>
      <c r="D1102" s="4"/>
      <c r="E1102" s="4"/>
      <c r="F1102" s="4"/>
      <c r="Q1102" s="3"/>
      <c r="R1102" s="3"/>
      <c r="S1102" s="3"/>
      <c r="T1102" s="3"/>
      <c r="U1102" s="3"/>
    </row>
    <row r="1103" spans="2:21" x14ac:dyDescent="0.25">
      <c r="B1103" s="2"/>
      <c r="C1103" s="2"/>
      <c r="D1103" s="4"/>
      <c r="E1103" s="4"/>
      <c r="F1103" s="4"/>
      <c r="Q1103" s="3"/>
      <c r="R1103" s="3"/>
      <c r="S1103" s="3"/>
      <c r="T1103" s="3"/>
      <c r="U1103" s="3"/>
    </row>
    <row r="1104" spans="2:21" x14ac:dyDescent="0.25">
      <c r="B1104" s="2"/>
      <c r="C1104" s="2"/>
      <c r="D1104" s="4"/>
      <c r="E1104" s="4"/>
      <c r="F1104" s="4"/>
      <c r="Q1104" s="3"/>
      <c r="R1104" s="3"/>
      <c r="S1104" s="3"/>
      <c r="T1104" s="3"/>
      <c r="U1104" s="3"/>
    </row>
    <row r="1105" spans="2:21" x14ac:dyDescent="0.25">
      <c r="B1105" s="2"/>
      <c r="C1105" s="2"/>
      <c r="D1105" s="4"/>
      <c r="E1105" s="4"/>
      <c r="F1105" s="4"/>
      <c r="Q1105" s="3"/>
      <c r="R1105" s="3"/>
      <c r="S1105" s="3"/>
      <c r="T1105" s="3"/>
      <c r="U1105" s="3"/>
    </row>
    <row r="1106" spans="2:21" x14ac:dyDescent="0.25">
      <c r="B1106" s="2"/>
      <c r="C1106" s="2"/>
      <c r="D1106" s="4"/>
      <c r="E1106" s="4"/>
      <c r="F1106" s="4"/>
      <c r="Q1106" s="3"/>
      <c r="R1106" s="3"/>
      <c r="S1106" s="3"/>
      <c r="T1106" s="3"/>
      <c r="U1106" s="3"/>
    </row>
    <row r="1107" spans="2:21" x14ac:dyDescent="0.25">
      <c r="B1107" s="2"/>
      <c r="C1107" s="2"/>
      <c r="D1107" s="4"/>
      <c r="E1107" s="4"/>
      <c r="F1107" s="4"/>
      <c r="Q1107" s="3"/>
      <c r="R1107" s="3"/>
      <c r="S1107" s="3"/>
      <c r="T1107" s="3"/>
      <c r="U1107" s="3"/>
    </row>
    <row r="1108" spans="2:21" x14ac:dyDescent="0.25">
      <c r="B1108" s="2"/>
      <c r="C1108" s="2"/>
      <c r="D1108" s="4"/>
      <c r="E1108" s="4"/>
      <c r="F1108" s="4"/>
      <c r="Q1108" s="3"/>
      <c r="R1108" s="3"/>
      <c r="S1108" s="3"/>
      <c r="T1108" s="3"/>
      <c r="U1108" s="3"/>
    </row>
    <row r="1109" spans="2:21" x14ac:dyDescent="0.25">
      <c r="B1109" s="2"/>
      <c r="C1109" s="2"/>
      <c r="D1109" s="4"/>
      <c r="E1109" s="4"/>
      <c r="F1109" s="4"/>
      <c r="Q1109" s="3"/>
      <c r="R1109" s="3"/>
      <c r="S1109" s="3"/>
      <c r="T1109" s="3"/>
      <c r="U1109" s="3"/>
    </row>
    <row r="1110" spans="2:21" x14ac:dyDescent="0.25">
      <c r="B1110" s="2"/>
      <c r="C1110" s="2"/>
      <c r="D1110" s="4"/>
      <c r="E1110" s="4"/>
      <c r="F1110" s="4"/>
      <c r="Q1110" s="3"/>
      <c r="R1110" s="3"/>
      <c r="S1110" s="3"/>
      <c r="T1110" s="3"/>
      <c r="U1110" s="3"/>
    </row>
    <row r="1111" spans="2:21" x14ac:dyDescent="0.25">
      <c r="B1111" s="2"/>
      <c r="C1111" s="2"/>
      <c r="D1111" s="4"/>
      <c r="E1111" s="4"/>
      <c r="F1111" s="4"/>
      <c r="Q1111" s="3"/>
      <c r="R1111" s="3"/>
      <c r="S1111" s="3"/>
      <c r="T1111" s="3"/>
      <c r="U1111" s="3"/>
    </row>
    <row r="1112" spans="2:21" x14ac:dyDescent="0.25">
      <c r="B1112" s="2"/>
      <c r="C1112" s="2"/>
      <c r="D1112" s="4"/>
      <c r="E1112" s="4"/>
      <c r="F1112" s="4"/>
      <c r="Q1112" s="3"/>
      <c r="R1112" s="3"/>
      <c r="S1112" s="3"/>
      <c r="T1112" s="3"/>
      <c r="U1112" s="3"/>
    </row>
    <row r="1113" spans="2:21" x14ac:dyDescent="0.25">
      <c r="B1113" s="2"/>
      <c r="C1113" s="2"/>
      <c r="D1113" s="4"/>
      <c r="E1113" s="4"/>
      <c r="F1113" s="4"/>
      <c r="Q1113" s="3"/>
      <c r="R1113" s="3"/>
      <c r="S1113" s="3"/>
      <c r="T1113" s="3"/>
      <c r="U1113" s="3"/>
    </row>
    <row r="1114" spans="2:21" x14ac:dyDescent="0.25">
      <c r="B1114" s="2"/>
      <c r="C1114" s="2"/>
      <c r="D1114" s="4"/>
      <c r="E1114" s="4"/>
      <c r="F1114" s="4"/>
      <c r="Q1114" s="3"/>
      <c r="R1114" s="3"/>
      <c r="S1114" s="3"/>
      <c r="T1114" s="3"/>
      <c r="U1114" s="3"/>
    </row>
    <row r="1115" spans="2:21" x14ac:dyDescent="0.25">
      <c r="B1115" s="2"/>
      <c r="C1115" s="2"/>
      <c r="D1115" s="4"/>
      <c r="E1115" s="4"/>
      <c r="F1115" s="4"/>
      <c r="Q1115" s="3"/>
      <c r="R1115" s="3"/>
      <c r="S1115" s="3"/>
      <c r="T1115" s="3"/>
      <c r="U1115" s="3"/>
    </row>
    <row r="1116" spans="2:21" x14ac:dyDescent="0.25">
      <c r="B1116" s="2"/>
      <c r="C1116" s="2"/>
      <c r="D1116" s="4"/>
      <c r="E1116" s="4"/>
      <c r="F1116" s="4"/>
      <c r="Q1116" s="3"/>
      <c r="R1116" s="3"/>
      <c r="S1116" s="3"/>
      <c r="T1116" s="3"/>
      <c r="U1116" s="3"/>
    </row>
    <row r="1117" spans="2:21" x14ac:dyDescent="0.25">
      <c r="B1117" s="2"/>
      <c r="C1117" s="2"/>
      <c r="D1117" s="4"/>
      <c r="E1117" s="4"/>
      <c r="F1117" s="4"/>
      <c r="Q1117" s="3"/>
      <c r="R1117" s="3"/>
      <c r="S1117" s="3"/>
      <c r="T1117" s="3"/>
      <c r="U1117" s="3"/>
    </row>
    <row r="1118" spans="2:21" x14ac:dyDescent="0.25">
      <c r="B1118" s="2"/>
      <c r="C1118" s="2"/>
      <c r="D1118" s="4"/>
      <c r="E1118" s="4"/>
      <c r="F1118" s="4"/>
      <c r="Q1118" s="3"/>
      <c r="R1118" s="3"/>
      <c r="S1118" s="3"/>
      <c r="T1118" s="3"/>
      <c r="U1118" s="3"/>
    </row>
    <row r="1119" spans="2:21" x14ac:dyDescent="0.25">
      <c r="B1119" s="2"/>
      <c r="C1119" s="2"/>
      <c r="D1119" s="4"/>
      <c r="E1119" s="4"/>
      <c r="F1119" s="4"/>
      <c r="Q1119" s="3"/>
      <c r="R1119" s="3"/>
      <c r="S1119" s="3"/>
      <c r="T1119" s="3"/>
      <c r="U1119" s="3"/>
    </row>
    <row r="1120" spans="2:21" x14ac:dyDescent="0.25">
      <c r="B1120" s="2"/>
      <c r="C1120" s="2"/>
      <c r="D1120" s="4"/>
      <c r="E1120" s="4"/>
      <c r="F1120" s="4"/>
      <c r="Q1120" s="3"/>
      <c r="R1120" s="3"/>
      <c r="S1120" s="3"/>
      <c r="T1120" s="3"/>
      <c r="U1120" s="3"/>
    </row>
    <row r="1121" spans="2:21" x14ac:dyDescent="0.25">
      <c r="B1121" s="2"/>
      <c r="C1121" s="2"/>
      <c r="D1121" s="4"/>
      <c r="E1121" s="4"/>
      <c r="F1121" s="4"/>
      <c r="Q1121" s="3"/>
      <c r="R1121" s="3"/>
      <c r="S1121" s="3"/>
      <c r="T1121" s="3"/>
      <c r="U1121" s="3"/>
    </row>
    <row r="1122" spans="2:21" x14ac:dyDescent="0.25">
      <c r="B1122" s="2"/>
      <c r="C1122" s="2"/>
      <c r="D1122" s="4"/>
      <c r="E1122" s="4"/>
      <c r="F1122" s="4"/>
      <c r="Q1122" s="3"/>
      <c r="R1122" s="3"/>
      <c r="S1122" s="3"/>
      <c r="T1122" s="3"/>
      <c r="U1122" s="3"/>
    </row>
    <row r="1123" spans="2:21" x14ac:dyDescent="0.25">
      <c r="B1123" s="2"/>
      <c r="C1123" s="2"/>
      <c r="D1123" s="4"/>
      <c r="E1123" s="4"/>
      <c r="F1123" s="4"/>
      <c r="Q1123" s="3"/>
      <c r="R1123" s="3"/>
      <c r="S1123" s="3"/>
      <c r="T1123" s="3"/>
      <c r="U1123" s="3"/>
    </row>
    <row r="1124" spans="2:21" x14ac:dyDescent="0.25">
      <c r="B1124" s="2"/>
      <c r="C1124" s="2"/>
      <c r="D1124" s="4"/>
      <c r="E1124" s="4"/>
      <c r="F1124" s="4"/>
      <c r="Q1124" s="3"/>
      <c r="R1124" s="3"/>
      <c r="S1124" s="3"/>
      <c r="T1124" s="3"/>
      <c r="U1124" s="3"/>
    </row>
    <row r="1125" spans="2:21" x14ac:dyDescent="0.25">
      <c r="B1125" s="2"/>
      <c r="C1125" s="2"/>
      <c r="D1125" s="4"/>
      <c r="E1125" s="4"/>
      <c r="F1125" s="4"/>
      <c r="Q1125" s="3"/>
      <c r="R1125" s="3"/>
      <c r="S1125" s="3"/>
      <c r="T1125" s="3"/>
      <c r="U1125" s="3"/>
    </row>
    <row r="1126" spans="2:21" x14ac:dyDescent="0.25">
      <c r="B1126" s="2"/>
      <c r="C1126" s="2"/>
      <c r="D1126" s="4"/>
      <c r="E1126" s="4"/>
      <c r="F1126" s="4"/>
      <c r="Q1126" s="3"/>
      <c r="R1126" s="3"/>
      <c r="S1126" s="3"/>
      <c r="T1126" s="3"/>
      <c r="U1126" s="3"/>
    </row>
    <row r="1127" spans="2:21" x14ac:dyDescent="0.25">
      <c r="B1127" s="2"/>
      <c r="C1127" s="2"/>
      <c r="D1127" s="4"/>
      <c r="E1127" s="4"/>
      <c r="F1127" s="4"/>
      <c r="Q1127" s="3"/>
      <c r="R1127" s="3"/>
      <c r="S1127" s="3"/>
      <c r="T1127" s="3"/>
      <c r="U1127" s="3"/>
    </row>
    <row r="1128" spans="2:21" x14ac:dyDescent="0.25">
      <c r="B1128" s="2"/>
      <c r="C1128" s="2"/>
      <c r="D1128" s="4"/>
      <c r="E1128" s="4"/>
      <c r="F1128" s="4"/>
      <c r="Q1128" s="3"/>
      <c r="R1128" s="3"/>
      <c r="S1128" s="3"/>
      <c r="T1128" s="3"/>
      <c r="U1128" s="3"/>
    </row>
    <row r="1129" spans="2:21" x14ac:dyDescent="0.25">
      <c r="B1129" s="2"/>
      <c r="C1129" s="2"/>
      <c r="D1129" s="4"/>
      <c r="E1129" s="4"/>
      <c r="F1129" s="4"/>
      <c r="Q1129" s="3"/>
      <c r="R1129" s="3"/>
      <c r="S1129" s="3"/>
      <c r="T1129" s="3"/>
      <c r="U1129" s="3"/>
    </row>
    <row r="1130" spans="2:21" x14ac:dyDescent="0.25">
      <c r="B1130" s="2"/>
      <c r="C1130" s="2"/>
      <c r="D1130" s="4"/>
      <c r="E1130" s="4"/>
      <c r="F1130" s="4"/>
      <c r="Q1130" s="3"/>
      <c r="R1130" s="3"/>
      <c r="S1130" s="3"/>
      <c r="T1130" s="3"/>
      <c r="U1130" s="3"/>
    </row>
    <row r="1131" spans="2:21" x14ac:dyDescent="0.25">
      <c r="B1131" s="2"/>
      <c r="C1131" s="2"/>
      <c r="D1131" s="4"/>
      <c r="E1131" s="4"/>
      <c r="F1131" s="4"/>
      <c r="Q1131" s="3"/>
      <c r="R1131" s="3"/>
      <c r="S1131" s="3"/>
      <c r="T1131" s="3"/>
      <c r="U1131" s="3"/>
    </row>
    <row r="1132" spans="2:21" x14ac:dyDescent="0.25">
      <c r="B1132" s="2"/>
      <c r="C1132" s="2"/>
      <c r="D1132" s="4"/>
      <c r="E1132" s="4"/>
      <c r="F1132" s="4"/>
      <c r="Q1132" s="3"/>
      <c r="R1132" s="3"/>
      <c r="S1132" s="3"/>
      <c r="T1132" s="3"/>
      <c r="U1132" s="3"/>
    </row>
    <row r="1133" spans="2:21" x14ac:dyDescent="0.25">
      <c r="B1133" s="2"/>
      <c r="C1133" s="2"/>
      <c r="D1133" s="4"/>
      <c r="E1133" s="4"/>
      <c r="F1133" s="4"/>
      <c r="Q1133" s="3"/>
      <c r="R1133" s="3"/>
      <c r="S1133" s="3"/>
      <c r="T1133" s="3"/>
      <c r="U1133" s="3"/>
    </row>
    <row r="1134" spans="2:21" x14ac:dyDescent="0.25">
      <c r="B1134" s="2"/>
      <c r="C1134" s="2"/>
      <c r="D1134" s="4"/>
      <c r="E1134" s="4"/>
      <c r="F1134" s="4"/>
      <c r="Q1134" s="3"/>
      <c r="R1134" s="3"/>
      <c r="S1134" s="3"/>
      <c r="T1134" s="3"/>
      <c r="U1134" s="3"/>
    </row>
    <row r="1135" spans="2:21" x14ac:dyDescent="0.25">
      <c r="B1135" s="2"/>
      <c r="C1135" s="2"/>
      <c r="D1135" s="4"/>
      <c r="E1135" s="4"/>
      <c r="F1135" s="4"/>
      <c r="Q1135" s="3"/>
      <c r="R1135" s="3"/>
      <c r="S1135" s="3"/>
      <c r="T1135" s="3"/>
      <c r="U1135" s="3"/>
    </row>
    <row r="1136" spans="2:21" x14ac:dyDescent="0.25">
      <c r="B1136" s="2"/>
      <c r="C1136" s="2"/>
      <c r="D1136" s="4"/>
      <c r="E1136" s="4"/>
      <c r="F1136" s="4"/>
      <c r="Q1136" s="3"/>
      <c r="R1136" s="3"/>
      <c r="S1136" s="3"/>
      <c r="T1136" s="3"/>
      <c r="U1136" s="3"/>
    </row>
    <row r="1137" spans="2:21" x14ac:dyDescent="0.25">
      <c r="B1137" s="2"/>
      <c r="C1137" s="2"/>
      <c r="D1137" s="4"/>
      <c r="E1137" s="4"/>
      <c r="F1137" s="4"/>
      <c r="Q1137" s="3"/>
      <c r="R1137" s="3"/>
      <c r="S1137" s="3"/>
      <c r="T1137" s="3"/>
      <c r="U1137" s="3"/>
    </row>
    <row r="1138" spans="2:21" x14ac:dyDescent="0.25">
      <c r="B1138" s="2"/>
      <c r="C1138" s="2"/>
      <c r="D1138" s="4"/>
      <c r="E1138" s="4"/>
      <c r="F1138" s="4"/>
      <c r="Q1138" s="3"/>
      <c r="R1138" s="3"/>
      <c r="S1138" s="3"/>
      <c r="T1138" s="3"/>
      <c r="U1138" s="3"/>
    </row>
    <row r="1139" spans="2:21" x14ac:dyDescent="0.25">
      <c r="B1139" s="2"/>
      <c r="C1139" s="2"/>
      <c r="D1139" s="4"/>
      <c r="E1139" s="4"/>
      <c r="F1139" s="4"/>
      <c r="Q1139" s="3"/>
      <c r="R1139" s="3"/>
      <c r="S1139" s="3"/>
      <c r="T1139" s="3"/>
      <c r="U1139" s="3"/>
    </row>
    <row r="1140" spans="2:21" x14ac:dyDescent="0.25">
      <c r="B1140" s="2"/>
      <c r="C1140" s="2"/>
      <c r="D1140" s="4"/>
      <c r="E1140" s="4"/>
      <c r="F1140" s="4"/>
      <c r="Q1140" s="3"/>
      <c r="R1140" s="3"/>
      <c r="S1140" s="3"/>
      <c r="T1140" s="3"/>
      <c r="U1140" s="3"/>
    </row>
    <row r="1141" spans="2:21" x14ac:dyDescent="0.25">
      <c r="B1141" s="2"/>
      <c r="C1141" s="2"/>
      <c r="D1141" s="4"/>
      <c r="E1141" s="4"/>
      <c r="F1141" s="4"/>
      <c r="Q1141" s="3"/>
      <c r="R1141" s="3"/>
      <c r="S1141" s="3"/>
      <c r="T1141" s="3"/>
      <c r="U1141" s="3"/>
    </row>
    <row r="1142" spans="2:21" x14ac:dyDescent="0.25">
      <c r="B1142" s="2"/>
      <c r="C1142" s="2"/>
      <c r="D1142" s="4"/>
      <c r="E1142" s="4"/>
      <c r="F1142" s="4"/>
      <c r="Q1142" s="3"/>
      <c r="R1142" s="3"/>
      <c r="S1142" s="3"/>
      <c r="T1142" s="3"/>
      <c r="U1142" s="3"/>
    </row>
    <row r="1143" spans="2:21" x14ac:dyDescent="0.25">
      <c r="B1143" s="2"/>
      <c r="C1143" s="2"/>
      <c r="D1143" s="4"/>
      <c r="E1143" s="4"/>
      <c r="F1143" s="4"/>
      <c r="Q1143" s="3"/>
      <c r="R1143" s="3"/>
      <c r="S1143" s="3"/>
      <c r="T1143" s="3"/>
      <c r="U1143" s="3"/>
    </row>
    <row r="1144" spans="2:21" x14ac:dyDescent="0.25">
      <c r="B1144" s="2"/>
      <c r="C1144" s="2"/>
      <c r="D1144" s="4"/>
      <c r="E1144" s="4"/>
      <c r="F1144" s="4"/>
      <c r="Q1144" s="3"/>
      <c r="R1144" s="3"/>
      <c r="S1144" s="3"/>
      <c r="T1144" s="3"/>
      <c r="U1144" s="3"/>
    </row>
    <row r="1145" spans="2:21" x14ac:dyDescent="0.25">
      <c r="B1145" s="2"/>
      <c r="C1145" s="2"/>
      <c r="D1145" s="4"/>
      <c r="E1145" s="4"/>
      <c r="F1145" s="4"/>
      <c r="Q1145" s="3"/>
      <c r="R1145" s="3"/>
      <c r="S1145" s="3"/>
      <c r="T1145" s="3"/>
      <c r="U1145" s="3"/>
    </row>
    <row r="1146" spans="2:21" x14ac:dyDescent="0.25">
      <c r="B1146" s="2"/>
      <c r="C1146" s="2"/>
      <c r="D1146" s="4"/>
      <c r="E1146" s="4"/>
      <c r="F1146" s="4"/>
      <c r="Q1146" s="3"/>
      <c r="R1146" s="3"/>
      <c r="S1146" s="3"/>
      <c r="T1146" s="3"/>
      <c r="U1146" s="3"/>
    </row>
    <row r="1147" spans="2:21" x14ac:dyDescent="0.25">
      <c r="B1147" s="2"/>
      <c r="C1147" s="2"/>
      <c r="D1147" s="4"/>
      <c r="E1147" s="4"/>
      <c r="F1147" s="4"/>
      <c r="Q1147" s="3"/>
      <c r="R1147" s="3"/>
      <c r="S1147" s="3"/>
      <c r="T1147" s="3"/>
      <c r="U1147" s="3"/>
    </row>
    <row r="1148" spans="2:21" x14ac:dyDescent="0.25">
      <c r="B1148" s="2"/>
      <c r="C1148" s="2"/>
      <c r="D1148" s="4"/>
      <c r="E1148" s="4"/>
      <c r="F1148" s="4"/>
      <c r="Q1148" s="3"/>
      <c r="R1148" s="3"/>
      <c r="S1148" s="3"/>
      <c r="T1148" s="3"/>
      <c r="U1148" s="3"/>
    </row>
    <row r="1149" spans="2:21" x14ac:dyDescent="0.25">
      <c r="B1149" s="2"/>
      <c r="C1149" s="2"/>
      <c r="D1149" s="4"/>
      <c r="E1149" s="4"/>
      <c r="F1149" s="4"/>
      <c r="Q1149" s="3"/>
      <c r="R1149" s="3"/>
      <c r="S1149" s="3"/>
      <c r="T1149" s="3"/>
      <c r="U1149" s="3"/>
    </row>
    <row r="1150" spans="2:21" x14ac:dyDescent="0.25">
      <c r="B1150" s="2"/>
      <c r="C1150" s="2"/>
      <c r="D1150" s="4"/>
      <c r="E1150" s="4"/>
      <c r="F1150" s="4"/>
      <c r="Q1150" s="3"/>
      <c r="R1150" s="3"/>
      <c r="S1150" s="3"/>
      <c r="T1150" s="3"/>
      <c r="U1150" s="3"/>
    </row>
    <row r="1151" spans="2:21" x14ac:dyDescent="0.25">
      <c r="B1151" s="2"/>
      <c r="C1151" s="2"/>
      <c r="D1151" s="4"/>
      <c r="E1151" s="4"/>
      <c r="F1151" s="4"/>
      <c r="Q1151" s="3"/>
      <c r="R1151" s="3"/>
      <c r="S1151" s="3"/>
      <c r="T1151" s="3"/>
      <c r="U1151" s="3"/>
    </row>
    <row r="1152" spans="2:21" x14ac:dyDescent="0.25">
      <c r="B1152" s="2"/>
      <c r="C1152" s="2"/>
      <c r="D1152" s="4"/>
      <c r="E1152" s="4"/>
      <c r="F1152" s="4"/>
      <c r="Q1152" s="3"/>
      <c r="R1152" s="3"/>
      <c r="S1152" s="3"/>
      <c r="T1152" s="3"/>
      <c r="U1152" s="3"/>
    </row>
    <row r="1153" spans="2:21" x14ac:dyDescent="0.25">
      <c r="B1153" s="2"/>
      <c r="C1153" s="2"/>
      <c r="D1153" s="4"/>
      <c r="E1153" s="4"/>
      <c r="F1153" s="4"/>
      <c r="Q1153" s="3"/>
      <c r="R1153" s="3"/>
      <c r="S1153" s="3"/>
      <c r="T1153" s="3"/>
      <c r="U1153" s="3"/>
    </row>
    <row r="1154" spans="2:21" x14ac:dyDescent="0.25">
      <c r="B1154" s="2"/>
      <c r="C1154" s="2"/>
      <c r="D1154" s="4"/>
      <c r="E1154" s="4"/>
      <c r="F1154" s="4"/>
      <c r="Q1154" s="3"/>
      <c r="R1154" s="3"/>
      <c r="S1154" s="3"/>
      <c r="T1154" s="3"/>
      <c r="U1154" s="3"/>
    </row>
    <row r="1155" spans="2:21" x14ac:dyDescent="0.25">
      <c r="B1155" s="2"/>
      <c r="C1155" s="2"/>
      <c r="D1155" s="4"/>
      <c r="E1155" s="4"/>
      <c r="F1155" s="4"/>
      <c r="Q1155" s="3"/>
      <c r="R1155" s="3"/>
      <c r="S1155" s="3"/>
      <c r="T1155" s="3"/>
      <c r="U1155" s="3"/>
    </row>
    <row r="1156" spans="2:21" x14ac:dyDescent="0.25">
      <c r="B1156" s="2"/>
      <c r="C1156" s="2"/>
      <c r="D1156" s="4"/>
      <c r="E1156" s="4"/>
      <c r="F1156" s="4"/>
      <c r="Q1156" s="3"/>
      <c r="R1156" s="3"/>
      <c r="S1156" s="3"/>
      <c r="T1156" s="3"/>
      <c r="U1156" s="3"/>
    </row>
    <row r="1157" spans="2:21" x14ac:dyDescent="0.25">
      <c r="B1157" s="2"/>
      <c r="C1157" s="2"/>
      <c r="D1157" s="4"/>
      <c r="E1157" s="4"/>
      <c r="F1157" s="4"/>
      <c r="Q1157" s="3"/>
      <c r="R1157" s="3"/>
      <c r="S1157" s="3"/>
      <c r="T1157" s="3"/>
      <c r="U1157" s="3"/>
    </row>
    <row r="1158" spans="2:21" x14ac:dyDescent="0.25">
      <c r="B1158" s="2"/>
      <c r="C1158" s="2"/>
      <c r="D1158" s="4"/>
      <c r="E1158" s="4"/>
      <c r="F1158" s="4"/>
      <c r="Q1158" s="3"/>
      <c r="R1158" s="3"/>
      <c r="S1158" s="3"/>
      <c r="T1158" s="3"/>
      <c r="U1158" s="3"/>
    </row>
    <row r="1159" spans="2:21" x14ac:dyDescent="0.25">
      <c r="B1159" s="2"/>
      <c r="C1159" s="2"/>
      <c r="D1159" s="4"/>
      <c r="E1159" s="4"/>
      <c r="F1159" s="4"/>
      <c r="Q1159" s="3"/>
      <c r="R1159" s="3"/>
      <c r="S1159" s="3"/>
      <c r="T1159" s="3"/>
      <c r="U1159" s="3"/>
    </row>
    <row r="1160" spans="2:21" x14ac:dyDescent="0.25">
      <c r="B1160" s="2"/>
      <c r="C1160" s="2"/>
      <c r="D1160" s="4"/>
      <c r="E1160" s="4"/>
      <c r="F1160" s="4"/>
      <c r="Q1160" s="3"/>
      <c r="R1160" s="3"/>
      <c r="S1160" s="3"/>
      <c r="T1160" s="3"/>
      <c r="U1160" s="3"/>
    </row>
    <row r="1161" spans="2:21" x14ac:dyDescent="0.25">
      <c r="B1161" s="2"/>
      <c r="C1161" s="2"/>
      <c r="D1161" s="4"/>
      <c r="E1161" s="4"/>
      <c r="F1161" s="4"/>
      <c r="Q1161" s="3"/>
      <c r="R1161" s="3"/>
      <c r="S1161" s="3"/>
      <c r="T1161" s="3"/>
      <c r="U1161" s="3"/>
    </row>
    <row r="1162" spans="2:21" x14ac:dyDescent="0.25">
      <c r="B1162" s="2"/>
      <c r="C1162" s="2"/>
      <c r="D1162" s="4"/>
      <c r="E1162" s="4"/>
      <c r="F1162" s="4"/>
      <c r="Q1162" s="3"/>
      <c r="R1162" s="3"/>
      <c r="S1162" s="3"/>
      <c r="T1162" s="3"/>
      <c r="U1162" s="3"/>
    </row>
    <row r="1163" spans="2:21" x14ac:dyDescent="0.25">
      <c r="B1163" s="2"/>
      <c r="C1163" s="2"/>
      <c r="D1163" s="4"/>
      <c r="E1163" s="4"/>
      <c r="F1163" s="4"/>
      <c r="Q1163" s="3"/>
      <c r="R1163" s="3"/>
      <c r="S1163" s="3"/>
      <c r="T1163" s="3"/>
      <c r="U1163" s="3"/>
    </row>
    <row r="1164" spans="2:21" x14ac:dyDescent="0.25">
      <c r="B1164" s="2"/>
      <c r="C1164" s="2"/>
      <c r="D1164" s="4"/>
      <c r="E1164" s="4"/>
      <c r="F1164" s="4"/>
      <c r="Q1164" s="3"/>
      <c r="R1164" s="3"/>
      <c r="S1164" s="3"/>
      <c r="T1164" s="3"/>
      <c r="U1164" s="3"/>
    </row>
    <row r="1165" spans="2:21" x14ac:dyDescent="0.25">
      <c r="B1165" s="2"/>
      <c r="C1165" s="2"/>
      <c r="D1165" s="4"/>
      <c r="E1165" s="4"/>
      <c r="F1165" s="4"/>
      <c r="Q1165" s="3"/>
      <c r="R1165" s="3"/>
      <c r="S1165" s="3"/>
      <c r="T1165" s="3"/>
      <c r="U1165" s="3"/>
    </row>
    <row r="1166" spans="2:21" x14ac:dyDescent="0.25">
      <c r="B1166" s="2"/>
      <c r="C1166" s="2"/>
      <c r="D1166" s="4"/>
      <c r="E1166" s="4"/>
      <c r="F1166" s="4"/>
      <c r="Q1166" s="3"/>
      <c r="R1166" s="3"/>
      <c r="S1166" s="3"/>
      <c r="T1166" s="3"/>
      <c r="U1166" s="3"/>
    </row>
    <row r="1167" spans="2:21" x14ac:dyDescent="0.25">
      <c r="B1167" s="2"/>
      <c r="C1167" s="2"/>
      <c r="D1167" s="4"/>
      <c r="E1167" s="4"/>
      <c r="F1167" s="4"/>
      <c r="Q1167" s="3"/>
      <c r="R1167" s="3"/>
      <c r="S1167" s="3"/>
      <c r="T1167" s="3"/>
      <c r="U1167" s="3"/>
    </row>
    <row r="1168" spans="2:21" x14ac:dyDescent="0.25">
      <c r="B1168" s="2"/>
      <c r="C1168" s="2"/>
      <c r="D1168" s="4"/>
      <c r="E1168" s="4"/>
      <c r="F1168" s="4"/>
      <c r="Q1168" s="3"/>
      <c r="R1168" s="3"/>
      <c r="S1168" s="3"/>
      <c r="T1168" s="3"/>
      <c r="U1168" s="3"/>
    </row>
    <row r="1169" spans="2:21" x14ac:dyDescent="0.25">
      <c r="B1169" s="2"/>
      <c r="C1169" s="2"/>
      <c r="D1169" s="4"/>
      <c r="E1169" s="4"/>
      <c r="F1169" s="4"/>
      <c r="Q1169" s="3"/>
      <c r="R1169" s="3"/>
      <c r="S1169" s="3"/>
      <c r="T1169" s="3"/>
      <c r="U1169" s="3"/>
    </row>
    <row r="1170" spans="2:21" x14ac:dyDescent="0.25">
      <c r="B1170" s="2"/>
      <c r="C1170" s="2"/>
      <c r="D1170" s="4"/>
      <c r="E1170" s="4"/>
      <c r="F1170" s="4"/>
      <c r="Q1170" s="3"/>
      <c r="R1170" s="3"/>
      <c r="S1170" s="3"/>
      <c r="T1170" s="3"/>
      <c r="U1170" s="3"/>
    </row>
    <row r="1171" spans="2:21" x14ac:dyDescent="0.25">
      <c r="B1171" s="2"/>
      <c r="C1171" s="2"/>
      <c r="D1171" s="4"/>
      <c r="E1171" s="4"/>
      <c r="F1171" s="4"/>
      <c r="Q1171" s="3"/>
      <c r="R1171" s="3"/>
      <c r="S1171" s="3"/>
      <c r="T1171" s="3"/>
      <c r="U1171" s="3"/>
    </row>
    <row r="1172" spans="2:21" x14ac:dyDescent="0.25">
      <c r="B1172" s="2"/>
      <c r="C1172" s="2"/>
      <c r="D1172" s="4"/>
      <c r="E1172" s="4"/>
      <c r="F1172" s="4"/>
      <c r="Q1172" s="3"/>
      <c r="R1172" s="3"/>
      <c r="S1172" s="3"/>
      <c r="T1172" s="3"/>
      <c r="U1172" s="3"/>
    </row>
    <row r="1173" spans="2:21" x14ac:dyDescent="0.25">
      <c r="B1173" s="2"/>
      <c r="C1173" s="2"/>
      <c r="D1173" s="4"/>
      <c r="E1173" s="4"/>
      <c r="F1173" s="4"/>
      <c r="Q1173" s="3"/>
      <c r="R1173" s="3"/>
      <c r="S1173" s="3"/>
      <c r="T1173" s="3"/>
      <c r="U1173" s="3"/>
    </row>
    <row r="1174" spans="2:21" x14ac:dyDescent="0.25">
      <c r="B1174" s="2"/>
      <c r="C1174" s="2"/>
      <c r="D1174" s="4"/>
      <c r="E1174" s="4"/>
      <c r="F1174" s="4"/>
      <c r="Q1174" s="3"/>
      <c r="R1174" s="3"/>
      <c r="S1174" s="3"/>
      <c r="T1174" s="3"/>
      <c r="U1174" s="3"/>
    </row>
    <row r="1175" spans="2:21" x14ac:dyDescent="0.25">
      <c r="B1175" s="2"/>
      <c r="C1175" s="2"/>
      <c r="D1175" s="4"/>
      <c r="E1175" s="4"/>
      <c r="F1175" s="4"/>
      <c r="Q1175" s="3"/>
      <c r="R1175" s="3"/>
      <c r="S1175" s="3"/>
      <c r="T1175" s="3"/>
      <c r="U1175" s="3"/>
    </row>
    <row r="1176" spans="2:21" x14ac:dyDescent="0.25">
      <c r="B1176" s="2"/>
      <c r="C1176" s="2"/>
      <c r="D1176" s="4"/>
      <c r="E1176" s="4"/>
      <c r="F1176" s="4"/>
      <c r="Q1176" s="3"/>
      <c r="R1176" s="3"/>
      <c r="S1176" s="3"/>
      <c r="T1176" s="3"/>
      <c r="U1176" s="3"/>
    </row>
    <row r="1177" spans="2:21" x14ac:dyDescent="0.25">
      <c r="B1177" s="2"/>
      <c r="C1177" s="2"/>
      <c r="D1177" s="4"/>
      <c r="E1177" s="4"/>
      <c r="F1177" s="4"/>
      <c r="Q1177" s="3"/>
      <c r="R1177" s="3"/>
      <c r="S1177" s="3"/>
      <c r="T1177" s="3"/>
      <c r="U1177" s="3"/>
    </row>
    <row r="1178" spans="2:21" x14ac:dyDescent="0.25">
      <c r="B1178" s="2"/>
      <c r="C1178" s="2"/>
      <c r="D1178" s="4"/>
      <c r="E1178" s="4"/>
      <c r="F1178" s="4"/>
      <c r="Q1178" s="3"/>
      <c r="R1178" s="3"/>
      <c r="S1178" s="3"/>
      <c r="T1178" s="3"/>
      <c r="U1178" s="3"/>
    </row>
    <row r="1179" spans="2:21" x14ac:dyDescent="0.25">
      <c r="B1179" s="2"/>
      <c r="C1179" s="2"/>
      <c r="D1179" s="4"/>
      <c r="E1179" s="4"/>
      <c r="F1179" s="4"/>
      <c r="Q1179" s="3"/>
      <c r="R1179" s="3"/>
      <c r="S1179" s="3"/>
      <c r="T1179" s="3"/>
      <c r="U1179" s="3"/>
    </row>
    <row r="1180" spans="2:21" x14ac:dyDescent="0.25">
      <c r="B1180" s="2"/>
      <c r="C1180" s="2"/>
      <c r="D1180" s="4"/>
      <c r="E1180" s="4"/>
      <c r="F1180" s="4"/>
      <c r="Q1180" s="3"/>
      <c r="R1180" s="3"/>
      <c r="S1180" s="3"/>
      <c r="T1180" s="3"/>
      <c r="U1180" s="3"/>
    </row>
    <row r="1181" spans="2:21" x14ac:dyDescent="0.25">
      <c r="B1181" s="2"/>
      <c r="C1181" s="2"/>
      <c r="D1181" s="4"/>
      <c r="E1181" s="4"/>
      <c r="F1181" s="4"/>
      <c r="Q1181" s="3"/>
      <c r="R1181" s="3"/>
      <c r="S1181" s="3"/>
      <c r="T1181" s="3"/>
      <c r="U1181" s="3"/>
    </row>
    <row r="1182" spans="2:21" x14ac:dyDescent="0.25">
      <c r="B1182" s="2"/>
      <c r="C1182" s="2"/>
      <c r="D1182" s="4"/>
      <c r="E1182" s="4"/>
      <c r="F1182" s="4"/>
      <c r="Q1182" s="3"/>
      <c r="R1182" s="3"/>
      <c r="S1182" s="3"/>
      <c r="T1182" s="3"/>
      <c r="U1182" s="3"/>
    </row>
    <row r="1183" spans="2:21" x14ac:dyDescent="0.25">
      <c r="B1183" s="2"/>
      <c r="C1183" s="2"/>
      <c r="D1183" s="4"/>
      <c r="E1183" s="4"/>
      <c r="F1183" s="4"/>
      <c r="Q1183" s="3"/>
      <c r="R1183" s="3"/>
      <c r="S1183" s="3"/>
      <c r="T1183" s="3"/>
      <c r="U1183" s="3"/>
    </row>
    <row r="1184" spans="2:21" x14ac:dyDescent="0.25">
      <c r="B1184" s="2"/>
      <c r="C1184" s="2"/>
      <c r="D1184" s="4"/>
      <c r="E1184" s="4"/>
      <c r="F1184" s="4"/>
      <c r="Q1184" s="3"/>
      <c r="R1184" s="3"/>
      <c r="S1184" s="3"/>
      <c r="T1184" s="3"/>
      <c r="U1184" s="3"/>
    </row>
    <row r="1185" spans="2:21" x14ac:dyDescent="0.25">
      <c r="B1185" s="2"/>
      <c r="C1185" s="2"/>
      <c r="D1185" s="4"/>
      <c r="E1185" s="4"/>
      <c r="F1185" s="4"/>
      <c r="Q1185" s="3"/>
      <c r="R1185" s="3"/>
      <c r="S1185" s="3"/>
      <c r="T1185" s="3"/>
      <c r="U1185" s="3"/>
    </row>
    <row r="1186" spans="2:21" x14ac:dyDescent="0.25">
      <c r="B1186" s="2"/>
      <c r="C1186" s="2"/>
      <c r="D1186" s="4"/>
      <c r="E1186" s="4"/>
      <c r="F1186" s="4"/>
      <c r="Q1186" s="3"/>
      <c r="R1186" s="3"/>
      <c r="S1186" s="3"/>
      <c r="T1186" s="3"/>
      <c r="U1186" s="3"/>
    </row>
    <row r="1187" spans="2:21" x14ac:dyDescent="0.25">
      <c r="B1187" s="2"/>
      <c r="C1187" s="2"/>
      <c r="D1187" s="4"/>
      <c r="E1187" s="4"/>
      <c r="F1187" s="4"/>
      <c r="Q1187" s="3"/>
      <c r="R1187" s="3"/>
      <c r="S1187" s="3"/>
      <c r="T1187" s="3"/>
      <c r="U1187" s="3"/>
    </row>
    <row r="1188" spans="2:21" x14ac:dyDescent="0.25">
      <c r="B1188" s="2"/>
      <c r="C1188" s="2"/>
      <c r="D1188" s="4"/>
      <c r="E1188" s="4"/>
      <c r="F1188" s="4"/>
      <c r="Q1188" s="3"/>
      <c r="R1188" s="3"/>
      <c r="S1188" s="3"/>
      <c r="T1188" s="3"/>
      <c r="U1188" s="3"/>
    </row>
    <row r="1189" spans="2:21" x14ac:dyDescent="0.25">
      <c r="B1189" s="2"/>
      <c r="C1189" s="2"/>
      <c r="D1189" s="4"/>
      <c r="E1189" s="4"/>
      <c r="F1189" s="4"/>
      <c r="Q1189" s="3"/>
      <c r="R1189" s="3"/>
      <c r="S1189" s="3"/>
      <c r="T1189" s="3"/>
      <c r="U1189" s="3"/>
    </row>
    <row r="1190" spans="2:21" x14ac:dyDescent="0.25">
      <c r="B1190" s="2"/>
      <c r="C1190" s="2"/>
      <c r="D1190" s="4"/>
      <c r="E1190" s="4"/>
      <c r="F1190" s="4"/>
      <c r="Q1190" s="3"/>
      <c r="R1190" s="3"/>
      <c r="S1190" s="3"/>
      <c r="T1190" s="3"/>
      <c r="U1190" s="3"/>
    </row>
    <row r="1191" spans="2:21" x14ac:dyDescent="0.25">
      <c r="B1191" s="2"/>
      <c r="C1191" s="2"/>
      <c r="D1191" s="4"/>
      <c r="E1191" s="4"/>
      <c r="F1191" s="4"/>
      <c r="Q1191" s="3"/>
      <c r="R1191" s="3"/>
      <c r="S1191" s="3"/>
      <c r="T1191" s="3"/>
      <c r="U1191" s="3"/>
    </row>
    <row r="1192" spans="2:21" x14ac:dyDescent="0.25">
      <c r="B1192" s="2"/>
      <c r="C1192" s="2"/>
      <c r="D1192" s="4"/>
      <c r="E1192" s="4"/>
      <c r="F1192" s="4"/>
      <c r="Q1192" s="3"/>
      <c r="R1192" s="3"/>
      <c r="S1192" s="3"/>
      <c r="T1192" s="3"/>
      <c r="U1192" s="3"/>
    </row>
    <row r="1193" spans="2:21" x14ac:dyDescent="0.25">
      <c r="B1193" s="2"/>
      <c r="C1193" s="2"/>
      <c r="D1193" s="4"/>
      <c r="E1193" s="4"/>
      <c r="F1193" s="4"/>
      <c r="Q1193" s="3"/>
      <c r="R1193" s="3"/>
      <c r="S1193" s="3"/>
      <c r="T1193" s="3"/>
      <c r="U1193" s="3"/>
    </row>
    <row r="1194" spans="2:21" x14ac:dyDescent="0.25">
      <c r="B1194" s="2"/>
      <c r="C1194" s="2"/>
      <c r="D1194" s="4"/>
      <c r="E1194" s="4"/>
      <c r="F1194" s="4"/>
      <c r="Q1194" s="3"/>
      <c r="R1194" s="3"/>
      <c r="S1194" s="3"/>
      <c r="T1194" s="3"/>
      <c r="U1194" s="3"/>
    </row>
    <row r="1195" spans="2:21" x14ac:dyDescent="0.25">
      <c r="B1195" s="2"/>
      <c r="C1195" s="2"/>
      <c r="D1195" s="4"/>
      <c r="E1195" s="4"/>
      <c r="F1195" s="4"/>
      <c r="Q1195" s="3"/>
      <c r="R1195" s="3"/>
      <c r="S1195" s="3"/>
      <c r="T1195" s="3"/>
      <c r="U1195" s="3"/>
    </row>
    <row r="1196" spans="2:21" x14ac:dyDescent="0.25">
      <c r="B1196" s="2"/>
      <c r="C1196" s="2"/>
      <c r="D1196" s="4"/>
      <c r="E1196" s="4"/>
      <c r="F1196" s="4"/>
      <c r="Q1196" s="3"/>
      <c r="R1196" s="3"/>
      <c r="S1196" s="3"/>
      <c r="T1196" s="3"/>
      <c r="U1196" s="3"/>
    </row>
    <row r="1197" spans="2:21" x14ac:dyDescent="0.25">
      <c r="B1197" s="2"/>
      <c r="C1197" s="2"/>
      <c r="D1197" s="4"/>
      <c r="E1197" s="4"/>
      <c r="F1197" s="4"/>
      <c r="Q1197" s="3"/>
      <c r="R1197" s="3"/>
      <c r="S1197" s="3"/>
      <c r="T1197" s="3"/>
      <c r="U1197" s="3"/>
    </row>
    <row r="1198" spans="2:21" x14ac:dyDescent="0.25">
      <c r="B1198" s="2"/>
      <c r="C1198" s="2"/>
      <c r="D1198" s="4"/>
      <c r="E1198" s="4"/>
      <c r="F1198" s="4"/>
      <c r="Q1198" s="3"/>
      <c r="R1198" s="3"/>
      <c r="S1198" s="3"/>
      <c r="T1198" s="3"/>
      <c r="U1198" s="3"/>
    </row>
    <row r="1199" spans="2:21" x14ac:dyDescent="0.25">
      <c r="B1199" s="2"/>
      <c r="C1199" s="2"/>
      <c r="D1199" s="4"/>
      <c r="E1199" s="4"/>
      <c r="F1199" s="4"/>
      <c r="Q1199" s="3"/>
      <c r="R1199" s="3"/>
      <c r="S1199" s="3"/>
      <c r="T1199" s="3"/>
      <c r="U1199" s="3"/>
    </row>
    <row r="1200" spans="2:21" x14ac:dyDescent="0.25">
      <c r="B1200" s="2"/>
      <c r="C1200" s="2"/>
      <c r="D1200" s="4"/>
      <c r="E1200" s="4"/>
      <c r="F1200" s="4"/>
      <c r="Q1200" s="3"/>
      <c r="R1200" s="3"/>
      <c r="S1200" s="3"/>
      <c r="T1200" s="3"/>
      <c r="U1200" s="3"/>
    </row>
    <row r="1201" spans="2:21" x14ac:dyDescent="0.25">
      <c r="B1201" s="2"/>
      <c r="C1201" s="2"/>
      <c r="D1201" s="4"/>
      <c r="E1201" s="4"/>
      <c r="F1201" s="4"/>
      <c r="Q1201" s="3"/>
      <c r="R1201" s="3"/>
      <c r="S1201" s="3"/>
      <c r="T1201" s="3"/>
      <c r="U1201" s="3"/>
    </row>
    <row r="1202" spans="2:21" x14ac:dyDescent="0.25">
      <c r="B1202" s="2"/>
      <c r="C1202" s="2"/>
      <c r="D1202" s="4"/>
      <c r="E1202" s="4"/>
      <c r="F1202" s="4"/>
      <c r="Q1202" s="3"/>
      <c r="R1202" s="3"/>
      <c r="S1202" s="3"/>
      <c r="T1202" s="3"/>
      <c r="U1202" s="3"/>
    </row>
    <row r="1203" spans="2:21" x14ac:dyDescent="0.25">
      <c r="B1203" s="2"/>
      <c r="C1203" s="2"/>
      <c r="D1203" s="4"/>
      <c r="E1203" s="4"/>
      <c r="F1203" s="4"/>
      <c r="Q1203" s="3"/>
      <c r="R1203" s="3"/>
      <c r="S1203" s="3"/>
      <c r="T1203" s="3"/>
      <c r="U1203" s="3"/>
    </row>
    <row r="1204" spans="2:21" x14ac:dyDescent="0.25">
      <c r="B1204" s="2"/>
      <c r="C1204" s="2"/>
      <c r="D1204" s="4"/>
      <c r="E1204" s="4"/>
      <c r="F1204" s="4"/>
      <c r="Q1204" s="3"/>
      <c r="R1204" s="3"/>
      <c r="S1204" s="3"/>
      <c r="T1204" s="3"/>
      <c r="U1204" s="3"/>
    </row>
    <row r="1205" spans="2:21" x14ac:dyDescent="0.25">
      <c r="B1205" s="2"/>
      <c r="C1205" s="2"/>
      <c r="D1205" s="4"/>
      <c r="E1205" s="4"/>
      <c r="F1205" s="4"/>
      <c r="Q1205" s="3"/>
      <c r="R1205" s="3"/>
      <c r="S1205" s="3"/>
      <c r="T1205" s="3"/>
      <c r="U1205" s="3"/>
    </row>
    <row r="1206" spans="2:21" x14ac:dyDescent="0.25">
      <c r="B1206" s="2"/>
      <c r="C1206" s="2"/>
      <c r="D1206" s="4"/>
      <c r="E1206" s="4"/>
      <c r="F1206" s="4"/>
      <c r="Q1206" s="3"/>
      <c r="R1206" s="3"/>
      <c r="S1206" s="3"/>
      <c r="T1206" s="3"/>
      <c r="U1206" s="3"/>
    </row>
    <row r="1207" spans="2:21" x14ac:dyDescent="0.25">
      <c r="B1207" s="2"/>
      <c r="C1207" s="2"/>
      <c r="D1207" s="4"/>
      <c r="E1207" s="4"/>
      <c r="F1207" s="4"/>
      <c r="Q1207" s="3"/>
      <c r="R1207" s="3"/>
      <c r="S1207" s="3"/>
      <c r="T1207" s="3"/>
      <c r="U1207" s="3"/>
    </row>
    <row r="1208" spans="2:21" x14ac:dyDescent="0.25">
      <c r="B1208" s="2"/>
      <c r="C1208" s="2"/>
      <c r="D1208" s="4"/>
      <c r="E1208" s="4"/>
      <c r="F1208" s="4"/>
      <c r="Q1208" s="3"/>
      <c r="R1208" s="3"/>
      <c r="S1208" s="3"/>
      <c r="T1208" s="3"/>
      <c r="U1208" s="3"/>
    </row>
    <row r="1209" spans="2:21" x14ac:dyDescent="0.25">
      <c r="B1209" s="2"/>
      <c r="C1209" s="2"/>
      <c r="D1209" s="4"/>
      <c r="E1209" s="4"/>
      <c r="F1209" s="4"/>
      <c r="Q1209" s="3"/>
      <c r="R1209" s="3"/>
      <c r="S1209" s="3"/>
      <c r="T1209" s="3"/>
      <c r="U1209" s="3"/>
    </row>
    <row r="1210" spans="2:21" x14ac:dyDescent="0.25">
      <c r="B1210" s="2"/>
      <c r="C1210" s="2"/>
      <c r="D1210" s="4"/>
      <c r="E1210" s="4"/>
      <c r="F1210" s="4"/>
      <c r="Q1210" s="3"/>
      <c r="R1210" s="3"/>
      <c r="S1210" s="3"/>
      <c r="T1210" s="3"/>
      <c r="U1210" s="3"/>
    </row>
    <row r="1211" spans="2:21" x14ac:dyDescent="0.25">
      <c r="B1211" s="2"/>
      <c r="C1211" s="2"/>
      <c r="D1211" s="4"/>
      <c r="E1211" s="4"/>
      <c r="F1211" s="4"/>
      <c r="Q1211" s="3"/>
      <c r="R1211" s="3"/>
      <c r="S1211" s="3"/>
      <c r="T1211" s="3"/>
      <c r="U1211" s="3"/>
    </row>
    <row r="1212" spans="2:21" x14ac:dyDescent="0.25">
      <c r="B1212" s="2"/>
      <c r="C1212" s="2"/>
      <c r="D1212" s="4"/>
      <c r="E1212" s="4"/>
      <c r="F1212" s="4"/>
      <c r="Q1212" s="3"/>
      <c r="R1212" s="3"/>
      <c r="S1212" s="3"/>
      <c r="T1212" s="3"/>
      <c r="U1212" s="3"/>
    </row>
    <row r="1213" spans="2:21" x14ac:dyDescent="0.25">
      <c r="B1213" s="2"/>
      <c r="C1213" s="2"/>
      <c r="D1213" s="4"/>
      <c r="E1213" s="4"/>
      <c r="F1213" s="4"/>
      <c r="Q1213" s="3"/>
      <c r="R1213" s="3"/>
      <c r="S1213" s="3"/>
      <c r="T1213" s="3"/>
      <c r="U1213" s="3"/>
    </row>
    <row r="1214" spans="2:21" x14ac:dyDescent="0.25">
      <c r="B1214" s="2"/>
      <c r="C1214" s="2"/>
      <c r="D1214" s="4"/>
      <c r="E1214" s="4"/>
      <c r="F1214" s="4"/>
      <c r="Q1214" s="3"/>
      <c r="R1214" s="3"/>
      <c r="S1214" s="3"/>
      <c r="T1214" s="3"/>
      <c r="U1214" s="3"/>
    </row>
    <row r="1215" spans="2:21" x14ac:dyDescent="0.25">
      <c r="B1215" s="2"/>
      <c r="C1215" s="2"/>
      <c r="D1215" s="4"/>
      <c r="E1215" s="4"/>
      <c r="F1215" s="4"/>
      <c r="Q1215" s="3"/>
      <c r="R1215" s="3"/>
      <c r="S1215" s="3"/>
      <c r="T1215" s="3"/>
      <c r="U1215" s="3"/>
    </row>
    <row r="1216" spans="2:21" x14ac:dyDescent="0.25">
      <c r="B1216" s="2"/>
      <c r="C1216" s="2"/>
      <c r="D1216" s="4"/>
      <c r="E1216" s="4"/>
      <c r="F1216" s="4"/>
      <c r="Q1216" s="3"/>
      <c r="R1216" s="3"/>
      <c r="S1216" s="3"/>
      <c r="T1216" s="3"/>
      <c r="U1216" s="3"/>
    </row>
    <row r="1217" spans="2:21" x14ac:dyDescent="0.25">
      <c r="B1217" s="2"/>
      <c r="C1217" s="2"/>
      <c r="D1217" s="4"/>
      <c r="E1217" s="4"/>
      <c r="F1217" s="4"/>
      <c r="Q1217" s="3"/>
      <c r="R1217" s="3"/>
      <c r="S1217" s="3"/>
      <c r="T1217" s="3"/>
      <c r="U1217" s="3"/>
    </row>
    <row r="1218" spans="2:21" x14ac:dyDescent="0.25">
      <c r="B1218" s="2"/>
      <c r="C1218" s="2"/>
      <c r="D1218" s="4"/>
      <c r="E1218" s="4"/>
      <c r="F1218" s="4"/>
      <c r="Q1218" s="3"/>
      <c r="R1218" s="3"/>
      <c r="S1218" s="3"/>
      <c r="T1218" s="3"/>
      <c r="U1218" s="3"/>
    </row>
    <row r="1219" spans="2:21" x14ac:dyDescent="0.25">
      <c r="B1219" s="2"/>
      <c r="C1219" s="2"/>
      <c r="D1219" s="4"/>
      <c r="E1219" s="4"/>
      <c r="F1219" s="4"/>
      <c r="Q1219" s="3"/>
      <c r="R1219" s="3"/>
      <c r="S1219" s="3"/>
      <c r="T1219" s="3"/>
      <c r="U1219" s="3"/>
    </row>
    <row r="1220" spans="2:21" x14ac:dyDescent="0.25">
      <c r="B1220" s="2"/>
      <c r="C1220" s="2"/>
      <c r="D1220" s="4"/>
      <c r="E1220" s="4"/>
      <c r="F1220" s="4"/>
      <c r="Q1220" s="3"/>
      <c r="R1220" s="3"/>
      <c r="S1220" s="3"/>
      <c r="T1220" s="3"/>
      <c r="U1220" s="3"/>
    </row>
    <row r="1221" spans="2:21" x14ac:dyDescent="0.25">
      <c r="B1221" s="2"/>
      <c r="C1221" s="2"/>
      <c r="D1221" s="4"/>
      <c r="E1221" s="4"/>
      <c r="F1221" s="4"/>
      <c r="Q1221" s="3"/>
      <c r="R1221" s="3"/>
      <c r="S1221" s="3"/>
      <c r="T1221" s="3"/>
      <c r="U1221" s="3"/>
    </row>
    <row r="1222" spans="2:21" x14ac:dyDescent="0.25">
      <c r="B1222" s="2"/>
      <c r="C1222" s="2"/>
      <c r="D1222" s="4"/>
      <c r="E1222" s="4"/>
      <c r="F1222" s="4"/>
      <c r="Q1222" s="3"/>
      <c r="R1222" s="3"/>
      <c r="S1222" s="3"/>
      <c r="T1222" s="3"/>
      <c r="U1222" s="3"/>
    </row>
    <row r="1223" spans="2:21" x14ac:dyDescent="0.25">
      <c r="B1223" s="2"/>
      <c r="C1223" s="2"/>
      <c r="D1223" s="4"/>
      <c r="E1223" s="4"/>
      <c r="F1223" s="4"/>
      <c r="Q1223" s="3"/>
      <c r="R1223" s="3"/>
      <c r="S1223" s="3"/>
      <c r="T1223" s="3"/>
      <c r="U1223" s="3"/>
    </row>
    <row r="1224" spans="2:21" x14ac:dyDescent="0.25">
      <c r="B1224" s="2"/>
      <c r="C1224" s="2"/>
      <c r="D1224" s="4"/>
      <c r="E1224" s="4"/>
      <c r="F1224" s="4"/>
      <c r="Q1224" s="3"/>
      <c r="R1224" s="3"/>
      <c r="S1224" s="3"/>
      <c r="T1224" s="3"/>
      <c r="U1224" s="3"/>
    </row>
    <row r="1225" spans="2:21" x14ac:dyDescent="0.25">
      <c r="B1225" s="2"/>
      <c r="C1225" s="2"/>
      <c r="D1225" s="4"/>
      <c r="E1225" s="4"/>
      <c r="F1225" s="4"/>
      <c r="Q1225" s="3"/>
      <c r="R1225" s="3"/>
      <c r="S1225" s="3"/>
      <c r="T1225" s="3"/>
      <c r="U1225" s="3"/>
    </row>
    <row r="1226" spans="2:21" x14ac:dyDescent="0.25">
      <c r="B1226" s="2"/>
      <c r="C1226" s="2"/>
      <c r="D1226" s="4"/>
      <c r="E1226" s="4"/>
      <c r="F1226" s="4"/>
      <c r="Q1226" s="3"/>
      <c r="R1226" s="3"/>
      <c r="S1226" s="3"/>
      <c r="T1226" s="3"/>
      <c r="U1226" s="3"/>
    </row>
    <row r="1227" spans="2:21" x14ac:dyDescent="0.25">
      <c r="B1227" s="2"/>
      <c r="C1227" s="2"/>
      <c r="D1227" s="4"/>
      <c r="E1227" s="4"/>
      <c r="F1227" s="4"/>
      <c r="Q1227" s="3"/>
      <c r="R1227" s="3"/>
      <c r="S1227" s="3"/>
      <c r="T1227" s="3"/>
      <c r="U1227" s="3"/>
    </row>
    <row r="1228" spans="2:21" x14ac:dyDescent="0.25">
      <c r="B1228" s="2"/>
      <c r="C1228" s="2"/>
      <c r="D1228" s="4"/>
      <c r="E1228" s="4"/>
      <c r="F1228" s="4"/>
      <c r="Q1228" s="3"/>
      <c r="R1228" s="3"/>
      <c r="S1228" s="3"/>
      <c r="T1228" s="3"/>
      <c r="U1228" s="3"/>
    </row>
    <row r="1229" spans="2:21" x14ac:dyDescent="0.25">
      <c r="B1229" s="2"/>
      <c r="C1229" s="2"/>
      <c r="D1229" s="4"/>
      <c r="E1229" s="4"/>
      <c r="F1229" s="4"/>
      <c r="Q1229" s="3"/>
      <c r="R1229" s="3"/>
      <c r="S1229" s="3"/>
      <c r="T1229" s="3"/>
      <c r="U1229" s="3"/>
    </row>
    <row r="1230" spans="2:21" x14ac:dyDescent="0.25">
      <c r="B1230" s="2"/>
      <c r="C1230" s="2"/>
      <c r="D1230" s="4"/>
      <c r="E1230" s="4"/>
      <c r="F1230" s="4"/>
      <c r="Q1230" s="3"/>
      <c r="R1230" s="3"/>
      <c r="S1230" s="3"/>
      <c r="T1230" s="3"/>
      <c r="U1230" s="3"/>
    </row>
    <row r="1231" spans="2:21" x14ac:dyDescent="0.25">
      <c r="B1231" s="2"/>
      <c r="C1231" s="2"/>
      <c r="D1231" s="4"/>
      <c r="E1231" s="4"/>
      <c r="F1231" s="4"/>
      <c r="Q1231" s="3"/>
      <c r="R1231" s="3"/>
      <c r="S1231" s="3"/>
      <c r="T1231" s="3"/>
      <c r="U1231" s="3"/>
    </row>
    <row r="1232" spans="2:21" x14ac:dyDescent="0.25">
      <c r="B1232" s="2"/>
      <c r="C1232" s="2"/>
      <c r="D1232" s="4"/>
      <c r="E1232" s="4"/>
      <c r="F1232" s="4"/>
      <c r="Q1232" s="3"/>
      <c r="R1232" s="3"/>
      <c r="S1232" s="3"/>
      <c r="T1232" s="3"/>
      <c r="U1232" s="3"/>
    </row>
    <row r="1233" spans="2:21" x14ac:dyDescent="0.25">
      <c r="B1233" s="2"/>
      <c r="C1233" s="2"/>
      <c r="D1233" s="4"/>
      <c r="E1233" s="4"/>
      <c r="F1233" s="4"/>
      <c r="Q1233" s="3"/>
      <c r="R1233" s="3"/>
      <c r="S1233" s="3"/>
      <c r="T1233" s="3"/>
      <c r="U1233" s="3"/>
    </row>
    <row r="1234" spans="2:21" x14ac:dyDescent="0.25">
      <c r="B1234" s="2"/>
      <c r="C1234" s="2"/>
      <c r="D1234" s="4"/>
      <c r="E1234" s="4"/>
      <c r="F1234" s="4"/>
      <c r="Q1234" s="3"/>
      <c r="R1234" s="3"/>
      <c r="S1234" s="3"/>
      <c r="T1234" s="3"/>
      <c r="U1234" s="3"/>
    </row>
    <row r="1235" spans="2:21" x14ac:dyDescent="0.25">
      <c r="B1235" s="2"/>
      <c r="C1235" s="2"/>
      <c r="D1235" s="4"/>
      <c r="E1235" s="4"/>
      <c r="F1235" s="4"/>
      <c r="Q1235" s="3"/>
      <c r="R1235" s="3"/>
      <c r="S1235" s="3"/>
      <c r="T1235" s="3"/>
      <c r="U1235" s="3"/>
    </row>
    <row r="1236" spans="2:21" x14ac:dyDescent="0.25">
      <c r="B1236" s="2"/>
      <c r="C1236" s="2"/>
      <c r="D1236" s="4"/>
      <c r="E1236" s="4"/>
      <c r="F1236" s="4"/>
      <c r="Q1236" s="3"/>
      <c r="R1236" s="3"/>
      <c r="S1236" s="3"/>
      <c r="T1236" s="3"/>
      <c r="U1236" s="3"/>
    </row>
    <row r="1237" spans="2:21" x14ac:dyDescent="0.25">
      <c r="B1237" s="2"/>
      <c r="C1237" s="2"/>
      <c r="D1237" s="4"/>
      <c r="E1237" s="4"/>
      <c r="F1237" s="4"/>
      <c r="Q1237" s="3"/>
      <c r="R1237" s="3"/>
      <c r="S1237" s="3"/>
      <c r="T1237" s="3"/>
      <c r="U1237" s="3"/>
    </row>
    <row r="1238" spans="2:21" x14ac:dyDescent="0.25">
      <c r="B1238" s="2"/>
      <c r="C1238" s="2"/>
      <c r="D1238" s="4"/>
      <c r="E1238" s="4"/>
      <c r="F1238" s="4"/>
      <c r="Q1238" s="3"/>
      <c r="R1238" s="3"/>
      <c r="S1238" s="3"/>
      <c r="T1238" s="3"/>
      <c r="U1238" s="3"/>
    </row>
    <row r="1239" spans="2:21" x14ac:dyDescent="0.25">
      <c r="B1239" s="2"/>
      <c r="C1239" s="2"/>
      <c r="D1239" s="4"/>
      <c r="E1239" s="4"/>
      <c r="F1239" s="4"/>
      <c r="Q1239" s="3"/>
      <c r="R1239" s="3"/>
      <c r="S1239" s="3"/>
      <c r="T1239" s="3"/>
      <c r="U1239" s="3"/>
    </row>
    <row r="1240" spans="2:21" x14ac:dyDescent="0.25">
      <c r="B1240" s="2"/>
      <c r="C1240" s="2"/>
      <c r="D1240" s="4"/>
      <c r="E1240" s="4"/>
      <c r="F1240" s="4"/>
      <c r="Q1240" s="3"/>
      <c r="R1240" s="3"/>
      <c r="S1240" s="3"/>
      <c r="T1240" s="3"/>
      <c r="U1240" s="3"/>
    </row>
    <row r="1241" spans="2:21" x14ac:dyDescent="0.25">
      <c r="B1241" s="2"/>
      <c r="C1241" s="2"/>
      <c r="D1241" s="4"/>
      <c r="E1241" s="4"/>
      <c r="F1241" s="4"/>
      <c r="Q1241" s="3"/>
      <c r="R1241" s="3"/>
      <c r="S1241" s="3"/>
      <c r="T1241" s="3"/>
      <c r="U1241" s="3"/>
    </row>
    <row r="1242" spans="2:21" x14ac:dyDescent="0.25">
      <c r="B1242" s="2"/>
      <c r="C1242" s="2"/>
      <c r="D1242" s="4"/>
      <c r="E1242" s="4"/>
      <c r="F1242" s="4"/>
      <c r="Q1242" s="3"/>
      <c r="R1242" s="3"/>
      <c r="S1242" s="3"/>
      <c r="T1242" s="3"/>
      <c r="U1242" s="3"/>
    </row>
    <row r="1243" spans="2:21" x14ac:dyDescent="0.25">
      <c r="B1243" s="2"/>
      <c r="C1243" s="2"/>
      <c r="D1243" s="4"/>
      <c r="E1243" s="4"/>
      <c r="F1243" s="4"/>
      <c r="Q1243" s="3"/>
      <c r="R1243" s="3"/>
      <c r="S1243" s="3"/>
      <c r="T1243" s="3"/>
      <c r="U1243" s="3"/>
    </row>
    <row r="1244" spans="2:21" x14ac:dyDescent="0.25">
      <c r="B1244" s="2"/>
      <c r="C1244" s="2"/>
      <c r="D1244" s="4"/>
      <c r="E1244" s="4"/>
      <c r="F1244" s="4"/>
      <c r="Q1244" s="3"/>
      <c r="R1244" s="3"/>
      <c r="S1244" s="3"/>
      <c r="T1244" s="3"/>
      <c r="U1244" s="3"/>
    </row>
    <row r="1245" spans="2:21" x14ac:dyDescent="0.25">
      <c r="B1245" s="2"/>
      <c r="C1245" s="2"/>
      <c r="D1245" s="4"/>
      <c r="E1245" s="4"/>
      <c r="F1245" s="4"/>
      <c r="Q1245" s="3"/>
      <c r="R1245" s="3"/>
      <c r="S1245" s="3"/>
      <c r="T1245" s="3"/>
      <c r="U1245" s="3"/>
    </row>
    <row r="1246" spans="2:21" x14ac:dyDescent="0.25">
      <c r="B1246" s="2"/>
      <c r="C1246" s="2"/>
      <c r="D1246" s="4"/>
      <c r="E1246" s="4"/>
      <c r="F1246" s="4"/>
      <c r="Q1246" s="3"/>
      <c r="R1246" s="3"/>
      <c r="S1246" s="3"/>
      <c r="T1246" s="3"/>
      <c r="U1246" s="3"/>
    </row>
    <row r="1247" spans="2:21" x14ac:dyDescent="0.25">
      <c r="B1247" s="2"/>
      <c r="C1247" s="2"/>
      <c r="D1247" s="4"/>
      <c r="E1247" s="4"/>
      <c r="F1247" s="4"/>
      <c r="Q1247" s="3"/>
      <c r="R1247" s="3"/>
      <c r="S1247" s="3"/>
      <c r="T1247" s="3"/>
      <c r="U1247" s="3"/>
    </row>
    <row r="1248" spans="2:21" x14ac:dyDescent="0.25">
      <c r="B1248" s="2"/>
      <c r="C1248" s="2"/>
      <c r="D1248" s="4"/>
      <c r="E1248" s="4"/>
      <c r="F1248" s="4"/>
      <c r="Q1248" s="3"/>
      <c r="R1248" s="3"/>
      <c r="S1248" s="3"/>
      <c r="T1248" s="3"/>
      <c r="U1248" s="3"/>
    </row>
    <row r="1249" spans="2:21" x14ac:dyDescent="0.25">
      <c r="B1249" s="2"/>
      <c r="C1249" s="2"/>
      <c r="D1249" s="4"/>
      <c r="E1249" s="4"/>
      <c r="F1249" s="4"/>
      <c r="Q1249" s="3"/>
      <c r="R1249" s="3"/>
      <c r="S1249" s="3"/>
      <c r="T1249" s="3"/>
      <c r="U1249" s="3"/>
    </row>
    <row r="1250" spans="2:21" x14ac:dyDescent="0.25">
      <c r="B1250" s="2"/>
      <c r="C1250" s="2"/>
      <c r="D1250" s="4"/>
      <c r="E1250" s="4"/>
      <c r="F1250" s="4"/>
      <c r="Q1250" s="3"/>
      <c r="R1250" s="3"/>
      <c r="S1250" s="3"/>
      <c r="T1250" s="3"/>
      <c r="U1250" s="3"/>
    </row>
    <row r="1251" spans="2:21" x14ac:dyDescent="0.25">
      <c r="B1251" s="2"/>
      <c r="C1251" s="2"/>
      <c r="D1251" s="4"/>
      <c r="E1251" s="4"/>
      <c r="F1251" s="4"/>
      <c r="Q1251" s="3"/>
      <c r="R1251" s="3"/>
      <c r="S1251" s="3"/>
      <c r="T1251" s="3"/>
      <c r="U1251" s="3"/>
    </row>
    <row r="1252" spans="2:21" x14ac:dyDescent="0.25">
      <c r="B1252" s="2"/>
      <c r="C1252" s="2"/>
      <c r="D1252" s="4"/>
      <c r="E1252" s="4"/>
      <c r="F1252" s="4"/>
      <c r="Q1252" s="3"/>
      <c r="R1252" s="3"/>
      <c r="S1252" s="3"/>
      <c r="T1252" s="3"/>
      <c r="U1252" s="3"/>
    </row>
    <row r="1253" spans="2:21" x14ac:dyDescent="0.25">
      <c r="B1253" s="2"/>
      <c r="C1253" s="2"/>
      <c r="D1253" s="4"/>
      <c r="E1253" s="4"/>
      <c r="F1253" s="4"/>
      <c r="Q1253" s="3"/>
      <c r="R1253" s="3"/>
      <c r="S1253" s="3"/>
      <c r="T1253" s="3"/>
      <c r="U1253" s="3"/>
    </row>
    <row r="1254" spans="2:21" x14ac:dyDescent="0.25">
      <c r="B1254" s="2"/>
      <c r="C1254" s="2"/>
      <c r="D1254" s="4"/>
      <c r="E1254" s="4"/>
      <c r="F1254" s="4"/>
      <c r="Q1254" s="3"/>
      <c r="R1254" s="3"/>
      <c r="S1254" s="3"/>
      <c r="T1254" s="3"/>
      <c r="U1254" s="3"/>
    </row>
    <row r="1255" spans="2:21" x14ac:dyDescent="0.25">
      <c r="B1255" s="2"/>
      <c r="C1255" s="2"/>
      <c r="D1255" s="4"/>
      <c r="E1255" s="4"/>
      <c r="F1255" s="4"/>
      <c r="Q1255" s="3"/>
      <c r="R1255" s="3"/>
      <c r="S1255" s="3"/>
      <c r="T1255" s="3"/>
      <c r="U1255" s="3"/>
    </row>
    <row r="1256" spans="2:21" x14ac:dyDescent="0.25">
      <c r="B1256" s="2"/>
      <c r="C1256" s="2"/>
      <c r="D1256" s="4"/>
      <c r="E1256" s="4"/>
      <c r="F1256" s="4"/>
      <c r="Q1256" s="3"/>
      <c r="R1256" s="3"/>
      <c r="S1256" s="3"/>
      <c r="T1256" s="3"/>
      <c r="U1256" s="3"/>
    </row>
    <row r="1257" spans="2:21" x14ac:dyDescent="0.25">
      <c r="B1257" s="2"/>
      <c r="C1257" s="2"/>
      <c r="D1257" s="4"/>
      <c r="E1257" s="4"/>
      <c r="F1257" s="4"/>
      <c r="Q1257" s="3"/>
      <c r="R1257" s="3"/>
      <c r="S1257" s="3"/>
      <c r="T1257" s="3"/>
      <c r="U1257" s="3"/>
    </row>
    <row r="1258" spans="2:21" x14ac:dyDescent="0.25">
      <c r="B1258" s="2"/>
      <c r="C1258" s="2"/>
      <c r="D1258" s="4"/>
      <c r="E1258" s="4"/>
      <c r="F1258" s="4"/>
      <c r="Q1258" s="3"/>
      <c r="R1258" s="3"/>
      <c r="S1258" s="3"/>
      <c r="T1258" s="3"/>
      <c r="U1258" s="3"/>
    </row>
    <row r="1259" spans="2:21" x14ac:dyDescent="0.25">
      <c r="B1259" s="2"/>
      <c r="C1259" s="2"/>
      <c r="D1259" s="4"/>
      <c r="E1259" s="4"/>
      <c r="F1259" s="4"/>
      <c r="Q1259" s="3"/>
      <c r="R1259" s="3"/>
      <c r="S1259" s="3"/>
      <c r="T1259" s="3"/>
      <c r="U1259" s="3"/>
    </row>
    <row r="1260" spans="2:21" x14ac:dyDescent="0.25">
      <c r="B1260" s="2"/>
      <c r="C1260" s="2"/>
      <c r="D1260" s="4"/>
      <c r="E1260" s="4"/>
      <c r="F1260" s="4"/>
      <c r="Q1260" s="3"/>
      <c r="R1260" s="3"/>
      <c r="S1260" s="3"/>
      <c r="T1260" s="3"/>
      <c r="U1260" s="3"/>
    </row>
    <row r="1261" spans="2:21" x14ac:dyDescent="0.25">
      <c r="B1261" s="2"/>
      <c r="C1261" s="2"/>
      <c r="D1261" s="4"/>
      <c r="E1261" s="4"/>
      <c r="F1261" s="4"/>
      <c r="Q1261" s="3"/>
      <c r="R1261" s="3"/>
      <c r="S1261" s="3"/>
      <c r="T1261" s="3"/>
      <c r="U1261" s="3"/>
    </row>
    <row r="1262" spans="2:21" x14ac:dyDescent="0.25">
      <c r="B1262" s="2"/>
      <c r="C1262" s="2"/>
      <c r="D1262" s="4"/>
      <c r="E1262" s="4"/>
      <c r="F1262" s="4"/>
      <c r="Q1262" s="3"/>
      <c r="R1262" s="3"/>
      <c r="S1262" s="3"/>
      <c r="T1262" s="3"/>
      <c r="U1262" s="3"/>
    </row>
    <row r="1263" spans="2:21" x14ac:dyDescent="0.25">
      <c r="B1263" s="2"/>
      <c r="C1263" s="2"/>
      <c r="D1263" s="4"/>
      <c r="E1263" s="4"/>
      <c r="F1263" s="4"/>
      <c r="Q1263" s="3"/>
      <c r="R1263" s="3"/>
      <c r="S1263" s="3"/>
      <c r="T1263" s="3"/>
      <c r="U1263" s="3"/>
    </row>
    <row r="1264" spans="2:21" x14ac:dyDescent="0.25">
      <c r="B1264" s="2"/>
      <c r="C1264" s="2"/>
      <c r="D1264" s="4"/>
      <c r="E1264" s="4"/>
      <c r="F1264" s="4"/>
      <c r="Q1264" s="3"/>
      <c r="R1264" s="3"/>
      <c r="S1264" s="3"/>
      <c r="T1264" s="3"/>
      <c r="U1264" s="3"/>
    </row>
    <row r="1265" spans="2:21" x14ac:dyDescent="0.25">
      <c r="B1265" s="2"/>
      <c r="C1265" s="2"/>
      <c r="D1265" s="4"/>
      <c r="E1265" s="4"/>
      <c r="F1265" s="4"/>
      <c r="Q1265" s="3"/>
      <c r="R1265" s="3"/>
      <c r="S1265" s="3"/>
      <c r="T1265" s="3"/>
      <c r="U1265" s="3"/>
    </row>
    <row r="1266" spans="2:21" x14ac:dyDescent="0.25">
      <c r="B1266" s="2"/>
      <c r="C1266" s="2"/>
      <c r="D1266" s="4"/>
      <c r="E1266" s="4"/>
      <c r="F1266" s="4"/>
      <c r="Q1266" s="3"/>
      <c r="R1266" s="3"/>
      <c r="S1266" s="3"/>
      <c r="T1266" s="3"/>
      <c r="U1266" s="3"/>
    </row>
    <row r="1267" spans="2:21" x14ac:dyDescent="0.25">
      <c r="B1267" s="2"/>
      <c r="C1267" s="2"/>
      <c r="D1267" s="4"/>
      <c r="E1267" s="4"/>
      <c r="F1267" s="4"/>
      <c r="Q1267" s="3"/>
      <c r="R1267" s="3"/>
      <c r="S1267" s="3"/>
      <c r="T1267" s="3"/>
      <c r="U1267" s="3"/>
    </row>
    <row r="1268" spans="2:21" x14ac:dyDescent="0.25">
      <c r="B1268" s="2"/>
      <c r="C1268" s="2"/>
      <c r="D1268" s="4"/>
      <c r="E1268" s="4"/>
      <c r="F1268" s="4"/>
      <c r="Q1268" s="3"/>
      <c r="R1268" s="3"/>
      <c r="S1268" s="3"/>
      <c r="T1268" s="3"/>
      <c r="U1268" s="3"/>
    </row>
    <row r="1269" spans="2:21" x14ac:dyDescent="0.25">
      <c r="B1269" s="2"/>
      <c r="C1269" s="2"/>
      <c r="D1269" s="4"/>
      <c r="E1269" s="4"/>
      <c r="F1269" s="4"/>
      <c r="Q1269" s="3"/>
      <c r="R1269" s="3"/>
      <c r="S1269" s="3"/>
      <c r="T1269" s="3"/>
      <c r="U1269" s="3"/>
    </row>
    <row r="1270" spans="2:21" x14ac:dyDescent="0.25">
      <c r="B1270" s="2"/>
      <c r="C1270" s="2"/>
      <c r="D1270" s="4"/>
      <c r="E1270" s="4"/>
      <c r="F1270" s="4"/>
      <c r="Q1270" s="3"/>
      <c r="R1270" s="3"/>
      <c r="S1270" s="3"/>
      <c r="T1270" s="3"/>
      <c r="U1270" s="3"/>
    </row>
    <row r="1271" spans="2:21" x14ac:dyDescent="0.25">
      <c r="B1271" s="2"/>
      <c r="C1271" s="2"/>
      <c r="D1271" s="4"/>
      <c r="E1271" s="4"/>
      <c r="F1271" s="4"/>
      <c r="Q1271" s="3"/>
      <c r="R1271" s="3"/>
      <c r="S1271" s="3"/>
      <c r="T1271" s="3"/>
      <c r="U1271" s="3"/>
    </row>
    <row r="1272" spans="2:21" x14ac:dyDescent="0.25">
      <c r="B1272" s="2"/>
      <c r="C1272" s="2"/>
      <c r="D1272" s="4"/>
      <c r="E1272" s="4"/>
      <c r="F1272" s="4"/>
      <c r="Q1272" s="3"/>
      <c r="R1272" s="3"/>
      <c r="S1272" s="3"/>
      <c r="T1272" s="3"/>
      <c r="U1272" s="3"/>
    </row>
    <row r="1273" spans="2:21" x14ac:dyDescent="0.25">
      <c r="B1273" s="2"/>
      <c r="C1273" s="2"/>
      <c r="D1273" s="4"/>
      <c r="E1273" s="4"/>
      <c r="F1273" s="4"/>
      <c r="Q1273" s="3"/>
      <c r="R1273" s="3"/>
      <c r="S1273" s="3"/>
      <c r="T1273" s="3"/>
      <c r="U1273" s="3"/>
    </row>
    <row r="1274" spans="2:21" x14ac:dyDescent="0.25">
      <c r="B1274" s="2"/>
      <c r="C1274" s="2"/>
      <c r="D1274" s="4"/>
      <c r="E1274" s="4"/>
      <c r="F1274" s="4"/>
      <c r="Q1274" s="3"/>
      <c r="R1274" s="3"/>
      <c r="S1274" s="3"/>
      <c r="T1274" s="3"/>
      <c r="U1274" s="3"/>
    </row>
    <row r="1275" spans="2:21" x14ac:dyDescent="0.25">
      <c r="B1275" s="2"/>
      <c r="C1275" s="2"/>
      <c r="D1275" s="4"/>
      <c r="E1275" s="4"/>
      <c r="F1275" s="4"/>
      <c r="Q1275" s="3"/>
      <c r="R1275" s="3"/>
      <c r="S1275" s="3"/>
      <c r="T1275" s="3"/>
      <c r="U1275" s="3"/>
    </row>
    <row r="1276" spans="2:21" x14ac:dyDescent="0.25">
      <c r="B1276" s="2"/>
      <c r="C1276" s="2"/>
      <c r="D1276" s="4"/>
      <c r="E1276" s="4"/>
      <c r="F1276" s="4"/>
      <c r="Q1276" s="3"/>
      <c r="R1276" s="3"/>
      <c r="S1276" s="3"/>
      <c r="T1276" s="3"/>
      <c r="U1276" s="3"/>
    </row>
    <row r="1277" spans="2:21" x14ac:dyDescent="0.25">
      <c r="B1277" s="2"/>
      <c r="C1277" s="2"/>
      <c r="D1277" s="4"/>
      <c r="E1277" s="4"/>
      <c r="F1277" s="4"/>
      <c r="Q1277" s="3"/>
      <c r="R1277" s="3"/>
      <c r="S1277" s="3"/>
      <c r="T1277" s="3"/>
      <c r="U1277" s="3"/>
    </row>
    <row r="1278" spans="2:21" x14ac:dyDescent="0.25">
      <c r="B1278" s="2"/>
      <c r="C1278" s="2"/>
      <c r="D1278" s="4"/>
      <c r="E1278" s="4"/>
      <c r="F1278" s="4"/>
      <c r="Q1278" s="3"/>
      <c r="R1278" s="3"/>
      <c r="S1278" s="3"/>
      <c r="T1278" s="3"/>
      <c r="U1278" s="3"/>
    </row>
    <row r="1279" spans="2:21" x14ac:dyDescent="0.25">
      <c r="B1279" s="2"/>
      <c r="C1279" s="2"/>
      <c r="D1279" s="4"/>
      <c r="E1279" s="4"/>
      <c r="F1279" s="4"/>
      <c r="Q1279" s="3"/>
      <c r="R1279" s="3"/>
      <c r="S1279" s="3"/>
      <c r="T1279" s="3"/>
      <c r="U1279" s="3"/>
    </row>
    <row r="1280" spans="2:21" x14ac:dyDescent="0.25">
      <c r="B1280" s="2"/>
      <c r="C1280" s="2"/>
      <c r="D1280" s="4"/>
      <c r="E1280" s="4"/>
      <c r="F1280" s="4"/>
      <c r="Q1280" s="3"/>
      <c r="R1280" s="3"/>
      <c r="S1280" s="3"/>
      <c r="T1280" s="3"/>
      <c r="U1280" s="3"/>
    </row>
    <row r="1281" spans="2:21" x14ac:dyDescent="0.25">
      <c r="B1281" s="2"/>
      <c r="C1281" s="2"/>
      <c r="D1281" s="4"/>
      <c r="E1281" s="4"/>
      <c r="F1281" s="4"/>
      <c r="Q1281" s="3"/>
      <c r="R1281" s="3"/>
      <c r="S1281" s="3"/>
      <c r="T1281" s="3"/>
      <c r="U1281" s="3"/>
    </row>
    <row r="1282" spans="2:21" x14ac:dyDescent="0.25">
      <c r="B1282" s="2"/>
      <c r="C1282" s="2"/>
      <c r="D1282" s="4"/>
      <c r="E1282" s="4"/>
      <c r="F1282" s="4"/>
      <c r="Q1282" s="3"/>
      <c r="R1282" s="3"/>
      <c r="S1282" s="3"/>
      <c r="T1282" s="3"/>
      <c r="U1282" s="3"/>
    </row>
    <row r="1283" spans="2:21" x14ac:dyDescent="0.25">
      <c r="B1283" s="2"/>
      <c r="C1283" s="2"/>
      <c r="D1283" s="4"/>
      <c r="E1283" s="4"/>
      <c r="F1283" s="4"/>
      <c r="Q1283" s="3"/>
      <c r="R1283" s="3"/>
      <c r="S1283" s="3"/>
      <c r="T1283" s="3"/>
      <c r="U1283" s="3"/>
    </row>
    <row r="1284" spans="2:21" x14ac:dyDescent="0.25">
      <c r="B1284" s="2"/>
      <c r="C1284" s="2"/>
      <c r="D1284" s="4"/>
      <c r="E1284" s="4"/>
      <c r="F1284" s="4"/>
      <c r="Q1284" s="3"/>
      <c r="R1284" s="3"/>
      <c r="S1284" s="3"/>
      <c r="T1284" s="3"/>
      <c r="U1284" s="3"/>
    </row>
    <row r="1285" spans="2:21" x14ac:dyDescent="0.25">
      <c r="B1285" s="2"/>
      <c r="C1285" s="2"/>
      <c r="D1285" s="4"/>
      <c r="E1285" s="4"/>
      <c r="F1285" s="4"/>
      <c r="Q1285" s="3"/>
      <c r="R1285" s="3"/>
      <c r="S1285" s="3"/>
      <c r="T1285" s="3"/>
      <c r="U1285" s="3"/>
    </row>
    <row r="1286" spans="2:21" x14ac:dyDescent="0.25">
      <c r="B1286" s="2"/>
      <c r="C1286" s="2"/>
      <c r="D1286" s="4"/>
      <c r="E1286" s="4"/>
      <c r="F1286" s="4"/>
      <c r="Q1286" s="3"/>
      <c r="R1286" s="3"/>
      <c r="S1286" s="3"/>
      <c r="T1286" s="3"/>
      <c r="U1286" s="3"/>
    </row>
    <row r="1287" spans="2:21" x14ac:dyDescent="0.25">
      <c r="B1287" s="2"/>
      <c r="C1287" s="2"/>
      <c r="D1287" s="4"/>
      <c r="E1287" s="4"/>
      <c r="F1287" s="4"/>
      <c r="Q1287" s="3"/>
      <c r="R1287" s="3"/>
      <c r="S1287" s="3"/>
      <c r="T1287" s="3"/>
      <c r="U1287" s="3"/>
    </row>
    <row r="1288" spans="2:21" x14ac:dyDescent="0.25">
      <c r="B1288" s="2"/>
      <c r="C1288" s="2"/>
      <c r="D1288" s="4"/>
      <c r="E1288" s="4"/>
      <c r="F1288" s="4"/>
      <c r="Q1288" s="3"/>
      <c r="R1288" s="3"/>
      <c r="S1288" s="3"/>
      <c r="T1288" s="3"/>
      <c r="U1288" s="3"/>
    </row>
    <row r="1289" spans="2:21" x14ac:dyDescent="0.25">
      <c r="B1289" s="2"/>
      <c r="C1289" s="2"/>
      <c r="D1289" s="4"/>
      <c r="E1289" s="4"/>
      <c r="F1289" s="4"/>
      <c r="Q1289" s="3"/>
      <c r="R1289" s="3"/>
      <c r="S1289" s="3"/>
      <c r="T1289" s="3"/>
      <c r="U1289" s="3"/>
    </row>
    <row r="1290" spans="2:21" x14ac:dyDescent="0.25">
      <c r="B1290" s="2"/>
      <c r="C1290" s="2"/>
      <c r="D1290" s="4"/>
      <c r="E1290" s="4"/>
      <c r="F1290" s="4"/>
      <c r="Q1290" s="3"/>
      <c r="R1290" s="3"/>
      <c r="S1290" s="3"/>
      <c r="T1290" s="3"/>
      <c r="U1290" s="3"/>
    </row>
    <row r="1291" spans="2:21" x14ac:dyDescent="0.25">
      <c r="B1291" s="2"/>
      <c r="C1291" s="2"/>
      <c r="D1291" s="4"/>
      <c r="E1291" s="4"/>
      <c r="F1291" s="4"/>
      <c r="Q1291" s="3"/>
      <c r="R1291" s="3"/>
      <c r="S1291" s="3"/>
      <c r="T1291" s="3"/>
      <c r="U1291" s="3"/>
    </row>
    <row r="1292" spans="2:21" x14ac:dyDescent="0.25">
      <c r="B1292" s="2"/>
      <c r="C1292" s="2"/>
      <c r="D1292" s="4"/>
      <c r="E1292" s="4"/>
      <c r="F1292" s="4"/>
      <c r="Q1292" s="3"/>
      <c r="R1292" s="3"/>
      <c r="S1292" s="3"/>
      <c r="T1292" s="3"/>
      <c r="U1292" s="3"/>
    </row>
    <row r="1293" spans="2:21" x14ac:dyDescent="0.25">
      <c r="B1293" s="2"/>
      <c r="C1293" s="2"/>
      <c r="D1293" s="4"/>
      <c r="E1293" s="4"/>
      <c r="F1293" s="4"/>
      <c r="Q1293" s="3"/>
      <c r="R1293" s="3"/>
      <c r="S1293" s="3"/>
      <c r="T1293" s="3"/>
      <c r="U1293" s="3"/>
    </row>
    <row r="1294" spans="2:21" x14ac:dyDescent="0.25">
      <c r="B1294" s="2"/>
      <c r="C1294" s="2"/>
      <c r="D1294" s="4"/>
      <c r="E1294" s="4"/>
      <c r="F1294" s="4"/>
      <c r="Q1294" s="3"/>
      <c r="R1294" s="3"/>
      <c r="S1294" s="3"/>
      <c r="T1294" s="3"/>
      <c r="U1294" s="3"/>
    </row>
    <row r="1295" spans="2:21" x14ac:dyDescent="0.25">
      <c r="B1295" s="2"/>
      <c r="C1295" s="2"/>
      <c r="D1295" s="4"/>
      <c r="E1295" s="4"/>
      <c r="F1295" s="4"/>
      <c r="Q1295" s="3"/>
      <c r="R1295" s="3"/>
      <c r="S1295" s="3"/>
      <c r="T1295" s="3"/>
      <c r="U1295" s="3"/>
    </row>
    <row r="1296" spans="2:21" x14ac:dyDescent="0.25">
      <c r="B1296" s="2"/>
      <c r="C1296" s="2"/>
      <c r="D1296" s="4"/>
      <c r="E1296" s="4"/>
      <c r="F1296" s="4"/>
      <c r="Q1296" s="3"/>
      <c r="R1296" s="3"/>
      <c r="S1296" s="3"/>
      <c r="T1296" s="3"/>
      <c r="U1296" s="3"/>
    </row>
    <row r="1297" spans="2:21" x14ac:dyDescent="0.25">
      <c r="B1297" s="2"/>
      <c r="C1297" s="2"/>
      <c r="D1297" s="4"/>
      <c r="E1297" s="4"/>
      <c r="F1297" s="4"/>
      <c r="Q1297" s="3"/>
      <c r="R1297" s="3"/>
      <c r="S1297" s="3"/>
      <c r="T1297" s="3"/>
      <c r="U1297" s="3"/>
    </row>
    <row r="1298" spans="2:21" x14ac:dyDescent="0.25">
      <c r="B1298" s="2"/>
      <c r="C1298" s="2"/>
      <c r="D1298" s="4"/>
      <c r="E1298" s="4"/>
      <c r="F1298" s="4"/>
      <c r="Q1298" s="3"/>
      <c r="R1298" s="3"/>
      <c r="S1298" s="3"/>
      <c r="T1298" s="3"/>
      <c r="U1298" s="3"/>
    </row>
    <row r="1299" spans="2:21" x14ac:dyDescent="0.25">
      <c r="B1299" s="2"/>
      <c r="C1299" s="2"/>
      <c r="D1299" s="4"/>
      <c r="E1299" s="4"/>
      <c r="F1299" s="4"/>
      <c r="Q1299" s="3"/>
      <c r="R1299" s="3"/>
      <c r="S1299" s="3"/>
      <c r="T1299" s="3"/>
      <c r="U1299" s="3"/>
    </row>
    <row r="1300" spans="2:21" x14ac:dyDescent="0.25">
      <c r="B1300" s="2"/>
      <c r="C1300" s="2"/>
      <c r="D1300" s="4"/>
      <c r="E1300" s="4"/>
      <c r="F1300" s="4"/>
      <c r="Q1300" s="3"/>
      <c r="R1300" s="3"/>
      <c r="S1300" s="3"/>
      <c r="T1300" s="3"/>
      <c r="U1300" s="3"/>
    </row>
    <row r="1301" spans="2:21" x14ac:dyDescent="0.25">
      <c r="B1301" s="2"/>
      <c r="C1301" s="2"/>
      <c r="D1301" s="4"/>
      <c r="E1301" s="4"/>
      <c r="F1301" s="4"/>
      <c r="Q1301" s="3"/>
      <c r="R1301" s="3"/>
      <c r="S1301" s="3"/>
      <c r="T1301" s="3"/>
      <c r="U1301" s="3"/>
    </row>
    <row r="1302" spans="2:21" x14ac:dyDescent="0.25">
      <c r="B1302" s="2"/>
      <c r="C1302" s="2"/>
      <c r="D1302" s="4"/>
      <c r="E1302" s="4"/>
      <c r="F1302" s="4"/>
      <c r="Q1302" s="3"/>
      <c r="R1302" s="3"/>
      <c r="S1302" s="3"/>
      <c r="T1302" s="3"/>
      <c r="U1302" s="3"/>
    </row>
    <row r="1303" spans="2:21" x14ac:dyDescent="0.25">
      <c r="B1303" s="2"/>
      <c r="C1303" s="2"/>
      <c r="D1303" s="4"/>
      <c r="E1303" s="4"/>
      <c r="F1303" s="4"/>
      <c r="Q1303" s="3"/>
      <c r="R1303" s="3"/>
      <c r="S1303" s="3"/>
      <c r="T1303" s="3"/>
      <c r="U1303" s="3"/>
    </row>
    <row r="1304" spans="2:21" x14ac:dyDescent="0.25">
      <c r="B1304" s="2"/>
      <c r="C1304" s="2"/>
      <c r="D1304" s="4"/>
      <c r="E1304" s="4"/>
      <c r="F1304" s="4"/>
      <c r="Q1304" s="3"/>
      <c r="R1304" s="3"/>
      <c r="S1304" s="3"/>
      <c r="T1304" s="3"/>
      <c r="U1304" s="3"/>
    </row>
    <row r="1305" spans="2:21" x14ac:dyDescent="0.25">
      <c r="B1305" s="2"/>
      <c r="C1305" s="2"/>
      <c r="D1305" s="4"/>
      <c r="E1305" s="4"/>
      <c r="F1305" s="4"/>
      <c r="Q1305" s="3"/>
      <c r="R1305" s="3"/>
      <c r="S1305" s="3"/>
      <c r="T1305" s="3"/>
      <c r="U1305" s="3"/>
    </row>
    <row r="1306" spans="2:21" x14ac:dyDescent="0.25">
      <c r="B1306" s="2"/>
      <c r="C1306" s="2"/>
      <c r="D1306" s="4"/>
      <c r="E1306" s="4"/>
      <c r="F1306" s="4"/>
      <c r="Q1306" s="3"/>
      <c r="R1306" s="3"/>
      <c r="S1306" s="3"/>
      <c r="T1306" s="3"/>
      <c r="U1306" s="3"/>
    </row>
    <row r="1307" spans="2:21" x14ac:dyDescent="0.25">
      <c r="B1307" s="2"/>
      <c r="C1307" s="2"/>
      <c r="D1307" s="4"/>
      <c r="E1307" s="4"/>
      <c r="F1307" s="4"/>
      <c r="Q1307" s="3"/>
      <c r="R1307" s="3"/>
      <c r="S1307" s="3"/>
      <c r="T1307" s="3"/>
      <c r="U1307" s="3"/>
    </row>
    <row r="1308" spans="2:21" x14ac:dyDescent="0.25">
      <c r="B1308" s="2"/>
      <c r="C1308" s="2"/>
      <c r="D1308" s="4"/>
      <c r="E1308" s="4"/>
      <c r="F1308" s="4"/>
      <c r="Q1308" s="3"/>
      <c r="R1308" s="3"/>
      <c r="S1308" s="3"/>
      <c r="T1308" s="3"/>
      <c r="U1308" s="3"/>
    </row>
    <row r="1309" spans="2:21" x14ac:dyDescent="0.25">
      <c r="B1309" s="2"/>
      <c r="C1309" s="2"/>
      <c r="D1309" s="4"/>
      <c r="E1309" s="4"/>
      <c r="F1309" s="4"/>
      <c r="Q1309" s="3"/>
      <c r="R1309" s="3"/>
      <c r="S1309" s="3"/>
      <c r="T1309" s="3"/>
      <c r="U1309" s="3"/>
    </row>
    <row r="1310" spans="2:21" x14ac:dyDescent="0.25">
      <c r="B1310" s="2"/>
      <c r="C1310" s="2"/>
      <c r="D1310" s="4"/>
      <c r="E1310" s="4"/>
      <c r="F1310" s="4"/>
      <c r="Q1310" s="3"/>
      <c r="R1310" s="3"/>
      <c r="S1310" s="3"/>
      <c r="T1310" s="3"/>
      <c r="U1310" s="3"/>
    </row>
    <row r="1311" spans="2:21" x14ac:dyDescent="0.25">
      <c r="B1311" s="2"/>
      <c r="C1311" s="2"/>
      <c r="D1311" s="4"/>
      <c r="E1311" s="4"/>
      <c r="F1311" s="4"/>
      <c r="Q1311" s="3"/>
      <c r="R1311" s="3"/>
      <c r="S1311" s="3"/>
      <c r="T1311" s="3"/>
      <c r="U1311" s="3"/>
    </row>
    <row r="1312" spans="2:21" x14ac:dyDescent="0.25">
      <c r="B1312" s="2"/>
      <c r="C1312" s="2"/>
      <c r="D1312" s="4"/>
      <c r="E1312" s="4"/>
      <c r="F1312" s="4"/>
      <c r="Q1312" s="3"/>
      <c r="R1312" s="3"/>
      <c r="S1312" s="3"/>
      <c r="T1312" s="3"/>
      <c r="U1312" s="3"/>
    </row>
    <row r="1313" spans="2:21" x14ac:dyDescent="0.25">
      <c r="B1313" s="2"/>
      <c r="C1313" s="2"/>
      <c r="D1313" s="4"/>
      <c r="E1313" s="4"/>
      <c r="F1313" s="4"/>
      <c r="Q1313" s="3"/>
      <c r="R1313" s="3"/>
      <c r="S1313" s="3"/>
      <c r="T1313" s="3"/>
      <c r="U1313" s="3"/>
    </row>
    <row r="1314" spans="2:21" x14ac:dyDescent="0.25">
      <c r="B1314" s="2"/>
      <c r="C1314" s="2"/>
      <c r="D1314" s="4"/>
      <c r="E1314" s="4"/>
      <c r="F1314" s="4"/>
      <c r="Q1314" s="3"/>
      <c r="R1314" s="3"/>
      <c r="S1314" s="3"/>
      <c r="T1314" s="3"/>
      <c r="U1314" s="3"/>
    </row>
    <row r="1315" spans="2:21" x14ac:dyDescent="0.25">
      <c r="B1315" s="2"/>
      <c r="C1315" s="2"/>
      <c r="D1315" s="4"/>
      <c r="E1315" s="4"/>
      <c r="F1315" s="4"/>
      <c r="Q1315" s="3"/>
      <c r="R1315" s="3"/>
      <c r="S1315" s="3"/>
      <c r="T1315" s="3"/>
      <c r="U1315" s="3"/>
    </row>
    <row r="1316" spans="2:21" x14ac:dyDescent="0.25">
      <c r="B1316" s="2"/>
      <c r="C1316" s="2"/>
      <c r="D1316" s="4"/>
      <c r="E1316" s="4"/>
      <c r="F1316" s="4"/>
      <c r="Q1316" s="3"/>
      <c r="R1316" s="3"/>
      <c r="S1316" s="3"/>
      <c r="T1316" s="3"/>
      <c r="U1316" s="3"/>
    </row>
    <row r="1317" spans="2:21" x14ac:dyDescent="0.25">
      <c r="B1317" s="2"/>
      <c r="C1317" s="2"/>
      <c r="D1317" s="4"/>
      <c r="E1317" s="4"/>
      <c r="F1317" s="4"/>
      <c r="Q1317" s="3"/>
      <c r="R1317" s="3"/>
      <c r="S1317" s="3"/>
      <c r="T1317" s="3"/>
      <c r="U1317" s="3"/>
    </row>
    <row r="1318" spans="2:21" x14ac:dyDescent="0.25">
      <c r="B1318" s="2"/>
      <c r="C1318" s="2"/>
      <c r="D1318" s="4"/>
      <c r="E1318" s="4"/>
      <c r="F1318" s="4"/>
      <c r="Q1318" s="3"/>
      <c r="R1318" s="3"/>
      <c r="S1318" s="3"/>
      <c r="T1318" s="3"/>
      <c r="U1318" s="3"/>
    </row>
    <row r="1319" spans="2:21" x14ac:dyDescent="0.25">
      <c r="B1319" s="2"/>
      <c r="C1319" s="2"/>
      <c r="D1319" s="4"/>
      <c r="E1319" s="4"/>
      <c r="F1319" s="4"/>
      <c r="Q1319" s="3"/>
      <c r="R1319" s="3"/>
      <c r="S1319" s="3"/>
      <c r="T1319" s="3"/>
      <c r="U1319" s="3"/>
    </row>
    <row r="1320" spans="2:21" x14ac:dyDescent="0.25">
      <c r="B1320" s="2"/>
      <c r="C1320" s="2"/>
      <c r="D1320" s="4"/>
      <c r="E1320" s="4"/>
      <c r="F1320" s="4"/>
      <c r="Q1320" s="3"/>
      <c r="R1320" s="3"/>
      <c r="S1320" s="3"/>
      <c r="T1320" s="3"/>
      <c r="U1320" s="3"/>
    </row>
    <row r="1321" spans="2:21" x14ac:dyDescent="0.25">
      <c r="B1321" s="2"/>
      <c r="C1321" s="2"/>
      <c r="D1321" s="4"/>
      <c r="E1321" s="4"/>
      <c r="F1321" s="4"/>
      <c r="Q1321" s="3"/>
      <c r="R1321" s="3"/>
      <c r="S1321" s="3"/>
      <c r="T1321" s="3"/>
      <c r="U1321" s="3"/>
    </row>
    <row r="1322" spans="2:21" x14ac:dyDescent="0.25">
      <c r="B1322" s="2"/>
      <c r="C1322" s="2"/>
      <c r="D1322" s="4"/>
      <c r="E1322" s="4"/>
      <c r="F1322" s="4"/>
      <c r="Q1322" s="3"/>
      <c r="R1322" s="3"/>
      <c r="S1322" s="3"/>
      <c r="T1322" s="3"/>
      <c r="U1322" s="3"/>
    </row>
    <row r="1323" spans="2:21" x14ac:dyDescent="0.25">
      <c r="B1323" s="2"/>
      <c r="C1323" s="2"/>
      <c r="D1323" s="4"/>
      <c r="E1323" s="4"/>
      <c r="F1323" s="4"/>
      <c r="Q1323" s="3"/>
      <c r="R1323" s="3"/>
      <c r="S1323" s="3"/>
      <c r="T1323" s="3"/>
      <c r="U1323" s="3"/>
    </row>
    <row r="1324" spans="2:21" x14ac:dyDescent="0.25">
      <c r="B1324" s="2"/>
      <c r="C1324" s="2"/>
      <c r="D1324" s="4"/>
      <c r="E1324" s="4"/>
      <c r="F1324" s="4"/>
      <c r="Q1324" s="3"/>
      <c r="R1324" s="3"/>
      <c r="S1324" s="3"/>
      <c r="T1324" s="3"/>
      <c r="U1324" s="3"/>
    </row>
    <row r="1325" spans="2:21" x14ac:dyDescent="0.25">
      <c r="B1325" s="2"/>
      <c r="C1325" s="2"/>
      <c r="D1325" s="4"/>
      <c r="E1325" s="4"/>
      <c r="F1325" s="4"/>
      <c r="Q1325" s="3"/>
      <c r="R1325" s="3"/>
      <c r="S1325" s="3"/>
      <c r="T1325" s="3"/>
      <c r="U1325" s="3"/>
    </row>
    <row r="1326" spans="2:21" x14ac:dyDescent="0.25">
      <c r="B1326" s="2"/>
      <c r="C1326" s="2"/>
      <c r="D1326" s="4"/>
      <c r="E1326" s="4"/>
      <c r="F1326" s="4"/>
      <c r="Q1326" s="3"/>
      <c r="R1326" s="3"/>
      <c r="S1326" s="3"/>
      <c r="T1326" s="3"/>
      <c r="U1326" s="3"/>
    </row>
    <row r="1327" spans="2:21" x14ac:dyDescent="0.25">
      <c r="B1327" s="2"/>
      <c r="C1327" s="2"/>
      <c r="D1327" s="4"/>
      <c r="E1327" s="4"/>
      <c r="F1327" s="4"/>
      <c r="Q1327" s="3"/>
      <c r="R1327" s="3"/>
      <c r="S1327" s="3"/>
      <c r="T1327" s="3"/>
      <c r="U1327" s="3"/>
    </row>
    <row r="1328" spans="2:21" x14ac:dyDescent="0.25">
      <c r="B1328" s="2"/>
      <c r="C1328" s="2"/>
      <c r="D1328" s="4"/>
      <c r="E1328" s="4"/>
      <c r="F1328" s="4"/>
      <c r="Q1328" s="3"/>
      <c r="R1328" s="3"/>
      <c r="S1328" s="3"/>
      <c r="T1328" s="3"/>
      <c r="U1328" s="3"/>
    </row>
    <row r="1329" spans="2:21" x14ac:dyDescent="0.25">
      <c r="B1329" s="2"/>
      <c r="C1329" s="2"/>
      <c r="D1329" s="4"/>
      <c r="E1329" s="4"/>
      <c r="F1329" s="4"/>
      <c r="Q1329" s="3"/>
      <c r="R1329" s="3"/>
      <c r="S1329" s="3"/>
      <c r="T1329" s="3"/>
      <c r="U1329" s="3"/>
    </row>
    <row r="1330" spans="2:21" x14ac:dyDescent="0.25">
      <c r="B1330" s="2"/>
      <c r="C1330" s="2"/>
      <c r="D1330" s="4"/>
      <c r="E1330" s="4"/>
      <c r="F1330" s="4"/>
      <c r="Q1330" s="3"/>
      <c r="R1330" s="3"/>
      <c r="S1330" s="3"/>
      <c r="T1330" s="3"/>
      <c r="U1330" s="3"/>
    </row>
    <row r="1331" spans="2:21" x14ac:dyDescent="0.25">
      <c r="B1331" s="2"/>
      <c r="C1331" s="2"/>
      <c r="D1331" s="4"/>
      <c r="E1331" s="4"/>
      <c r="F1331" s="4"/>
      <c r="Q1331" s="3"/>
      <c r="R1331" s="3"/>
      <c r="S1331" s="3"/>
      <c r="T1331" s="3"/>
      <c r="U1331" s="3"/>
    </row>
    <row r="1332" spans="2:21" x14ac:dyDescent="0.25">
      <c r="B1332" s="2"/>
      <c r="C1332" s="2"/>
      <c r="D1332" s="4"/>
      <c r="E1332" s="4"/>
      <c r="F1332" s="4"/>
      <c r="Q1332" s="3"/>
      <c r="R1332" s="3"/>
      <c r="S1332" s="3"/>
      <c r="T1332" s="3"/>
      <c r="U1332" s="3"/>
    </row>
    <row r="1333" spans="2:21" x14ac:dyDescent="0.25">
      <c r="B1333" s="2"/>
      <c r="C1333" s="2"/>
      <c r="D1333" s="4"/>
      <c r="E1333" s="4"/>
      <c r="F1333" s="4"/>
      <c r="Q1333" s="3"/>
      <c r="R1333" s="3"/>
      <c r="S1333" s="3"/>
      <c r="T1333" s="3"/>
      <c r="U1333" s="3"/>
    </row>
    <row r="1334" spans="2:21" x14ac:dyDescent="0.25">
      <c r="B1334" s="2"/>
      <c r="C1334" s="2"/>
      <c r="D1334" s="4"/>
      <c r="E1334" s="4"/>
      <c r="F1334" s="4"/>
      <c r="Q1334" s="3"/>
      <c r="R1334" s="3"/>
      <c r="S1334" s="3"/>
      <c r="T1334" s="3"/>
      <c r="U1334" s="3"/>
    </row>
    <row r="1335" spans="2:21" x14ac:dyDescent="0.25">
      <c r="B1335" s="2"/>
      <c r="C1335" s="2"/>
      <c r="D1335" s="4"/>
      <c r="E1335" s="4"/>
      <c r="F1335" s="4"/>
      <c r="Q1335" s="3"/>
      <c r="R1335" s="3"/>
      <c r="S1335" s="3"/>
      <c r="T1335" s="3"/>
      <c r="U1335" s="3"/>
    </row>
    <row r="1336" spans="2:21" x14ac:dyDescent="0.25">
      <c r="B1336" s="2"/>
      <c r="C1336" s="2"/>
      <c r="D1336" s="4"/>
      <c r="E1336" s="4"/>
      <c r="F1336" s="4"/>
      <c r="Q1336" s="3"/>
      <c r="R1336" s="3"/>
      <c r="S1336" s="3"/>
      <c r="T1336" s="3"/>
      <c r="U1336" s="3"/>
    </row>
    <row r="1337" spans="2:21" x14ac:dyDescent="0.25">
      <c r="B1337" s="2"/>
      <c r="C1337" s="2"/>
      <c r="D1337" s="4"/>
      <c r="E1337" s="4"/>
      <c r="F1337" s="4"/>
      <c r="Q1337" s="3"/>
      <c r="R1337" s="3"/>
      <c r="S1337" s="3"/>
      <c r="T1337" s="3"/>
      <c r="U1337" s="3"/>
    </row>
    <row r="1338" spans="2:21" x14ac:dyDescent="0.25">
      <c r="B1338" s="2"/>
      <c r="C1338" s="2"/>
      <c r="D1338" s="4"/>
      <c r="E1338" s="4"/>
      <c r="F1338" s="4"/>
      <c r="Q1338" s="3"/>
      <c r="R1338" s="3"/>
      <c r="S1338" s="3"/>
      <c r="T1338" s="3"/>
      <c r="U1338" s="3"/>
    </row>
    <row r="1339" spans="2:21" x14ac:dyDescent="0.25">
      <c r="B1339" s="2"/>
      <c r="C1339" s="2"/>
      <c r="D1339" s="4"/>
      <c r="E1339" s="4"/>
      <c r="F1339" s="4"/>
      <c r="Q1339" s="3"/>
      <c r="R1339" s="3"/>
      <c r="S1339" s="3"/>
      <c r="T1339" s="3"/>
      <c r="U1339" s="3"/>
    </row>
    <row r="1340" spans="2:21" x14ac:dyDescent="0.25">
      <c r="B1340" s="2"/>
      <c r="C1340" s="2"/>
      <c r="D1340" s="4"/>
      <c r="E1340" s="4"/>
      <c r="F1340" s="4"/>
      <c r="Q1340" s="3"/>
      <c r="R1340" s="3"/>
      <c r="S1340" s="3"/>
      <c r="T1340" s="3"/>
      <c r="U1340" s="3"/>
    </row>
    <row r="1341" spans="2:21" x14ac:dyDescent="0.25">
      <c r="B1341" s="2"/>
      <c r="C1341" s="2"/>
      <c r="D1341" s="4"/>
      <c r="E1341" s="4"/>
      <c r="F1341" s="4"/>
      <c r="Q1341" s="3"/>
      <c r="R1341" s="3"/>
      <c r="S1341" s="3"/>
      <c r="T1341" s="3"/>
      <c r="U1341" s="3"/>
    </row>
    <row r="1342" spans="2:21" x14ac:dyDescent="0.25">
      <c r="B1342" s="2"/>
      <c r="C1342" s="2"/>
      <c r="D1342" s="4"/>
      <c r="E1342" s="4"/>
      <c r="F1342" s="4"/>
      <c r="Q1342" s="3"/>
      <c r="R1342" s="3"/>
      <c r="S1342" s="3"/>
      <c r="T1342" s="3"/>
      <c r="U1342" s="3"/>
    </row>
    <row r="1343" spans="2:21" x14ac:dyDescent="0.25">
      <c r="B1343" s="2"/>
      <c r="C1343" s="2"/>
      <c r="D1343" s="4"/>
      <c r="E1343" s="4"/>
      <c r="F1343" s="4"/>
      <c r="Q1343" s="3"/>
      <c r="R1343" s="3"/>
      <c r="S1343" s="3"/>
      <c r="T1343" s="3"/>
      <c r="U1343" s="3"/>
    </row>
    <row r="1344" spans="2:21" x14ac:dyDescent="0.25">
      <c r="B1344" s="2"/>
      <c r="C1344" s="2"/>
      <c r="D1344" s="4"/>
      <c r="E1344" s="4"/>
      <c r="F1344" s="4"/>
      <c r="Q1344" s="3"/>
      <c r="R1344" s="3"/>
      <c r="S1344" s="3"/>
      <c r="T1344" s="3"/>
      <c r="U1344" s="3"/>
    </row>
    <row r="1345" spans="2:21" x14ac:dyDescent="0.25">
      <c r="B1345" s="2"/>
      <c r="C1345" s="2"/>
      <c r="D1345" s="4"/>
      <c r="E1345" s="4"/>
      <c r="F1345" s="4"/>
      <c r="Q1345" s="3"/>
      <c r="R1345" s="3"/>
      <c r="S1345" s="3"/>
      <c r="T1345" s="3"/>
      <c r="U1345" s="3"/>
    </row>
    <row r="1346" spans="2:21" x14ac:dyDescent="0.25">
      <c r="B1346" s="2"/>
      <c r="C1346" s="2"/>
      <c r="D1346" s="4"/>
      <c r="E1346" s="4"/>
      <c r="F1346" s="4"/>
      <c r="Q1346" s="3"/>
      <c r="R1346" s="3"/>
      <c r="S1346" s="3"/>
      <c r="T1346" s="3"/>
      <c r="U1346" s="3"/>
    </row>
    <row r="1347" spans="2:21" x14ac:dyDescent="0.25">
      <c r="B1347" s="2"/>
      <c r="C1347" s="2"/>
      <c r="D1347" s="4"/>
      <c r="E1347" s="4"/>
      <c r="F1347" s="4"/>
      <c r="Q1347" s="3"/>
      <c r="R1347" s="3"/>
      <c r="S1347" s="3"/>
      <c r="T1347" s="3"/>
      <c r="U1347" s="3"/>
    </row>
    <row r="1348" spans="2:21" x14ac:dyDescent="0.25">
      <c r="B1348" s="2"/>
      <c r="C1348" s="2"/>
      <c r="D1348" s="4"/>
      <c r="E1348" s="4"/>
      <c r="F1348" s="4"/>
      <c r="Q1348" s="3"/>
      <c r="R1348" s="3"/>
      <c r="S1348" s="3"/>
      <c r="T1348" s="3"/>
      <c r="U1348" s="3"/>
    </row>
    <row r="1349" spans="2:21" x14ac:dyDescent="0.25">
      <c r="B1349" s="2"/>
      <c r="C1349" s="2"/>
      <c r="D1349" s="4"/>
      <c r="E1349" s="4"/>
      <c r="F1349" s="4"/>
      <c r="Q1349" s="3"/>
      <c r="R1349" s="3"/>
      <c r="S1349" s="3"/>
      <c r="T1349" s="3"/>
      <c r="U1349" s="3"/>
    </row>
    <row r="1350" spans="2:21" x14ac:dyDescent="0.25">
      <c r="B1350" s="2"/>
      <c r="C1350" s="2"/>
      <c r="D1350" s="4"/>
      <c r="E1350" s="4"/>
      <c r="F1350" s="4"/>
      <c r="Q1350" s="3"/>
      <c r="R1350" s="3"/>
      <c r="S1350" s="3"/>
      <c r="T1350" s="3"/>
      <c r="U1350" s="3"/>
    </row>
    <row r="1351" spans="2:21" x14ac:dyDescent="0.25">
      <c r="B1351" s="2"/>
      <c r="C1351" s="2"/>
      <c r="D1351" s="4"/>
      <c r="E1351" s="4"/>
      <c r="F1351" s="4"/>
      <c r="Q1351" s="3"/>
      <c r="R1351" s="3"/>
      <c r="S1351" s="3"/>
      <c r="T1351" s="3"/>
      <c r="U1351" s="3"/>
    </row>
    <row r="1352" spans="2:21" x14ac:dyDescent="0.25">
      <c r="B1352" s="2"/>
      <c r="C1352" s="2"/>
      <c r="D1352" s="4"/>
      <c r="E1352" s="4"/>
      <c r="F1352" s="4"/>
      <c r="Q1352" s="3"/>
      <c r="R1352" s="3"/>
      <c r="S1352" s="3"/>
      <c r="T1352" s="3"/>
      <c r="U1352" s="3"/>
    </row>
    <row r="1353" spans="2:21" x14ac:dyDescent="0.25">
      <c r="B1353" s="2"/>
      <c r="C1353" s="2"/>
      <c r="D1353" s="4"/>
      <c r="E1353" s="4"/>
      <c r="F1353" s="4"/>
      <c r="Q1353" s="3"/>
      <c r="R1353" s="3"/>
      <c r="S1353" s="3"/>
      <c r="T1353" s="3"/>
      <c r="U1353" s="3"/>
    </row>
    <row r="1354" spans="2:21" x14ac:dyDescent="0.25">
      <c r="B1354" s="2"/>
      <c r="C1354" s="2"/>
      <c r="D1354" s="4"/>
      <c r="E1354" s="4"/>
      <c r="F1354" s="4"/>
      <c r="Q1354" s="3"/>
      <c r="R1354" s="3"/>
      <c r="S1354" s="3"/>
      <c r="T1354" s="3"/>
      <c r="U1354" s="3"/>
    </row>
    <row r="1355" spans="2:21" x14ac:dyDescent="0.25">
      <c r="B1355" s="2"/>
      <c r="C1355" s="2"/>
      <c r="D1355" s="4"/>
      <c r="E1355" s="4"/>
      <c r="F1355" s="4"/>
      <c r="Q1355" s="3"/>
      <c r="R1355" s="3"/>
      <c r="S1355" s="3"/>
      <c r="T1355" s="3"/>
      <c r="U1355" s="3"/>
    </row>
    <row r="1356" spans="2:21" x14ac:dyDescent="0.25">
      <c r="B1356" s="2"/>
      <c r="C1356" s="2"/>
      <c r="D1356" s="4"/>
      <c r="E1356" s="4"/>
      <c r="F1356" s="4"/>
      <c r="Q1356" s="3"/>
      <c r="R1356" s="3"/>
      <c r="S1356" s="3"/>
      <c r="T1356" s="3"/>
      <c r="U1356" s="3"/>
    </row>
    <row r="1357" spans="2:21" x14ac:dyDescent="0.25">
      <c r="B1357" s="2"/>
      <c r="C1357" s="2"/>
      <c r="D1357" s="4"/>
      <c r="E1357" s="4"/>
      <c r="F1357" s="4"/>
      <c r="Q1357" s="3"/>
      <c r="R1357" s="3"/>
      <c r="S1357" s="3"/>
      <c r="T1357" s="3"/>
      <c r="U1357" s="3"/>
    </row>
    <row r="1358" spans="2:21" x14ac:dyDescent="0.25">
      <c r="B1358" s="2"/>
      <c r="C1358" s="2"/>
      <c r="D1358" s="4"/>
      <c r="E1358" s="4"/>
      <c r="F1358" s="4"/>
      <c r="Q1358" s="3"/>
      <c r="R1358" s="3"/>
      <c r="S1358" s="3"/>
      <c r="T1358" s="3"/>
      <c r="U1358" s="3"/>
    </row>
    <row r="1359" spans="2:21" x14ac:dyDescent="0.25">
      <c r="B1359" s="2"/>
      <c r="C1359" s="2"/>
      <c r="D1359" s="4"/>
      <c r="E1359" s="4"/>
      <c r="F1359" s="4"/>
      <c r="Q1359" s="3"/>
      <c r="R1359" s="3"/>
      <c r="S1359" s="3"/>
      <c r="T1359" s="3"/>
      <c r="U1359" s="3"/>
    </row>
    <row r="1360" spans="2:21" x14ac:dyDescent="0.25">
      <c r="B1360" s="2"/>
      <c r="C1360" s="2"/>
      <c r="D1360" s="4"/>
      <c r="E1360" s="4"/>
      <c r="F1360" s="4"/>
      <c r="Q1360" s="3"/>
      <c r="R1360" s="3"/>
      <c r="S1360" s="3"/>
      <c r="T1360" s="3"/>
      <c r="U1360" s="3"/>
    </row>
    <row r="1361" spans="2:21" x14ac:dyDescent="0.25">
      <c r="B1361" s="2"/>
      <c r="C1361" s="2"/>
      <c r="D1361" s="4"/>
      <c r="E1361" s="4"/>
      <c r="F1361" s="4"/>
      <c r="Q1361" s="3"/>
      <c r="R1361" s="3"/>
      <c r="S1361" s="3"/>
      <c r="T1361" s="3"/>
      <c r="U1361" s="3"/>
    </row>
    <row r="1362" spans="2:21" x14ac:dyDescent="0.25">
      <c r="B1362" s="2"/>
      <c r="C1362" s="2"/>
      <c r="D1362" s="4"/>
      <c r="E1362" s="4"/>
      <c r="F1362" s="4"/>
      <c r="Q1362" s="3"/>
      <c r="R1362" s="3"/>
      <c r="S1362" s="3"/>
      <c r="T1362" s="3"/>
      <c r="U1362" s="3"/>
    </row>
    <row r="1363" spans="2:21" x14ac:dyDescent="0.25">
      <c r="B1363" s="2"/>
      <c r="C1363" s="2"/>
      <c r="D1363" s="4"/>
      <c r="E1363" s="4"/>
      <c r="F1363" s="4"/>
      <c r="Q1363" s="3"/>
      <c r="R1363" s="3"/>
      <c r="S1363" s="3"/>
      <c r="T1363" s="3"/>
      <c r="U1363" s="3"/>
    </row>
    <row r="1364" spans="2:21" x14ac:dyDescent="0.25">
      <c r="B1364" s="2"/>
      <c r="C1364" s="2"/>
      <c r="D1364" s="4"/>
      <c r="E1364" s="4"/>
      <c r="F1364" s="4"/>
      <c r="Q1364" s="3"/>
      <c r="R1364" s="3"/>
      <c r="S1364" s="3"/>
      <c r="T1364" s="3"/>
      <c r="U1364" s="3"/>
    </row>
    <row r="1365" spans="2:21" x14ac:dyDescent="0.25">
      <c r="B1365" s="2"/>
      <c r="C1365" s="2"/>
      <c r="D1365" s="4"/>
      <c r="E1365" s="4"/>
      <c r="F1365" s="4"/>
      <c r="Q1365" s="3"/>
      <c r="R1365" s="3"/>
      <c r="S1365" s="3"/>
      <c r="T1365" s="3"/>
      <c r="U1365" s="3"/>
    </row>
    <row r="1366" spans="2:21" x14ac:dyDescent="0.25">
      <c r="B1366" s="2"/>
      <c r="C1366" s="2"/>
      <c r="D1366" s="4"/>
      <c r="E1366" s="4"/>
      <c r="F1366" s="4"/>
      <c r="Q1366" s="3"/>
      <c r="R1366" s="3"/>
      <c r="S1366" s="3"/>
      <c r="T1366" s="3"/>
      <c r="U1366" s="3"/>
    </row>
    <row r="1367" spans="2:21" x14ac:dyDescent="0.25">
      <c r="B1367" s="2"/>
      <c r="C1367" s="2"/>
      <c r="D1367" s="4"/>
      <c r="E1367" s="4"/>
      <c r="F1367" s="4"/>
      <c r="Q1367" s="3"/>
      <c r="R1367" s="3"/>
      <c r="S1367" s="3"/>
      <c r="T1367" s="3"/>
      <c r="U1367" s="3"/>
    </row>
    <row r="1368" spans="2:21" x14ac:dyDescent="0.25">
      <c r="B1368" s="2"/>
      <c r="C1368" s="2"/>
      <c r="D1368" s="4"/>
      <c r="E1368" s="4"/>
      <c r="F1368" s="4"/>
      <c r="Q1368" s="3"/>
      <c r="R1368" s="3"/>
      <c r="S1368" s="3"/>
      <c r="T1368" s="3"/>
      <c r="U1368" s="3"/>
    </row>
    <row r="1369" spans="2:21" x14ac:dyDescent="0.25">
      <c r="B1369" s="2"/>
      <c r="C1369" s="2"/>
      <c r="D1369" s="4"/>
      <c r="E1369" s="4"/>
      <c r="F1369" s="4"/>
      <c r="Q1369" s="3"/>
      <c r="R1369" s="3"/>
      <c r="S1369" s="3"/>
      <c r="T1369" s="3"/>
      <c r="U1369" s="3"/>
    </row>
    <row r="1370" spans="2:21" x14ac:dyDescent="0.25">
      <c r="B1370" s="2"/>
      <c r="C1370" s="2"/>
      <c r="D1370" s="4"/>
      <c r="E1370" s="4"/>
      <c r="F1370" s="4"/>
      <c r="Q1370" s="3"/>
      <c r="R1370" s="3"/>
      <c r="S1370" s="3"/>
      <c r="T1370" s="3"/>
      <c r="U1370" s="3"/>
    </row>
    <row r="1371" spans="2:21" x14ac:dyDescent="0.25">
      <c r="B1371" s="2"/>
      <c r="C1371" s="2"/>
      <c r="D1371" s="4"/>
      <c r="E1371" s="4"/>
      <c r="F1371" s="4"/>
      <c r="Q1371" s="3"/>
      <c r="R1371" s="3"/>
      <c r="S1371" s="3"/>
      <c r="T1371" s="3"/>
      <c r="U1371" s="3"/>
    </row>
    <row r="1372" spans="2:21" x14ac:dyDescent="0.25">
      <c r="B1372" s="2"/>
      <c r="C1372" s="2"/>
      <c r="D1372" s="4"/>
      <c r="E1372" s="4"/>
      <c r="F1372" s="4"/>
      <c r="Q1372" s="3"/>
      <c r="R1372" s="3"/>
      <c r="S1372" s="3"/>
      <c r="T1372" s="3"/>
      <c r="U1372" s="3"/>
    </row>
    <row r="1373" spans="2:21" x14ac:dyDescent="0.25">
      <c r="B1373" s="2"/>
      <c r="C1373" s="2"/>
      <c r="D1373" s="4"/>
      <c r="E1373" s="4"/>
      <c r="F1373" s="4"/>
      <c r="Q1373" s="3"/>
      <c r="R1373" s="3"/>
      <c r="S1373" s="3"/>
      <c r="T1373" s="3"/>
      <c r="U1373" s="3"/>
    </row>
    <row r="1374" spans="2:21" x14ac:dyDescent="0.25">
      <c r="B1374" s="2"/>
      <c r="C1374" s="2"/>
      <c r="D1374" s="4"/>
      <c r="E1374" s="4"/>
      <c r="F1374" s="4"/>
      <c r="Q1374" s="3"/>
      <c r="R1374" s="3"/>
      <c r="S1374" s="3"/>
      <c r="T1374" s="3"/>
      <c r="U1374" s="3"/>
    </row>
    <row r="1375" spans="2:21" x14ac:dyDescent="0.25">
      <c r="B1375" s="2"/>
      <c r="C1375" s="2"/>
      <c r="D1375" s="4"/>
      <c r="E1375" s="4"/>
      <c r="F1375" s="4"/>
      <c r="Q1375" s="3"/>
      <c r="R1375" s="3"/>
      <c r="S1375" s="3"/>
      <c r="T1375" s="3"/>
      <c r="U1375" s="3"/>
    </row>
    <row r="1376" spans="2:21" x14ac:dyDescent="0.25">
      <c r="B1376" s="2"/>
      <c r="C1376" s="2"/>
      <c r="D1376" s="4"/>
      <c r="E1376" s="4"/>
      <c r="F1376" s="4"/>
      <c r="Q1376" s="3"/>
      <c r="R1376" s="3"/>
      <c r="S1376" s="3"/>
      <c r="T1376" s="3"/>
      <c r="U1376" s="3"/>
    </row>
    <row r="1377" spans="2:21" x14ac:dyDescent="0.25">
      <c r="B1377" s="2"/>
      <c r="C1377" s="2"/>
      <c r="D1377" s="4"/>
      <c r="E1377" s="4"/>
      <c r="F1377" s="4"/>
      <c r="Q1377" s="3"/>
      <c r="R1377" s="3"/>
      <c r="S1377" s="3"/>
      <c r="T1377" s="3"/>
      <c r="U1377" s="3"/>
    </row>
    <row r="1378" spans="2:21" x14ac:dyDescent="0.25">
      <c r="B1378" s="2"/>
      <c r="C1378" s="2"/>
      <c r="D1378" s="4"/>
      <c r="E1378" s="4"/>
      <c r="F1378" s="4"/>
      <c r="Q1378" s="3"/>
      <c r="R1378" s="3"/>
      <c r="S1378" s="3"/>
      <c r="T1378" s="3"/>
      <c r="U1378" s="3"/>
    </row>
    <row r="1379" spans="2:21" x14ac:dyDescent="0.25">
      <c r="B1379" s="2"/>
      <c r="C1379" s="2"/>
      <c r="D1379" s="4"/>
      <c r="E1379" s="4"/>
      <c r="F1379" s="4"/>
      <c r="Q1379" s="3"/>
      <c r="R1379" s="3"/>
      <c r="S1379" s="3"/>
      <c r="T1379" s="3"/>
      <c r="U1379" s="3"/>
    </row>
    <row r="1380" spans="2:21" x14ac:dyDescent="0.25">
      <c r="B1380" s="2"/>
      <c r="C1380" s="2"/>
      <c r="D1380" s="4"/>
      <c r="E1380" s="4"/>
      <c r="F1380" s="4"/>
      <c r="Q1380" s="3"/>
      <c r="R1380" s="3"/>
      <c r="S1380" s="3"/>
      <c r="T1380" s="3"/>
      <c r="U1380" s="3"/>
    </row>
    <row r="1381" spans="2:21" x14ac:dyDescent="0.25">
      <c r="B1381" s="2"/>
      <c r="C1381" s="2"/>
      <c r="D1381" s="4"/>
      <c r="E1381" s="4"/>
      <c r="F1381" s="4"/>
      <c r="Q1381" s="3"/>
      <c r="R1381" s="3"/>
      <c r="S1381" s="3"/>
      <c r="T1381" s="3"/>
      <c r="U1381" s="3"/>
    </row>
    <row r="1382" spans="2:21" x14ac:dyDescent="0.25">
      <c r="B1382" s="2"/>
      <c r="C1382" s="2"/>
      <c r="D1382" s="4"/>
      <c r="E1382" s="4"/>
      <c r="F1382" s="4"/>
      <c r="Q1382" s="3"/>
      <c r="R1382" s="3"/>
      <c r="S1382" s="3"/>
      <c r="T1382" s="3"/>
      <c r="U1382" s="3"/>
    </row>
    <row r="1383" spans="2:21" x14ac:dyDescent="0.25">
      <c r="B1383" s="2"/>
      <c r="C1383" s="2"/>
      <c r="D1383" s="4"/>
      <c r="E1383" s="4"/>
      <c r="F1383" s="4"/>
      <c r="Q1383" s="3"/>
      <c r="R1383" s="3"/>
      <c r="S1383" s="3"/>
      <c r="T1383" s="3"/>
      <c r="U1383" s="3"/>
    </row>
    <row r="1384" spans="2:21" x14ac:dyDescent="0.25">
      <c r="B1384" s="2"/>
      <c r="C1384" s="2"/>
      <c r="D1384" s="4"/>
      <c r="E1384" s="4"/>
      <c r="F1384" s="4"/>
      <c r="Q1384" s="3"/>
      <c r="R1384" s="3"/>
      <c r="S1384" s="3"/>
      <c r="T1384" s="3"/>
      <c r="U1384" s="3"/>
    </row>
    <row r="1385" spans="2:21" x14ac:dyDescent="0.25">
      <c r="B1385" s="2"/>
      <c r="C1385" s="2"/>
      <c r="D1385" s="4"/>
      <c r="E1385" s="4"/>
      <c r="F1385" s="4"/>
      <c r="Q1385" s="3"/>
      <c r="R1385" s="3"/>
      <c r="S1385" s="3"/>
      <c r="T1385" s="3"/>
      <c r="U1385" s="3"/>
    </row>
    <row r="1386" spans="2:21" x14ac:dyDescent="0.25">
      <c r="B1386" s="2"/>
      <c r="C1386" s="2"/>
      <c r="D1386" s="4"/>
      <c r="E1386" s="4"/>
      <c r="F1386" s="4"/>
      <c r="Q1386" s="3"/>
      <c r="R1386" s="3"/>
      <c r="S1386" s="3"/>
      <c r="T1386" s="3"/>
      <c r="U1386" s="3"/>
    </row>
    <row r="1387" spans="2:21" x14ac:dyDescent="0.25">
      <c r="B1387" s="2"/>
      <c r="C1387" s="2"/>
      <c r="D1387" s="4"/>
      <c r="E1387" s="4"/>
      <c r="F1387" s="4"/>
      <c r="Q1387" s="3"/>
      <c r="R1387" s="3"/>
      <c r="S1387" s="3"/>
      <c r="T1387" s="3"/>
      <c r="U1387" s="3"/>
    </row>
    <row r="1388" spans="2:21" x14ac:dyDescent="0.25">
      <c r="B1388" s="2"/>
      <c r="C1388" s="2"/>
      <c r="D1388" s="4"/>
      <c r="E1388" s="4"/>
      <c r="F1388" s="4"/>
      <c r="Q1388" s="3"/>
      <c r="R1388" s="3"/>
      <c r="S1388" s="3"/>
      <c r="T1388" s="3"/>
      <c r="U1388" s="3"/>
    </row>
    <row r="1389" spans="2:21" x14ac:dyDescent="0.25">
      <c r="B1389" s="2"/>
      <c r="C1389" s="2"/>
      <c r="D1389" s="4"/>
      <c r="E1389" s="4"/>
      <c r="F1389" s="4"/>
      <c r="Q1389" s="3"/>
      <c r="R1389" s="3"/>
      <c r="S1389" s="3"/>
      <c r="T1389" s="3"/>
      <c r="U1389" s="3"/>
    </row>
    <row r="1390" spans="2:21" x14ac:dyDescent="0.25">
      <c r="B1390" s="2"/>
      <c r="C1390" s="2"/>
      <c r="D1390" s="4"/>
      <c r="E1390" s="4"/>
      <c r="F1390" s="4"/>
      <c r="Q1390" s="3"/>
      <c r="R1390" s="3"/>
      <c r="S1390" s="3"/>
      <c r="T1390" s="3"/>
      <c r="U1390" s="3"/>
    </row>
    <row r="1391" spans="2:21" x14ac:dyDescent="0.25">
      <c r="B1391" s="2"/>
      <c r="C1391" s="2"/>
      <c r="D1391" s="4"/>
      <c r="E1391" s="4"/>
      <c r="F1391" s="4"/>
      <c r="Q1391" s="3"/>
      <c r="R1391" s="3"/>
      <c r="S1391" s="3"/>
      <c r="T1391" s="3"/>
      <c r="U1391" s="3"/>
    </row>
    <row r="1392" spans="2:21" x14ac:dyDescent="0.25">
      <c r="B1392" s="2"/>
      <c r="C1392" s="2"/>
      <c r="D1392" s="4"/>
      <c r="E1392" s="4"/>
      <c r="F1392" s="4"/>
      <c r="Q1392" s="3"/>
      <c r="R1392" s="3"/>
      <c r="S1392" s="3"/>
      <c r="T1392" s="3"/>
      <c r="U1392" s="3"/>
    </row>
    <row r="1393" spans="2:21" x14ac:dyDescent="0.25">
      <c r="B1393" s="2"/>
      <c r="C1393" s="2"/>
      <c r="D1393" s="4"/>
      <c r="E1393" s="4"/>
      <c r="F1393" s="4"/>
      <c r="Q1393" s="3"/>
      <c r="R1393" s="3"/>
      <c r="S1393" s="3"/>
      <c r="T1393" s="3"/>
      <c r="U1393" s="3"/>
    </row>
    <row r="1394" spans="2:21" x14ac:dyDescent="0.25">
      <c r="B1394" s="2"/>
      <c r="C1394" s="2"/>
      <c r="D1394" s="4"/>
      <c r="E1394" s="4"/>
      <c r="F1394" s="4"/>
      <c r="Q1394" s="3"/>
      <c r="R1394" s="3"/>
      <c r="S1394" s="3"/>
      <c r="T1394" s="3"/>
      <c r="U1394" s="3"/>
    </row>
    <row r="1395" spans="2:21" x14ac:dyDescent="0.25">
      <c r="B1395" s="2"/>
      <c r="C1395" s="2"/>
      <c r="D1395" s="4"/>
      <c r="E1395" s="4"/>
      <c r="F1395" s="4"/>
      <c r="Q1395" s="3"/>
      <c r="R1395" s="3"/>
      <c r="S1395" s="3"/>
      <c r="T1395" s="3"/>
      <c r="U1395" s="3"/>
    </row>
    <row r="1396" spans="2:21" x14ac:dyDescent="0.25">
      <c r="B1396" s="2"/>
      <c r="C1396" s="2"/>
      <c r="D1396" s="4"/>
      <c r="E1396" s="4"/>
      <c r="F1396" s="4"/>
      <c r="Q1396" s="3"/>
      <c r="R1396" s="3"/>
      <c r="S1396" s="3"/>
      <c r="T1396" s="3"/>
      <c r="U1396" s="3"/>
    </row>
    <row r="1397" spans="2:21" x14ac:dyDescent="0.25">
      <c r="B1397" s="2"/>
      <c r="C1397" s="2"/>
      <c r="D1397" s="4"/>
      <c r="E1397" s="4"/>
      <c r="F1397" s="4"/>
      <c r="Q1397" s="3"/>
      <c r="R1397" s="3"/>
      <c r="S1397" s="3"/>
      <c r="T1397" s="3"/>
      <c r="U1397" s="3"/>
    </row>
    <row r="1398" spans="2:21" x14ac:dyDescent="0.25">
      <c r="B1398" s="2"/>
      <c r="C1398" s="2"/>
      <c r="D1398" s="4"/>
      <c r="E1398" s="4"/>
      <c r="F1398" s="4"/>
      <c r="Q1398" s="3"/>
      <c r="R1398" s="3"/>
      <c r="S1398" s="3"/>
      <c r="T1398" s="3"/>
      <c r="U1398" s="3"/>
    </row>
    <row r="1399" spans="2:21" x14ac:dyDescent="0.25">
      <c r="B1399" s="2"/>
      <c r="C1399" s="2"/>
      <c r="D1399" s="4"/>
      <c r="E1399" s="4"/>
      <c r="F1399" s="4"/>
      <c r="Q1399" s="3"/>
      <c r="R1399" s="3"/>
      <c r="S1399" s="3"/>
      <c r="T1399" s="3"/>
      <c r="U1399" s="3"/>
    </row>
    <row r="1400" spans="2:21" x14ac:dyDescent="0.25">
      <c r="B1400" s="2"/>
      <c r="C1400" s="2"/>
      <c r="D1400" s="4"/>
      <c r="E1400" s="4"/>
      <c r="F1400" s="4"/>
      <c r="Q1400" s="3"/>
      <c r="R1400" s="3"/>
      <c r="S1400" s="3"/>
      <c r="T1400" s="3"/>
      <c r="U1400" s="3"/>
    </row>
    <row r="1401" spans="2:21" x14ac:dyDescent="0.25">
      <c r="B1401" s="2"/>
      <c r="C1401" s="2"/>
      <c r="D1401" s="4"/>
      <c r="E1401" s="4"/>
      <c r="F1401" s="4"/>
      <c r="Q1401" s="3"/>
      <c r="R1401" s="3"/>
      <c r="S1401" s="3"/>
      <c r="T1401" s="3"/>
      <c r="U1401" s="3"/>
    </row>
    <row r="1402" spans="2:21" x14ac:dyDescent="0.25">
      <c r="B1402" s="2"/>
      <c r="C1402" s="2"/>
      <c r="D1402" s="4"/>
      <c r="E1402" s="4"/>
      <c r="F1402" s="4"/>
      <c r="Q1402" s="3"/>
      <c r="R1402" s="3"/>
      <c r="S1402" s="3"/>
      <c r="T1402" s="3"/>
      <c r="U1402" s="3"/>
    </row>
    <row r="1403" spans="2:21" x14ac:dyDescent="0.25">
      <c r="B1403" s="2"/>
      <c r="C1403" s="2"/>
      <c r="D1403" s="4"/>
      <c r="E1403" s="4"/>
      <c r="F1403" s="4"/>
      <c r="Q1403" s="3"/>
      <c r="R1403" s="3"/>
      <c r="S1403" s="3"/>
      <c r="T1403" s="3"/>
      <c r="U1403" s="3"/>
    </row>
    <row r="1404" spans="2:21" x14ac:dyDescent="0.25">
      <c r="B1404" s="2"/>
      <c r="C1404" s="2"/>
      <c r="D1404" s="4"/>
      <c r="E1404" s="4"/>
      <c r="F1404" s="4"/>
      <c r="Q1404" s="3"/>
      <c r="R1404" s="3"/>
      <c r="S1404" s="3"/>
      <c r="T1404" s="3"/>
      <c r="U1404" s="3"/>
    </row>
    <row r="1405" spans="2:21" x14ac:dyDescent="0.25">
      <c r="B1405" s="2"/>
      <c r="C1405" s="2"/>
      <c r="D1405" s="4"/>
      <c r="E1405" s="4"/>
      <c r="F1405" s="4"/>
      <c r="Q1405" s="3"/>
      <c r="R1405" s="3"/>
      <c r="S1405" s="3"/>
      <c r="T1405" s="3"/>
      <c r="U1405" s="3"/>
    </row>
    <row r="1406" spans="2:21" x14ac:dyDescent="0.25">
      <c r="B1406" s="2"/>
      <c r="C1406" s="2"/>
      <c r="D1406" s="4"/>
      <c r="E1406" s="4"/>
      <c r="F1406" s="4"/>
      <c r="Q1406" s="3"/>
      <c r="R1406" s="3"/>
      <c r="S1406" s="3"/>
      <c r="T1406" s="3"/>
      <c r="U1406" s="3"/>
    </row>
    <row r="1407" spans="2:21" x14ac:dyDescent="0.25">
      <c r="B1407" s="2"/>
      <c r="C1407" s="2"/>
      <c r="D1407" s="4"/>
      <c r="E1407" s="4"/>
      <c r="F1407" s="4"/>
      <c r="Q1407" s="3"/>
      <c r="R1407" s="3"/>
      <c r="S1407" s="3"/>
      <c r="T1407" s="3"/>
      <c r="U1407" s="3"/>
    </row>
    <row r="1408" spans="2:21" x14ac:dyDescent="0.25">
      <c r="B1408" s="2"/>
      <c r="C1408" s="2"/>
      <c r="D1408" s="4"/>
      <c r="E1408" s="4"/>
      <c r="F1408" s="4"/>
      <c r="Q1408" s="3"/>
      <c r="R1408" s="3"/>
      <c r="S1408" s="3"/>
      <c r="T1408" s="3"/>
      <c r="U1408" s="3"/>
    </row>
    <row r="1409" spans="2:21" x14ac:dyDescent="0.25">
      <c r="B1409" s="2"/>
      <c r="C1409" s="2"/>
      <c r="D1409" s="4"/>
      <c r="E1409" s="4"/>
      <c r="F1409" s="4"/>
      <c r="Q1409" s="3"/>
      <c r="R1409" s="3"/>
      <c r="S1409" s="3"/>
      <c r="T1409" s="3"/>
      <c r="U1409" s="3"/>
    </row>
    <row r="1410" spans="2:21" x14ac:dyDescent="0.25">
      <c r="B1410" s="2"/>
      <c r="C1410" s="2"/>
      <c r="D1410" s="4"/>
      <c r="E1410" s="4"/>
      <c r="F1410" s="4"/>
      <c r="Q1410" s="3"/>
      <c r="R1410" s="3"/>
      <c r="S1410" s="3"/>
      <c r="T1410" s="3"/>
      <c r="U1410" s="3"/>
    </row>
    <row r="1411" spans="2:21" x14ac:dyDescent="0.25">
      <c r="B1411" s="2"/>
      <c r="C1411" s="2"/>
      <c r="D1411" s="4"/>
      <c r="E1411" s="4"/>
      <c r="F1411" s="4"/>
      <c r="Q1411" s="3"/>
      <c r="R1411" s="3"/>
      <c r="S1411" s="3"/>
      <c r="T1411" s="3"/>
      <c r="U1411" s="3"/>
    </row>
    <row r="1412" spans="2:21" x14ac:dyDescent="0.25">
      <c r="B1412" s="2"/>
      <c r="C1412" s="2"/>
      <c r="D1412" s="4"/>
      <c r="E1412" s="4"/>
      <c r="F1412" s="4"/>
      <c r="Q1412" s="3"/>
      <c r="R1412" s="3"/>
      <c r="S1412" s="3"/>
      <c r="T1412" s="3"/>
      <c r="U1412" s="3"/>
    </row>
    <row r="1413" spans="2:21" x14ac:dyDescent="0.25">
      <c r="B1413" s="2"/>
      <c r="C1413" s="2"/>
      <c r="D1413" s="4"/>
      <c r="E1413" s="4"/>
      <c r="F1413" s="4"/>
      <c r="Q1413" s="3"/>
      <c r="R1413" s="3"/>
      <c r="S1413" s="3"/>
      <c r="T1413" s="3"/>
      <c r="U1413" s="3"/>
    </row>
    <row r="1414" spans="2:21" x14ac:dyDescent="0.25">
      <c r="B1414" s="2"/>
      <c r="C1414" s="2"/>
      <c r="D1414" s="4"/>
      <c r="E1414" s="4"/>
      <c r="F1414" s="4"/>
      <c r="Q1414" s="3"/>
      <c r="R1414" s="3"/>
      <c r="S1414" s="3"/>
      <c r="T1414" s="3"/>
      <c r="U1414" s="3"/>
    </row>
    <row r="1415" spans="2:21" x14ac:dyDescent="0.25">
      <c r="B1415" s="2"/>
      <c r="C1415" s="2"/>
      <c r="D1415" s="4"/>
      <c r="E1415" s="4"/>
      <c r="F1415" s="4"/>
      <c r="Q1415" s="3"/>
      <c r="R1415" s="3"/>
      <c r="S1415" s="3"/>
      <c r="T1415" s="3"/>
      <c r="U1415" s="3"/>
    </row>
    <row r="1416" spans="2:21" x14ac:dyDescent="0.25">
      <c r="B1416" s="2"/>
      <c r="C1416" s="2"/>
      <c r="D1416" s="4"/>
      <c r="E1416" s="4"/>
      <c r="F1416" s="4"/>
      <c r="Q1416" s="3"/>
      <c r="R1416" s="3"/>
      <c r="S1416" s="3"/>
      <c r="T1416" s="3"/>
      <c r="U1416" s="3"/>
    </row>
    <row r="1417" spans="2:21" x14ac:dyDescent="0.25">
      <c r="B1417" s="2"/>
      <c r="C1417" s="2"/>
      <c r="D1417" s="4"/>
      <c r="E1417" s="4"/>
      <c r="F1417" s="4"/>
      <c r="Q1417" s="3"/>
      <c r="R1417" s="3"/>
      <c r="S1417" s="3"/>
      <c r="T1417" s="3"/>
      <c r="U1417" s="3"/>
    </row>
    <row r="1418" spans="2:21" x14ac:dyDescent="0.25">
      <c r="B1418" s="2"/>
      <c r="C1418" s="2"/>
      <c r="D1418" s="4"/>
      <c r="E1418" s="4"/>
      <c r="F1418" s="4"/>
      <c r="Q1418" s="3"/>
      <c r="R1418" s="3"/>
      <c r="S1418" s="3"/>
      <c r="T1418" s="3"/>
      <c r="U1418" s="3"/>
    </row>
    <row r="1419" spans="2:21" x14ac:dyDescent="0.25">
      <c r="B1419" s="2"/>
      <c r="C1419" s="2"/>
      <c r="D1419" s="4"/>
      <c r="E1419" s="4"/>
      <c r="F1419" s="4"/>
      <c r="Q1419" s="3"/>
      <c r="R1419" s="3"/>
      <c r="S1419" s="3"/>
      <c r="T1419" s="3"/>
      <c r="U1419" s="3"/>
    </row>
    <row r="1420" spans="2:21" x14ac:dyDescent="0.25">
      <c r="B1420" s="2"/>
      <c r="C1420" s="2"/>
      <c r="D1420" s="4"/>
      <c r="E1420" s="4"/>
      <c r="F1420" s="4"/>
      <c r="Q1420" s="3"/>
      <c r="R1420" s="3"/>
      <c r="S1420" s="3"/>
      <c r="T1420" s="3"/>
      <c r="U1420" s="3"/>
    </row>
    <row r="1421" spans="2:21" x14ac:dyDescent="0.25">
      <c r="B1421" s="2"/>
      <c r="C1421" s="2"/>
      <c r="D1421" s="4"/>
      <c r="E1421" s="4"/>
      <c r="F1421" s="4"/>
      <c r="Q1421" s="3"/>
      <c r="R1421" s="3"/>
      <c r="S1421" s="3"/>
      <c r="T1421" s="3"/>
      <c r="U1421" s="3"/>
    </row>
    <row r="1422" spans="2:21" x14ac:dyDescent="0.25">
      <c r="B1422" s="2"/>
      <c r="C1422" s="2"/>
      <c r="D1422" s="4"/>
      <c r="E1422" s="4"/>
      <c r="F1422" s="4"/>
      <c r="Q1422" s="3"/>
      <c r="R1422" s="3"/>
      <c r="S1422" s="3"/>
      <c r="T1422" s="3"/>
      <c r="U1422" s="3"/>
    </row>
    <row r="1423" spans="2:21" x14ac:dyDescent="0.25">
      <c r="B1423" s="2"/>
      <c r="C1423" s="2"/>
      <c r="D1423" s="4"/>
      <c r="E1423" s="4"/>
      <c r="F1423" s="4"/>
      <c r="Q1423" s="3"/>
      <c r="R1423" s="3"/>
      <c r="S1423" s="3"/>
      <c r="T1423" s="3"/>
      <c r="U1423" s="3"/>
    </row>
    <row r="1424" spans="2:21" x14ac:dyDescent="0.25">
      <c r="B1424" s="2"/>
      <c r="C1424" s="2"/>
      <c r="D1424" s="4"/>
      <c r="E1424" s="4"/>
      <c r="F1424" s="4"/>
      <c r="Q1424" s="3"/>
      <c r="R1424" s="3"/>
      <c r="S1424" s="3"/>
      <c r="T1424" s="3"/>
      <c r="U1424" s="3"/>
    </row>
    <row r="1425" spans="2:21" x14ac:dyDescent="0.25">
      <c r="B1425" s="2"/>
      <c r="C1425" s="2"/>
      <c r="D1425" s="4"/>
      <c r="E1425" s="4"/>
      <c r="F1425" s="4"/>
      <c r="Q1425" s="3"/>
      <c r="R1425" s="3"/>
      <c r="S1425" s="3"/>
      <c r="T1425" s="3"/>
      <c r="U1425" s="3"/>
    </row>
    <row r="1426" spans="2:21" x14ac:dyDescent="0.25">
      <c r="B1426" s="2"/>
      <c r="C1426" s="2"/>
      <c r="D1426" s="4"/>
      <c r="E1426" s="4"/>
      <c r="F1426" s="4"/>
      <c r="Q1426" s="3"/>
      <c r="R1426" s="3"/>
      <c r="S1426" s="3"/>
      <c r="T1426" s="3"/>
      <c r="U1426" s="3"/>
    </row>
    <row r="1427" spans="2:21" x14ac:dyDescent="0.25">
      <c r="B1427" s="2"/>
      <c r="C1427" s="2"/>
      <c r="D1427" s="4"/>
      <c r="E1427" s="4"/>
      <c r="F1427" s="4"/>
      <c r="Q1427" s="3"/>
      <c r="R1427" s="3"/>
      <c r="S1427" s="3"/>
      <c r="T1427" s="3"/>
      <c r="U1427" s="3"/>
    </row>
    <row r="1428" spans="2:21" x14ac:dyDescent="0.25">
      <c r="B1428" s="2"/>
      <c r="C1428" s="2"/>
      <c r="D1428" s="4"/>
      <c r="E1428" s="4"/>
      <c r="F1428" s="4"/>
      <c r="Q1428" s="3"/>
      <c r="R1428" s="3"/>
      <c r="S1428" s="3"/>
      <c r="T1428" s="3"/>
      <c r="U1428" s="3"/>
    </row>
    <row r="1429" spans="2:21" x14ac:dyDescent="0.25">
      <c r="B1429" s="2"/>
      <c r="C1429" s="2"/>
      <c r="D1429" s="4"/>
      <c r="E1429" s="4"/>
      <c r="F1429" s="4"/>
      <c r="Q1429" s="3"/>
      <c r="R1429" s="3"/>
      <c r="S1429" s="3"/>
      <c r="T1429" s="3"/>
      <c r="U1429" s="3"/>
    </row>
    <row r="1430" spans="2:21" x14ac:dyDescent="0.25">
      <c r="B1430" s="2"/>
      <c r="C1430" s="2"/>
      <c r="D1430" s="4"/>
      <c r="E1430" s="4"/>
      <c r="F1430" s="4"/>
      <c r="Q1430" s="3"/>
      <c r="R1430" s="3"/>
      <c r="S1430" s="3"/>
      <c r="T1430" s="3"/>
      <c r="U1430" s="3"/>
    </row>
    <row r="1431" spans="2:21" x14ac:dyDescent="0.25">
      <c r="B1431" s="2"/>
      <c r="C1431" s="2"/>
      <c r="D1431" s="4"/>
      <c r="E1431" s="4"/>
      <c r="F1431" s="4"/>
      <c r="Q1431" s="3"/>
      <c r="R1431" s="3"/>
      <c r="S1431" s="3"/>
      <c r="T1431" s="3"/>
      <c r="U1431" s="3"/>
    </row>
    <row r="1432" spans="2:21" x14ac:dyDescent="0.25">
      <c r="B1432" s="2"/>
      <c r="C1432" s="2"/>
      <c r="D1432" s="4"/>
      <c r="E1432" s="4"/>
      <c r="F1432" s="4"/>
      <c r="Q1432" s="3"/>
      <c r="R1432" s="3"/>
      <c r="S1432" s="3"/>
      <c r="T1432" s="3"/>
      <c r="U1432" s="3"/>
    </row>
    <row r="1433" spans="2:21" x14ac:dyDescent="0.25">
      <c r="B1433" s="2"/>
      <c r="C1433" s="2"/>
      <c r="D1433" s="4"/>
      <c r="E1433" s="4"/>
      <c r="F1433" s="4"/>
      <c r="Q1433" s="3"/>
      <c r="R1433" s="3"/>
      <c r="S1433" s="3"/>
      <c r="T1433" s="3"/>
      <c r="U1433" s="3"/>
    </row>
    <row r="1434" spans="2:21" x14ac:dyDescent="0.25">
      <c r="B1434" s="2"/>
      <c r="C1434" s="2"/>
      <c r="D1434" s="4"/>
      <c r="E1434" s="4"/>
      <c r="F1434" s="4"/>
      <c r="Q1434" s="3"/>
      <c r="R1434" s="3"/>
      <c r="S1434" s="3"/>
      <c r="T1434" s="3"/>
      <c r="U1434" s="3"/>
    </row>
    <row r="1435" spans="2:21" x14ac:dyDescent="0.25">
      <c r="B1435" s="2"/>
      <c r="C1435" s="2"/>
      <c r="D1435" s="4"/>
      <c r="E1435" s="4"/>
      <c r="F1435" s="4"/>
      <c r="Q1435" s="3"/>
      <c r="R1435" s="3"/>
      <c r="S1435" s="3"/>
      <c r="T1435" s="3"/>
      <c r="U1435" s="3"/>
    </row>
    <row r="1436" spans="2:21" x14ac:dyDescent="0.25">
      <c r="B1436" s="2"/>
      <c r="C1436" s="2"/>
      <c r="D1436" s="4"/>
      <c r="E1436" s="4"/>
      <c r="F1436" s="4"/>
      <c r="Q1436" s="3"/>
      <c r="R1436" s="3"/>
      <c r="S1436" s="3"/>
      <c r="T1436" s="3"/>
      <c r="U1436" s="3"/>
    </row>
    <row r="1437" spans="2:21" x14ac:dyDescent="0.25">
      <c r="B1437" s="2"/>
      <c r="C1437" s="2"/>
      <c r="D1437" s="4"/>
      <c r="E1437" s="4"/>
      <c r="F1437" s="4"/>
      <c r="Q1437" s="3"/>
      <c r="R1437" s="3"/>
      <c r="S1437" s="3"/>
      <c r="T1437" s="3"/>
      <c r="U1437" s="3"/>
    </row>
    <row r="1438" spans="2:21" x14ac:dyDescent="0.25">
      <c r="B1438" s="2"/>
      <c r="C1438" s="2"/>
      <c r="D1438" s="4"/>
      <c r="E1438" s="4"/>
      <c r="F1438" s="4"/>
      <c r="Q1438" s="3"/>
      <c r="R1438" s="3"/>
      <c r="S1438" s="3"/>
      <c r="T1438" s="3"/>
      <c r="U1438" s="3"/>
    </row>
    <row r="1439" spans="2:21" x14ac:dyDescent="0.25">
      <c r="B1439" s="2"/>
      <c r="C1439" s="2"/>
      <c r="D1439" s="4"/>
      <c r="E1439" s="4"/>
      <c r="F1439" s="4"/>
      <c r="Q1439" s="3"/>
      <c r="R1439" s="3"/>
      <c r="S1439" s="3"/>
      <c r="T1439" s="3"/>
      <c r="U1439" s="3"/>
    </row>
    <row r="1440" spans="2:21" x14ac:dyDescent="0.25">
      <c r="B1440" s="2"/>
      <c r="C1440" s="2"/>
      <c r="D1440" s="4"/>
      <c r="E1440" s="4"/>
      <c r="F1440" s="4"/>
      <c r="Q1440" s="3"/>
      <c r="R1440" s="3"/>
      <c r="S1440" s="3"/>
      <c r="T1440" s="3"/>
      <c r="U1440" s="3"/>
    </row>
    <row r="1441" spans="2:21" x14ac:dyDescent="0.25">
      <c r="B1441" s="2"/>
      <c r="C1441" s="2"/>
      <c r="D1441" s="4"/>
      <c r="E1441" s="4"/>
      <c r="F1441" s="4"/>
      <c r="Q1441" s="3"/>
      <c r="R1441" s="3"/>
      <c r="S1441" s="3"/>
      <c r="T1441" s="3"/>
      <c r="U1441" s="3"/>
    </row>
    <row r="1442" spans="2:21" x14ac:dyDescent="0.25">
      <c r="B1442" s="2"/>
      <c r="C1442" s="2"/>
      <c r="D1442" s="4"/>
      <c r="E1442" s="4"/>
      <c r="F1442" s="4"/>
      <c r="Q1442" s="3"/>
      <c r="R1442" s="3"/>
      <c r="S1442" s="3"/>
      <c r="T1442" s="3"/>
      <c r="U1442" s="3"/>
    </row>
    <row r="1443" spans="2:21" x14ac:dyDescent="0.25">
      <c r="B1443" s="2"/>
      <c r="C1443" s="2"/>
      <c r="D1443" s="4"/>
      <c r="E1443" s="4"/>
      <c r="F1443" s="4"/>
      <c r="Q1443" s="3"/>
      <c r="R1443" s="3"/>
      <c r="S1443" s="3"/>
      <c r="T1443" s="3"/>
      <c r="U1443" s="3"/>
    </row>
    <row r="1444" spans="2:21" x14ac:dyDescent="0.25">
      <c r="B1444" s="2"/>
      <c r="C1444" s="2"/>
      <c r="D1444" s="4"/>
      <c r="E1444" s="4"/>
      <c r="F1444" s="4"/>
      <c r="Q1444" s="3"/>
      <c r="R1444" s="3"/>
      <c r="S1444" s="3"/>
      <c r="T1444" s="3"/>
      <c r="U1444" s="3"/>
    </row>
    <row r="1445" spans="2:21" x14ac:dyDescent="0.25">
      <c r="B1445" s="2"/>
      <c r="C1445" s="2"/>
      <c r="D1445" s="4"/>
      <c r="E1445" s="4"/>
      <c r="F1445" s="4"/>
      <c r="Q1445" s="3"/>
      <c r="R1445" s="3"/>
      <c r="S1445" s="3"/>
      <c r="T1445" s="3"/>
      <c r="U1445" s="3"/>
    </row>
    <row r="1446" spans="2:21" x14ac:dyDescent="0.25">
      <c r="B1446" s="2"/>
      <c r="C1446" s="2"/>
      <c r="D1446" s="4"/>
      <c r="E1446" s="4"/>
      <c r="F1446" s="4"/>
      <c r="Q1446" s="3"/>
      <c r="R1446" s="3"/>
      <c r="S1446" s="3"/>
      <c r="T1446" s="3"/>
      <c r="U1446" s="3"/>
    </row>
    <row r="1447" spans="2:21" x14ac:dyDescent="0.25">
      <c r="B1447" s="2"/>
      <c r="C1447" s="2"/>
      <c r="D1447" s="4"/>
      <c r="E1447" s="4"/>
      <c r="F1447" s="4"/>
      <c r="Q1447" s="3"/>
      <c r="R1447" s="3"/>
      <c r="S1447" s="3"/>
      <c r="T1447" s="3"/>
      <c r="U1447" s="3"/>
    </row>
    <row r="1448" spans="2:21" x14ac:dyDescent="0.25">
      <c r="B1448" s="2"/>
      <c r="C1448" s="2"/>
      <c r="D1448" s="4"/>
      <c r="E1448" s="4"/>
      <c r="F1448" s="4"/>
      <c r="Q1448" s="3"/>
      <c r="R1448" s="3"/>
      <c r="S1448" s="3"/>
      <c r="T1448" s="3"/>
      <c r="U1448" s="3"/>
    </row>
    <row r="1449" spans="2:21" x14ac:dyDescent="0.25">
      <c r="B1449" s="2"/>
      <c r="C1449" s="2"/>
      <c r="D1449" s="4"/>
      <c r="E1449" s="4"/>
      <c r="F1449" s="4"/>
      <c r="Q1449" s="3"/>
      <c r="R1449" s="3"/>
      <c r="S1449" s="3"/>
      <c r="T1449" s="3"/>
      <c r="U1449" s="3"/>
    </row>
    <row r="1450" spans="2:21" x14ac:dyDescent="0.25">
      <c r="B1450" s="2"/>
      <c r="C1450" s="2"/>
      <c r="D1450" s="4"/>
      <c r="E1450" s="4"/>
      <c r="F1450" s="4"/>
      <c r="Q1450" s="3"/>
      <c r="R1450" s="3"/>
      <c r="S1450" s="3"/>
      <c r="T1450" s="3"/>
      <c r="U1450" s="3"/>
    </row>
    <row r="1451" spans="2:21" x14ac:dyDescent="0.25">
      <c r="B1451" s="2"/>
      <c r="C1451" s="2"/>
      <c r="D1451" s="4"/>
      <c r="E1451" s="4"/>
      <c r="F1451" s="4"/>
      <c r="Q1451" s="3"/>
      <c r="R1451" s="3"/>
      <c r="S1451" s="3"/>
      <c r="T1451" s="3"/>
      <c r="U1451" s="3"/>
    </row>
    <row r="1452" spans="2:21" x14ac:dyDescent="0.25">
      <c r="B1452" s="2"/>
      <c r="C1452" s="2"/>
      <c r="D1452" s="4"/>
      <c r="E1452" s="4"/>
      <c r="F1452" s="4"/>
      <c r="Q1452" s="3"/>
      <c r="R1452" s="3"/>
      <c r="S1452" s="3"/>
      <c r="T1452" s="3"/>
      <c r="U1452" s="3"/>
    </row>
    <row r="1453" spans="2:21" x14ac:dyDescent="0.25">
      <c r="B1453" s="2"/>
      <c r="C1453" s="2"/>
      <c r="D1453" s="4"/>
      <c r="E1453" s="4"/>
      <c r="F1453" s="4"/>
      <c r="Q1453" s="3"/>
      <c r="R1453" s="3"/>
      <c r="S1453" s="3"/>
      <c r="T1453" s="3"/>
      <c r="U1453" s="3"/>
    </row>
    <row r="1454" spans="2:21" x14ac:dyDescent="0.25">
      <c r="B1454" s="2"/>
      <c r="C1454" s="2"/>
      <c r="D1454" s="4"/>
      <c r="E1454" s="4"/>
      <c r="F1454" s="4"/>
      <c r="Q1454" s="3"/>
      <c r="R1454" s="3"/>
      <c r="S1454" s="3"/>
      <c r="T1454" s="3"/>
      <c r="U1454" s="3"/>
    </row>
    <row r="1455" spans="2:21" x14ac:dyDescent="0.25">
      <c r="B1455" s="2"/>
      <c r="C1455" s="2"/>
      <c r="D1455" s="4"/>
      <c r="E1455" s="4"/>
      <c r="F1455" s="4"/>
      <c r="Q1455" s="3"/>
      <c r="R1455" s="3"/>
      <c r="S1455" s="3"/>
      <c r="T1455" s="3"/>
      <c r="U1455" s="3"/>
    </row>
    <row r="1456" spans="2:21" x14ac:dyDescent="0.25">
      <c r="B1456" s="2"/>
      <c r="C1456" s="2"/>
      <c r="D1456" s="4"/>
      <c r="E1456" s="4"/>
      <c r="F1456" s="4"/>
      <c r="Q1456" s="3"/>
      <c r="R1456" s="3"/>
      <c r="S1456" s="3"/>
      <c r="T1456" s="3"/>
      <c r="U1456" s="3"/>
    </row>
    <row r="1457" spans="2:21" x14ac:dyDescent="0.25">
      <c r="B1457" s="2"/>
      <c r="C1457" s="2"/>
      <c r="D1457" s="4"/>
      <c r="E1457" s="4"/>
      <c r="F1457" s="4"/>
      <c r="Q1457" s="3"/>
      <c r="R1457" s="3"/>
      <c r="S1457" s="3"/>
      <c r="T1457" s="3"/>
      <c r="U1457" s="3"/>
    </row>
    <row r="1458" spans="2:21" x14ac:dyDescent="0.25">
      <c r="B1458" s="2"/>
      <c r="C1458" s="2"/>
      <c r="D1458" s="4"/>
      <c r="E1458" s="4"/>
      <c r="F1458" s="4"/>
      <c r="Q1458" s="3"/>
      <c r="R1458" s="3"/>
      <c r="S1458" s="3"/>
      <c r="T1458" s="3"/>
      <c r="U1458" s="3"/>
    </row>
    <row r="1459" spans="2:21" x14ac:dyDescent="0.25">
      <c r="B1459" s="2"/>
      <c r="C1459" s="2"/>
      <c r="D1459" s="4"/>
      <c r="E1459" s="4"/>
      <c r="F1459" s="4"/>
      <c r="Q1459" s="3"/>
      <c r="R1459" s="3"/>
      <c r="S1459" s="3"/>
      <c r="T1459" s="3"/>
      <c r="U1459" s="3"/>
    </row>
    <row r="1460" spans="2:21" x14ac:dyDescent="0.25">
      <c r="B1460" s="2"/>
      <c r="C1460" s="2"/>
      <c r="D1460" s="4"/>
      <c r="E1460" s="4"/>
      <c r="F1460" s="4"/>
      <c r="Q1460" s="3"/>
      <c r="R1460" s="3"/>
      <c r="S1460" s="3"/>
      <c r="T1460" s="3"/>
      <c r="U1460" s="3"/>
    </row>
    <row r="1461" spans="2:21" x14ac:dyDescent="0.25">
      <c r="B1461" s="2"/>
      <c r="C1461" s="2"/>
      <c r="D1461" s="4"/>
      <c r="E1461" s="4"/>
      <c r="F1461" s="4"/>
      <c r="Q1461" s="3"/>
      <c r="R1461" s="3"/>
      <c r="S1461" s="3"/>
      <c r="T1461" s="3"/>
      <c r="U1461" s="3"/>
    </row>
    <row r="1462" spans="2:21" x14ac:dyDescent="0.25">
      <c r="B1462" s="2"/>
      <c r="C1462" s="2"/>
      <c r="D1462" s="4"/>
      <c r="E1462" s="4"/>
      <c r="F1462" s="4"/>
      <c r="Q1462" s="3"/>
      <c r="R1462" s="3"/>
      <c r="S1462" s="3"/>
      <c r="T1462" s="3"/>
      <c r="U1462" s="3"/>
    </row>
    <row r="1463" spans="2:21" x14ac:dyDescent="0.25">
      <c r="B1463" s="2"/>
      <c r="C1463" s="2"/>
      <c r="D1463" s="4"/>
      <c r="E1463" s="4"/>
      <c r="F1463" s="4"/>
      <c r="Q1463" s="3"/>
      <c r="R1463" s="3"/>
      <c r="S1463" s="3"/>
      <c r="T1463" s="3"/>
      <c r="U1463" s="3"/>
    </row>
    <row r="1464" spans="2:21" x14ac:dyDescent="0.25">
      <c r="B1464" s="2"/>
      <c r="C1464" s="2"/>
      <c r="D1464" s="4"/>
      <c r="E1464" s="4"/>
      <c r="F1464" s="4"/>
      <c r="Q1464" s="3"/>
      <c r="R1464" s="3"/>
      <c r="S1464" s="3"/>
      <c r="T1464" s="3"/>
      <c r="U1464" s="3"/>
    </row>
    <row r="1465" spans="2:21" x14ac:dyDescent="0.25">
      <c r="B1465" s="2"/>
      <c r="C1465" s="2"/>
      <c r="D1465" s="4"/>
      <c r="E1465" s="4"/>
      <c r="F1465" s="4"/>
      <c r="Q1465" s="3"/>
      <c r="R1465" s="3"/>
      <c r="S1465" s="3"/>
      <c r="T1465" s="3"/>
      <c r="U1465" s="3"/>
    </row>
    <row r="1466" spans="2:21" x14ac:dyDescent="0.25">
      <c r="B1466" s="2"/>
      <c r="C1466" s="2"/>
      <c r="D1466" s="4"/>
      <c r="E1466" s="4"/>
      <c r="F1466" s="4"/>
      <c r="Q1466" s="3"/>
      <c r="R1466" s="3"/>
      <c r="S1466" s="3"/>
      <c r="T1466" s="3"/>
      <c r="U1466" s="3"/>
    </row>
    <row r="1467" spans="2:21" x14ac:dyDescent="0.25">
      <c r="B1467" s="2"/>
      <c r="C1467" s="2"/>
      <c r="D1467" s="4"/>
      <c r="E1467" s="4"/>
      <c r="F1467" s="4"/>
      <c r="Q1467" s="3"/>
      <c r="R1467" s="3"/>
      <c r="S1467" s="3"/>
      <c r="T1467" s="3"/>
      <c r="U1467" s="3"/>
    </row>
    <row r="1468" spans="2:21" x14ac:dyDescent="0.25">
      <c r="B1468" s="2"/>
      <c r="C1468" s="2"/>
      <c r="D1468" s="4"/>
      <c r="E1468" s="4"/>
      <c r="F1468" s="4"/>
      <c r="Q1468" s="3"/>
      <c r="R1468" s="3"/>
      <c r="S1468" s="3"/>
      <c r="T1468" s="3"/>
      <c r="U1468" s="3"/>
    </row>
    <row r="1469" spans="2:21" x14ac:dyDescent="0.25">
      <c r="B1469" s="2"/>
      <c r="C1469" s="2"/>
      <c r="D1469" s="4"/>
      <c r="E1469" s="4"/>
      <c r="F1469" s="4"/>
      <c r="Q1469" s="3"/>
      <c r="R1469" s="3"/>
      <c r="S1469" s="3"/>
      <c r="T1469" s="3"/>
      <c r="U1469" s="3"/>
    </row>
    <row r="1470" spans="2:21" x14ac:dyDescent="0.25">
      <c r="B1470" s="2"/>
      <c r="C1470" s="2"/>
      <c r="D1470" s="4"/>
      <c r="E1470" s="4"/>
      <c r="F1470" s="4"/>
      <c r="Q1470" s="3"/>
      <c r="R1470" s="3"/>
      <c r="S1470" s="3"/>
      <c r="T1470" s="3"/>
      <c r="U1470" s="3"/>
    </row>
    <row r="1471" spans="2:21" x14ac:dyDescent="0.25">
      <c r="B1471" s="2"/>
      <c r="C1471" s="2"/>
      <c r="D1471" s="4"/>
      <c r="E1471" s="4"/>
      <c r="F1471" s="4"/>
      <c r="Q1471" s="3"/>
      <c r="R1471" s="3"/>
      <c r="S1471" s="3"/>
      <c r="T1471" s="3"/>
      <c r="U1471" s="3"/>
    </row>
    <row r="1472" spans="2:21" x14ac:dyDescent="0.25">
      <c r="B1472" s="2"/>
      <c r="C1472" s="2"/>
      <c r="D1472" s="4"/>
      <c r="E1472" s="4"/>
      <c r="F1472" s="4"/>
      <c r="Q1472" s="3"/>
      <c r="R1472" s="3"/>
      <c r="S1472" s="3"/>
      <c r="T1472" s="3"/>
      <c r="U1472" s="3"/>
    </row>
    <row r="1473" spans="2:21" x14ac:dyDescent="0.25">
      <c r="B1473" s="2"/>
      <c r="C1473" s="2"/>
      <c r="D1473" s="4"/>
      <c r="E1473" s="4"/>
      <c r="F1473" s="4"/>
      <c r="Q1473" s="3"/>
      <c r="R1473" s="3"/>
      <c r="S1473" s="3"/>
      <c r="T1473" s="3"/>
      <c r="U1473" s="3"/>
    </row>
    <row r="1474" spans="2:21" x14ac:dyDescent="0.25">
      <c r="B1474" s="2"/>
      <c r="C1474" s="2"/>
      <c r="D1474" s="4"/>
      <c r="E1474" s="4"/>
      <c r="F1474" s="4"/>
      <c r="Q1474" s="3"/>
      <c r="R1474" s="3"/>
      <c r="S1474" s="3"/>
      <c r="T1474" s="3"/>
      <c r="U1474" s="3"/>
    </row>
    <row r="1475" spans="2:21" x14ac:dyDescent="0.25">
      <c r="B1475" s="2"/>
      <c r="C1475" s="2"/>
      <c r="D1475" s="4"/>
      <c r="E1475" s="4"/>
      <c r="F1475" s="4"/>
      <c r="Q1475" s="3"/>
      <c r="R1475" s="3"/>
      <c r="S1475" s="3"/>
      <c r="T1475" s="3"/>
      <c r="U1475" s="3"/>
    </row>
    <row r="1476" spans="2:21" x14ac:dyDescent="0.25">
      <c r="B1476" s="2"/>
      <c r="C1476" s="2"/>
      <c r="D1476" s="4"/>
      <c r="E1476" s="4"/>
      <c r="F1476" s="4"/>
      <c r="Q1476" s="3"/>
      <c r="R1476" s="3"/>
      <c r="S1476" s="3"/>
      <c r="T1476" s="3"/>
      <c r="U1476" s="3"/>
    </row>
    <row r="1477" spans="2:21" x14ac:dyDescent="0.25">
      <c r="B1477" s="2"/>
      <c r="C1477" s="2"/>
      <c r="D1477" s="4"/>
      <c r="E1477" s="4"/>
      <c r="F1477" s="4"/>
      <c r="Q1477" s="3"/>
      <c r="R1477" s="3"/>
      <c r="S1477" s="3"/>
      <c r="T1477" s="3"/>
      <c r="U1477" s="3"/>
    </row>
    <row r="1478" spans="2:21" x14ac:dyDescent="0.25">
      <c r="B1478" s="2"/>
      <c r="C1478" s="2"/>
      <c r="D1478" s="4"/>
      <c r="E1478" s="4"/>
      <c r="F1478" s="4"/>
      <c r="Q1478" s="3"/>
      <c r="R1478" s="3"/>
      <c r="S1478" s="3"/>
      <c r="T1478" s="3"/>
      <c r="U1478" s="3"/>
    </row>
    <row r="1479" spans="2:21" x14ac:dyDescent="0.25">
      <c r="B1479" s="2"/>
      <c r="C1479" s="2"/>
      <c r="D1479" s="4"/>
      <c r="E1479" s="4"/>
      <c r="F1479" s="4"/>
      <c r="Q1479" s="3"/>
      <c r="R1479" s="3"/>
      <c r="S1479" s="3"/>
      <c r="T1479" s="3"/>
      <c r="U1479" s="3"/>
    </row>
    <row r="1480" spans="2:21" x14ac:dyDescent="0.25">
      <c r="B1480" s="2"/>
      <c r="C1480" s="2"/>
      <c r="D1480" s="4"/>
      <c r="E1480" s="4"/>
      <c r="F1480" s="4"/>
      <c r="Q1480" s="3"/>
      <c r="R1480" s="3"/>
      <c r="S1480" s="3"/>
      <c r="T1480" s="3"/>
      <c r="U1480" s="3"/>
    </row>
    <row r="1481" spans="2:21" x14ac:dyDescent="0.25">
      <c r="B1481" s="2"/>
      <c r="C1481" s="2"/>
      <c r="D1481" s="4"/>
      <c r="E1481" s="4"/>
      <c r="F1481" s="4"/>
      <c r="Q1481" s="3"/>
      <c r="R1481" s="3"/>
      <c r="S1481" s="3"/>
      <c r="T1481" s="3"/>
      <c r="U1481" s="3"/>
    </row>
    <row r="1482" spans="2:21" x14ac:dyDescent="0.25">
      <c r="B1482" s="2"/>
      <c r="C1482" s="2"/>
      <c r="D1482" s="4"/>
      <c r="E1482" s="4"/>
      <c r="F1482" s="4"/>
      <c r="Q1482" s="3"/>
      <c r="R1482" s="3"/>
      <c r="S1482" s="3"/>
      <c r="T1482" s="3"/>
      <c r="U1482" s="3"/>
    </row>
    <row r="1483" spans="2:21" x14ac:dyDescent="0.25">
      <c r="B1483" s="2"/>
      <c r="C1483" s="2"/>
      <c r="D1483" s="4"/>
      <c r="E1483" s="4"/>
      <c r="F1483" s="4"/>
      <c r="Q1483" s="3"/>
      <c r="R1483" s="3"/>
      <c r="S1483" s="3"/>
      <c r="T1483" s="3"/>
      <c r="U1483" s="3"/>
    </row>
    <row r="1484" spans="2:21" x14ac:dyDescent="0.25">
      <c r="B1484" s="2"/>
      <c r="C1484" s="2"/>
      <c r="D1484" s="4"/>
      <c r="E1484" s="4"/>
      <c r="F1484" s="4"/>
      <c r="Q1484" s="3"/>
      <c r="R1484" s="3"/>
      <c r="S1484" s="3"/>
      <c r="T1484" s="3"/>
      <c r="U1484" s="3"/>
    </row>
    <row r="1485" spans="2:21" x14ac:dyDescent="0.25">
      <c r="B1485" s="2"/>
      <c r="C1485" s="2"/>
      <c r="D1485" s="4"/>
      <c r="E1485" s="4"/>
      <c r="F1485" s="4"/>
      <c r="Q1485" s="3"/>
      <c r="R1485" s="3"/>
      <c r="S1485" s="3"/>
      <c r="T1485" s="3"/>
      <c r="U1485" s="3"/>
    </row>
    <row r="1486" spans="2:21" x14ac:dyDescent="0.25">
      <c r="B1486" s="2"/>
      <c r="C1486" s="2"/>
      <c r="D1486" s="4"/>
      <c r="E1486" s="4"/>
      <c r="F1486" s="4"/>
      <c r="Q1486" s="3"/>
      <c r="R1486" s="3"/>
      <c r="S1486" s="3"/>
      <c r="T1486" s="3"/>
      <c r="U1486" s="3"/>
    </row>
    <row r="1487" spans="2:21" x14ac:dyDescent="0.25">
      <c r="B1487" s="2"/>
      <c r="C1487" s="2"/>
      <c r="D1487" s="4"/>
      <c r="E1487" s="4"/>
      <c r="F1487" s="4"/>
      <c r="Q1487" s="3"/>
      <c r="R1487" s="3"/>
      <c r="S1487" s="3"/>
      <c r="T1487" s="3"/>
      <c r="U1487" s="3"/>
    </row>
    <row r="1488" spans="2:21" x14ac:dyDescent="0.25">
      <c r="B1488" s="2"/>
      <c r="C1488" s="2"/>
      <c r="D1488" s="4"/>
      <c r="E1488" s="4"/>
      <c r="F1488" s="4"/>
      <c r="Q1488" s="3"/>
      <c r="R1488" s="3"/>
      <c r="S1488" s="3"/>
      <c r="T1488" s="3"/>
      <c r="U1488" s="3"/>
    </row>
    <row r="1489" spans="2:21" x14ac:dyDescent="0.25">
      <c r="B1489" s="2"/>
      <c r="C1489" s="2"/>
      <c r="D1489" s="4"/>
      <c r="E1489" s="4"/>
      <c r="F1489" s="4"/>
      <c r="Q1489" s="3"/>
      <c r="R1489" s="3"/>
      <c r="S1489" s="3"/>
      <c r="T1489" s="3"/>
      <c r="U1489" s="3"/>
    </row>
    <row r="1490" spans="2:21" x14ac:dyDescent="0.25">
      <c r="B1490" s="2"/>
      <c r="C1490" s="2"/>
      <c r="D1490" s="4"/>
      <c r="E1490" s="4"/>
      <c r="F1490" s="4"/>
      <c r="Q1490" s="3"/>
      <c r="R1490" s="3"/>
      <c r="S1490" s="3"/>
      <c r="T1490" s="3"/>
      <c r="U1490" s="3"/>
    </row>
    <row r="1491" spans="2:21" x14ac:dyDescent="0.25">
      <c r="B1491" s="2"/>
      <c r="C1491" s="2"/>
      <c r="D1491" s="4"/>
      <c r="E1491" s="4"/>
      <c r="F1491" s="4"/>
      <c r="Q1491" s="3"/>
      <c r="R1491" s="3"/>
      <c r="S1491" s="3"/>
      <c r="T1491" s="3"/>
      <c r="U1491" s="3"/>
    </row>
    <row r="1492" spans="2:21" x14ac:dyDescent="0.25">
      <c r="B1492" s="2"/>
      <c r="C1492" s="2"/>
      <c r="D1492" s="4"/>
      <c r="E1492" s="4"/>
      <c r="F1492" s="4"/>
      <c r="Q1492" s="3"/>
      <c r="R1492" s="3"/>
      <c r="S1492" s="3"/>
      <c r="T1492" s="3"/>
      <c r="U1492" s="3"/>
    </row>
    <row r="1493" spans="2:21" x14ac:dyDescent="0.25">
      <c r="B1493" s="2"/>
      <c r="C1493" s="2"/>
      <c r="D1493" s="4"/>
      <c r="E1493" s="4"/>
      <c r="F1493" s="4"/>
      <c r="Q1493" s="3"/>
      <c r="R1493" s="3"/>
      <c r="S1493" s="3"/>
      <c r="T1493" s="3"/>
      <c r="U1493" s="3"/>
    </row>
    <row r="1494" spans="2:21" x14ac:dyDescent="0.25">
      <c r="B1494" s="2"/>
      <c r="C1494" s="2"/>
      <c r="D1494" s="4"/>
      <c r="E1494" s="4"/>
      <c r="F1494" s="4"/>
      <c r="Q1494" s="3"/>
      <c r="R1494" s="3"/>
      <c r="S1494" s="3"/>
      <c r="T1494" s="3"/>
      <c r="U1494" s="3"/>
    </row>
    <row r="1495" spans="2:21" x14ac:dyDescent="0.25">
      <c r="B1495" s="2"/>
      <c r="C1495" s="2"/>
      <c r="D1495" s="4"/>
      <c r="E1495" s="4"/>
      <c r="F1495" s="4"/>
      <c r="Q1495" s="3"/>
      <c r="R1495" s="3"/>
      <c r="S1495" s="3"/>
      <c r="T1495" s="3"/>
      <c r="U1495" s="3"/>
    </row>
    <row r="1496" spans="2:21" x14ac:dyDescent="0.25">
      <c r="B1496" s="2"/>
      <c r="C1496" s="2"/>
      <c r="D1496" s="4"/>
      <c r="E1496" s="4"/>
      <c r="F1496" s="4"/>
      <c r="Q1496" s="3"/>
      <c r="R1496" s="3"/>
      <c r="S1496" s="3"/>
      <c r="T1496" s="3"/>
      <c r="U1496" s="3"/>
    </row>
    <row r="1497" spans="2:21" x14ac:dyDescent="0.25">
      <c r="B1497" s="2"/>
      <c r="C1497" s="2"/>
      <c r="D1497" s="4"/>
      <c r="E1497" s="4"/>
      <c r="F1497" s="4"/>
      <c r="Q1497" s="3"/>
      <c r="R1497" s="3"/>
      <c r="S1497" s="3"/>
      <c r="T1497" s="3"/>
      <c r="U1497" s="3"/>
    </row>
    <row r="1498" spans="2:21" x14ac:dyDescent="0.25">
      <c r="B1498" s="2"/>
      <c r="C1498" s="2"/>
      <c r="D1498" s="4"/>
      <c r="E1498" s="4"/>
      <c r="F1498" s="4"/>
      <c r="Q1498" s="3"/>
      <c r="R1498" s="3"/>
      <c r="S1498" s="3"/>
      <c r="T1498" s="3"/>
      <c r="U1498" s="3"/>
    </row>
    <row r="1499" spans="2:21" x14ac:dyDescent="0.25">
      <c r="B1499" s="2"/>
      <c r="C1499" s="2"/>
      <c r="D1499" s="4"/>
      <c r="E1499" s="4"/>
      <c r="F1499" s="4"/>
      <c r="Q1499" s="3"/>
      <c r="R1499" s="3"/>
      <c r="S1499" s="3"/>
      <c r="T1499" s="3"/>
      <c r="U1499" s="3"/>
    </row>
    <row r="1500" spans="2:21" x14ac:dyDescent="0.25">
      <c r="B1500" s="2"/>
      <c r="C1500" s="2"/>
      <c r="D1500" s="4"/>
      <c r="E1500" s="4"/>
      <c r="F1500" s="4"/>
      <c r="Q1500" s="3"/>
      <c r="R1500" s="3"/>
      <c r="S1500" s="3"/>
      <c r="T1500" s="3"/>
      <c r="U1500" s="3"/>
    </row>
    <row r="1501" spans="2:21" x14ac:dyDescent="0.25">
      <c r="B1501" s="2"/>
      <c r="C1501" s="2"/>
      <c r="D1501" s="4"/>
      <c r="E1501" s="4"/>
      <c r="F1501" s="4"/>
      <c r="Q1501" s="3"/>
      <c r="R1501" s="3"/>
      <c r="S1501" s="3"/>
      <c r="T1501" s="3"/>
      <c r="U1501" s="3"/>
    </row>
    <row r="1502" spans="2:21" x14ac:dyDescent="0.25">
      <c r="B1502" s="2"/>
      <c r="C1502" s="2"/>
      <c r="D1502" s="4"/>
      <c r="E1502" s="4"/>
      <c r="F1502" s="4"/>
      <c r="Q1502" s="3"/>
      <c r="R1502" s="3"/>
      <c r="S1502" s="3"/>
      <c r="T1502" s="3"/>
      <c r="U1502" s="3"/>
    </row>
    <row r="1503" spans="2:21" x14ac:dyDescent="0.25">
      <c r="B1503" s="2"/>
      <c r="C1503" s="2"/>
      <c r="D1503" s="4"/>
      <c r="E1503" s="4"/>
      <c r="F1503" s="4"/>
      <c r="Q1503" s="3"/>
      <c r="R1503" s="3"/>
      <c r="S1503" s="3"/>
      <c r="T1503" s="3"/>
      <c r="U1503" s="3"/>
    </row>
    <row r="1504" spans="2:21" x14ac:dyDescent="0.25">
      <c r="B1504" s="2"/>
      <c r="C1504" s="2"/>
      <c r="D1504" s="4"/>
      <c r="E1504" s="4"/>
      <c r="F1504" s="4"/>
      <c r="Q1504" s="3"/>
      <c r="R1504" s="3"/>
      <c r="S1504" s="3"/>
      <c r="T1504" s="3"/>
      <c r="U1504" s="3"/>
    </row>
    <row r="1505" spans="2:21" x14ac:dyDescent="0.25">
      <c r="B1505" s="2"/>
      <c r="C1505" s="2"/>
      <c r="D1505" s="4"/>
      <c r="E1505" s="4"/>
      <c r="F1505" s="4"/>
      <c r="Q1505" s="3"/>
      <c r="R1505" s="3"/>
      <c r="S1505" s="3"/>
      <c r="T1505" s="3"/>
      <c r="U1505" s="3"/>
    </row>
    <row r="1506" spans="2:21" x14ac:dyDescent="0.25">
      <c r="B1506" s="2"/>
      <c r="C1506" s="2"/>
      <c r="D1506" s="4"/>
      <c r="E1506" s="4"/>
      <c r="F1506" s="4"/>
      <c r="Q1506" s="3"/>
      <c r="R1506" s="3"/>
      <c r="S1506" s="3"/>
      <c r="T1506" s="3"/>
      <c r="U1506" s="3"/>
    </row>
    <row r="1507" spans="2:21" x14ac:dyDescent="0.25">
      <c r="B1507" s="2"/>
      <c r="C1507" s="2"/>
      <c r="D1507" s="4"/>
      <c r="E1507" s="4"/>
      <c r="F1507" s="4"/>
      <c r="Q1507" s="3"/>
      <c r="R1507" s="3"/>
      <c r="S1507" s="3"/>
      <c r="T1507" s="3"/>
      <c r="U1507" s="3"/>
    </row>
    <row r="1508" spans="2:21" x14ac:dyDescent="0.25">
      <c r="B1508" s="2"/>
      <c r="C1508" s="2"/>
      <c r="D1508" s="4"/>
      <c r="E1508" s="4"/>
      <c r="F1508" s="4"/>
      <c r="Q1508" s="3"/>
      <c r="R1508" s="3"/>
      <c r="S1508" s="3"/>
      <c r="T1508" s="3"/>
      <c r="U1508" s="3"/>
    </row>
    <row r="1509" spans="2:21" x14ac:dyDescent="0.25">
      <c r="B1509" s="2"/>
      <c r="C1509" s="2"/>
      <c r="D1509" s="4"/>
      <c r="E1509" s="4"/>
      <c r="F1509" s="4"/>
      <c r="Q1509" s="3"/>
      <c r="R1509" s="3"/>
      <c r="S1509" s="3"/>
      <c r="T1509" s="3"/>
      <c r="U1509" s="3"/>
    </row>
    <row r="1510" spans="2:21" x14ac:dyDescent="0.25">
      <c r="B1510" s="2"/>
      <c r="C1510" s="2"/>
      <c r="D1510" s="4"/>
      <c r="E1510" s="4"/>
      <c r="F1510" s="4"/>
      <c r="Q1510" s="3"/>
      <c r="R1510" s="3"/>
      <c r="S1510" s="3"/>
      <c r="T1510" s="3"/>
      <c r="U1510" s="3"/>
    </row>
    <row r="1511" spans="2:21" x14ac:dyDescent="0.25">
      <c r="B1511" s="2"/>
      <c r="C1511" s="2"/>
      <c r="D1511" s="4"/>
      <c r="E1511" s="4"/>
      <c r="F1511" s="4"/>
      <c r="Q1511" s="3"/>
      <c r="R1511" s="3"/>
      <c r="S1511" s="3"/>
      <c r="T1511" s="3"/>
      <c r="U1511" s="3"/>
    </row>
    <row r="1512" spans="2:21" x14ac:dyDescent="0.25">
      <c r="B1512" s="2"/>
      <c r="C1512" s="2"/>
      <c r="D1512" s="4"/>
      <c r="E1512" s="4"/>
      <c r="F1512" s="4"/>
      <c r="Q1512" s="3"/>
      <c r="R1512" s="3"/>
      <c r="S1512" s="3"/>
      <c r="T1512" s="3"/>
      <c r="U1512" s="3"/>
    </row>
    <row r="1513" spans="2:21" x14ac:dyDescent="0.25">
      <c r="B1513" s="2"/>
      <c r="C1513" s="2"/>
      <c r="D1513" s="4"/>
      <c r="E1513" s="4"/>
      <c r="F1513" s="4"/>
      <c r="Q1513" s="3"/>
      <c r="R1513" s="3"/>
      <c r="S1513" s="3"/>
      <c r="T1513" s="3"/>
      <c r="U1513" s="3"/>
    </row>
    <row r="1514" spans="2:21" x14ac:dyDescent="0.25">
      <c r="B1514" s="2"/>
      <c r="C1514" s="2"/>
      <c r="D1514" s="4"/>
      <c r="E1514" s="4"/>
      <c r="F1514" s="4"/>
      <c r="Q1514" s="3"/>
      <c r="R1514" s="3"/>
      <c r="S1514" s="3"/>
      <c r="T1514" s="3"/>
      <c r="U1514" s="3"/>
    </row>
    <row r="1515" spans="2:21" x14ac:dyDescent="0.25">
      <c r="B1515" s="2"/>
      <c r="C1515" s="2"/>
      <c r="D1515" s="4"/>
      <c r="E1515" s="4"/>
      <c r="F1515" s="4"/>
      <c r="Q1515" s="3"/>
      <c r="R1515" s="3"/>
      <c r="S1515" s="3"/>
      <c r="T1515" s="3"/>
      <c r="U1515" s="3"/>
    </row>
    <row r="1516" spans="2:21" x14ac:dyDescent="0.25">
      <c r="B1516" s="2"/>
      <c r="C1516" s="2"/>
      <c r="D1516" s="4"/>
      <c r="E1516" s="4"/>
      <c r="F1516" s="4"/>
      <c r="Q1516" s="3"/>
      <c r="R1516" s="3"/>
      <c r="S1516" s="3"/>
      <c r="T1516" s="3"/>
      <c r="U1516" s="3"/>
    </row>
    <row r="1517" spans="2:21" x14ac:dyDescent="0.25">
      <c r="B1517" s="2"/>
      <c r="C1517" s="2"/>
      <c r="D1517" s="4"/>
      <c r="E1517" s="4"/>
      <c r="F1517" s="4"/>
      <c r="Q1517" s="3"/>
      <c r="R1517" s="3"/>
      <c r="S1517" s="3"/>
      <c r="T1517" s="3"/>
      <c r="U1517" s="3"/>
    </row>
    <row r="1518" spans="2:21" x14ac:dyDescent="0.25">
      <c r="B1518" s="2"/>
      <c r="C1518" s="2"/>
      <c r="D1518" s="4"/>
      <c r="E1518" s="4"/>
      <c r="F1518" s="4"/>
      <c r="Q1518" s="3"/>
      <c r="R1518" s="3"/>
      <c r="S1518" s="3"/>
      <c r="T1518" s="3"/>
      <c r="U1518" s="3"/>
    </row>
    <row r="1519" spans="2:21" x14ac:dyDescent="0.25">
      <c r="B1519" s="2"/>
      <c r="C1519" s="2"/>
      <c r="D1519" s="4"/>
      <c r="E1519" s="4"/>
      <c r="F1519" s="4"/>
      <c r="Q1519" s="3"/>
      <c r="R1519" s="3"/>
      <c r="S1519" s="3"/>
      <c r="T1519" s="3"/>
      <c r="U1519" s="3"/>
    </row>
    <row r="1520" spans="2:21" x14ac:dyDescent="0.25">
      <c r="B1520" s="2"/>
      <c r="C1520" s="2"/>
      <c r="D1520" s="4"/>
      <c r="E1520" s="4"/>
      <c r="F1520" s="4"/>
      <c r="Q1520" s="3"/>
      <c r="R1520" s="3"/>
      <c r="S1520" s="3"/>
      <c r="T1520" s="3"/>
      <c r="U1520" s="3"/>
    </row>
    <row r="1521" spans="2:21" x14ac:dyDescent="0.25">
      <c r="B1521" s="2"/>
      <c r="C1521" s="2"/>
      <c r="D1521" s="4"/>
      <c r="E1521" s="4"/>
      <c r="F1521" s="4"/>
      <c r="Q1521" s="3"/>
      <c r="R1521" s="3"/>
      <c r="S1521" s="3"/>
      <c r="T1521" s="3"/>
      <c r="U1521" s="3"/>
    </row>
    <row r="1522" spans="2:21" x14ac:dyDescent="0.25">
      <c r="B1522" s="2"/>
      <c r="C1522" s="2"/>
      <c r="D1522" s="4"/>
      <c r="E1522" s="4"/>
      <c r="F1522" s="4"/>
      <c r="Q1522" s="3"/>
      <c r="R1522" s="3"/>
      <c r="S1522" s="3"/>
      <c r="T1522" s="3"/>
      <c r="U1522" s="3"/>
    </row>
    <row r="1523" spans="2:21" x14ac:dyDescent="0.25">
      <c r="B1523" s="2"/>
      <c r="C1523" s="2"/>
      <c r="D1523" s="4"/>
      <c r="E1523" s="4"/>
      <c r="F1523" s="4"/>
      <c r="Q1523" s="3"/>
      <c r="R1523" s="3"/>
      <c r="S1523" s="3"/>
      <c r="T1523" s="3"/>
      <c r="U1523" s="3"/>
    </row>
    <row r="1524" spans="2:21" x14ac:dyDescent="0.25">
      <c r="B1524" s="2"/>
      <c r="C1524" s="2"/>
      <c r="D1524" s="4"/>
      <c r="E1524" s="4"/>
      <c r="F1524" s="4"/>
      <c r="Q1524" s="3"/>
      <c r="R1524" s="3"/>
      <c r="S1524" s="3"/>
      <c r="T1524" s="3"/>
      <c r="U1524" s="3"/>
    </row>
    <row r="1525" spans="2:21" x14ac:dyDescent="0.25">
      <c r="B1525" s="2"/>
      <c r="C1525" s="2"/>
      <c r="D1525" s="4"/>
      <c r="E1525" s="4"/>
      <c r="F1525" s="4"/>
      <c r="Q1525" s="3"/>
      <c r="R1525" s="3"/>
      <c r="S1525" s="3"/>
      <c r="T1525" s="3"/>
      <c r="U1525" s="3"/>
    </row>
    <row r="1526" spans="2:21" x14ac:dyDescent="0.25">
      <c r="B1526" s="2"/>
      <c r="C1526" s="2"/>
      <c r="D1526" s="4"/>
      <c r="E1526" s="4"/>
      <c r="F1526" s="4"/>
      <c r="Q1526" s="3"/>
      <c r="R1526" s="3"/>
      <c r="S1526" s="3"/>
      <c r="T1526" s="3"/>
      <c r="U1526" s="3"/>
    </row>
    <row r="1527" spans="2:21" x14ac:dyDescent="0.25">
      <c r="B1527" s="2"/>
      <c r="C1527" s="2"/>
      <c r="D1527" s="4"/>
      <c r="E1527" s="4"/>
      <c r="F1527" s="4"/>
      <c r="Q1527" s="3"/>
      <c r="R1527" s="3"/>
      <c r="S1527" s="3"/>
      <c r="T1527" s="3"/>
      <c r="U1527" s="3"/>
    </row>
    <row r="1528" spans="2:21" x14ac:dyDescent="0.25">
      <c r="B1528" s="2"/>
      <c r="C1528" s="2"/>
      <c r="D1528" s="4"/>
      <c r="E1528" s="4"/>
      <c r="F1528" s="4"/>
      <c r="Q1528" s="3"/>
      <c r="R1528" s="3"/>
      <c r="S1528" s="3"/>
      <c r="T1528" s="3"/>
      <c r="U1528" s="3"/>
    </row>
    <row r="1529" spans="2:21" x14ac:dyDescent="0.25">
      <c r="B1529" s="2"/>
      <c r="C1529" s="2"/>
      <c r="D1529" s="4"/>
      <c r="E1529" s="4"/>
      <c r="F1529" s="4"/>
      <c r="Q1529" s="3"/>
      <c r="R1529" s="3"/>
      <c r="S1529" s="3"/>
      <c r="T1529" s="3"/>
      <c r="U1529" s="3"/>
    </row>
    <row r="1530" spans="2:21" x14ac:dyDescent="0.25">
      <c r="B1530" s="2"/>
      <c r="C1530" s="2"/>
      <c r="D1530" s="4"/>
      <c r="E1530" s="4"/>
      <c r="F1530" s="4"/>
      <c r="Q1530" s="3"/>
      <c r="R1530" s="3"/>
      <c r="S1530" s="3"/>
      <c r="T1530" s="3"/>
      <c r="U1530" s="3"/>
    </row>
    <row r="1531" spans="2:21" x14ac:dyDescent="0.25">
      <c r="B1531" s="2"/>
      <c r="C1531" s="2"/>
      <c r="D1531" s="4"/>
      <c r="E1531" s="4"/>
      <c r="F1531" s="4"/>
      <c r="Q1531" s="3"/>
      <c r="R1531" s="3"/>
      <c r="S1531" s="3"/>
      <c r="T1531" s="3"/>
      <c r="U1531" s="3"/>
    </row>
    <row r="1532" spans="2:21" x14ac:dyDescent="0.25">
      <c r="B1532" s="2"/>
      <c r="C1532" s="2"/>
      <c r="D1532" s="4"/>
      <c r="E1532" s="4"/>
      <c r="F1532" s="4"/>
      <c r="Q1532" s="3"/>
      <c r="R1532" s="3"/>
      <c r="S1532" s="3"/>
      <c r="T1532" s="3"/>
      <c r="U1532" s="3"/>
    </row>
    <row r="1533" spans="2:21" x14ac:dyDescent="0.25">
      <c r="B1533" s="2"/>
      <c r="C1533" s="2"/>
      <c r="D1533" s="4"/>
      <c r="E1533" s="4"/>
      <c r="F1533" s="4"/>
      <c r="Q1533" s="3"/>
      <c r="R1533" s="3"/>
      <c r="S1533" s="3"/>
      <c r="T1533" s="3"/>
      <c r="U1533" s="3"/>
    </row>
    <row r="1534" spans="2:21" x14ac:dyDescent="0.25">
      <c r="B1534" s="2"/>
      <c r="C1534" s="2"/>
      <c r="D1534" s="4"/>
      <c r="E1534" s="4"/>
      <c r="F1534" s="4"/>
      <c r="Q1534" s="3"/>
      <c r="R1534" s="3"/>
      <c r="S1534" s="3"/>
      <c r="T1534" s="3"/>
      <c r="U1534" s="3"/>
    </row>
    <row r="1535" spans="2:21" x14ac:dyDescent="0.25">
      <c r="B1535" s="2"/>
      <c r="C1535" s="2"/>
      <c r="D1535" s="4"/>
      <c r="E1535" s="4"/>
      <c r="F1535" s="4"/>
      <c r="Q1535" s="3"/>
      <c r="R1535" s="3"/>
      <c r="S1535" s="3"/>
      <c r="T1535" s="3"/>
      <c r="U1535" s="3"/>
    </row>
    <row r="1536" spans="2:21" x14ac:dyDescent="0.25">
      <c r="B1536" s="2"/>
      <c r="C1536" s="2"/>
      <c r="D1536" s="4"/>
      <c r="E1536" s="4"/>
      <c r="F1536" s="4"/>
      <c r="Q1536" s="3"/>
      <c r="R1536" s="3"/>
      <c r="S1536" s="3"/>
      <c r="T1536" s="3"/>
      <c r="U1536" s="3"/>
    </row>
    <row r="1537" spans="2:21" x14ac:dyDescent="0.25">
      <c r="B1537" s="2"/>
      <c r="C1537" s="2"/>
      <c r="D1537" s="4"/>
      <c r="E1537" s="4"/>
      <c r="F1537" s="4"/>
      <c r="Q1537" s="3"/>
      <c r="R1537" s="3"/>
      <c r="S1537" s="3"/>
      <c r="T1537" s="3"/>
      <c r="U1537" s="3"/>
    </row>
    <row r="1538" spans="2:21" x14ac:dyDescent="0.25">
      <c r="B1538" s="2"/>
      <c r="C1538" s="2"/>
      <c r="D1538" s="4"/>
      <c r="E1538" s="4"/>
      <c r="F1538" s="4"/>
      <c r="Q1538" s="3"/>
      <c r="R1538" s="3"/>
      <c r="S1538" s="3"/>
      <c r="T1538" s="3"/>
      <c r="U1538" s="3"/>
    </row>
    <row r="1539" spans="2:21" x14ac:dyDescent="0.25">
      <c r="B1539" s="2"/>
      <c r="C1539" s="2"/>
      <c r="D1539" s="4"/>
      <c r="E1539" s="4"/>
      <c r="F1539" s="4"/>
      <c r="Q1539" s="3"/>
      <c r="R1539" s="3"/>
      <c r="S1539" s="3"/>
      <c r="T1539" s="3"/>
      <c r="U1539" s="3"/>
    </row>
    <row r="1540" spans="2:21" x14ac:dyDescent="0.25">
      <c r="B1540" s="2"/>
      <c r="C1540" s="2"/>
      <c r="D1540" s="4"/>
      <c r="E1540" s="4"/>
      <c r="F1540" s="4"/>
      <c r="Q1540" s="3"/>
      <c r="R1540" s="3"/>
      <c r="S1540" s="3"/>
      <c r="T1540" s="3"/>
      <c r="U1540" s="3"/>
    </row>
    <row r="1541" spans="2:21" x14ac:dyDescent="0.25">
      <c r="B1541" s="2"/>
      <c r="C1541" s="2"/>
      <c r="D1541" s="4"/>
      <c r="E1541" s="4"/>
      <c r="F1541" s="4"/>
      <c r="Q1541" s="3"/>
      <c r="R1541" s="3"/>
      <c r="S1541" s="3"/>
      <c r="T1541" s="3"/>
      <c r="U1541" s="3"/>
    </row>
    <row r="1542" spans="2:21" x14ac:dyDescent="0.25">
      <c r="B1542" s="2"/>
      <c r="C1542" s="2"/>
      <c r="D1542" s="4"/>
      <c r="E1542" s="4"/>
      <c r="F1542" s="4"/>
      <c r="Q1542" s="3"/>
      <c r="R1542" s="3"/>
      <c r="S1542" s="3"/>
      <c r="T1542" s="3"/>
      <c r="U1542" s="3"/>
    </row>
    <row r="1543" spans="2:21" x14ac:dyDescent="0.25">
      <c r="B1543" s="2"/>
      <c r="C1543" s="2"/>
      <c r="D1543" s="4"/>
      <c r="E1543" s="4"/>
      <c r="F1543" s="4"/>
      <c r="Q1543" s="3"/>
      <c r="R1543" s="3"/>
      <c r="S1543" s="3"/>
      <c r="T1543" s="3"/>
      <c r="U1543" s="3"/>
    </row>
    <row r="1544" spans="2:21" x14ac:dyDescent="0.25">
      <c r="B1544" s="2"/>
      <c r="C1544" s="2"/>
      <c r="D1544" s="4"/>
      <c r="E1544" s="4"/>
      <c r="F1544" s="4"/>
      <c r="Q1544" s="3"/>
      <c r="R1544" s="3"/>
      <c r="S1544" s="3"/>
      <c r="T1544" s="3"/>
      <c r="U1544" s="3"/>
    </row>
    <row r="1545" spans="2:21" x14ac:dyDescent="0.25">
      <c r="B1545" s="2"/>
      <c r="C1545" s="2"/>
      <c r="D1545" s="4"/>
      <c r="E1545" s="4"/>
      <c r="F1545" s="4"/>
      <c r="Q1545" s="3"/>
      <c r="R1545" s="3"/>
      <c r="S1545" s="3"/>
      <c r="T1545" s="3"/>
      <c r="U1545" s="3"/>
    </row>
    <row r="1546" spans="2:21" x14ac:dyDescent="0.25">
      <c r="B1546" s="2"/>
      <c r="C1546" s="2"/>
      <c r="D1546" s="4"/>
      <c r="E1546" s="4"/>
      <c r="F1546" s="4"/>
      <c r="Q1546" s="3"/>
      <c r="R1546" s="3"/>
      <c r="S1546" s="3"/>
      <c r="T1546" s="3"/>
      <c r="U1546" s="3"/>
    </row>
    <row r="1547" spans="2:21" x14ac:dyDescent="0.25">
      <c r="B1547" s="2"/>
      <c r="C1547" s="2"/>
      <c r="D1547" s="4"/>
      <c r="E1547" s="4"/>
      <c r="F1547" s="4"/>
      <c r="Q1547" s="3"/>
      <c r="R1547" s="3"/>
      <c r="S1547" s="3"/>
      <c r="T1547" s="3"/>
      <c r="U1547" s="3"/>
    </row>
    <row r="1548" spans="2:21" x14ac:dyDescent="0.25">
      <c r="B1548" s="2"/>
      <c r="C1548" s="2"/>
      <c r="D1548" s="4"/>
      <c r="E1548" s="4"/>
      <c r="F1548" s="4"/>
      <c r="Q1548" s="3"/>
      <c r="R1548" s="3"/>
      <c r="S1548" s="3"/>
      <c r="T1548" s="3"/>
      <c r="U1548" s="3"/>
    </row>
    <row r="1549" spans="2:21" x14ac:dyDescent="0.25">
      <c r="B1549" s="2"/>
      <c r="C1549" s="2"/>
      <c r="D1549" s="4"/>
      <c r="E1549" s="4"/>
      <c r="F1549" s="4"/>
      <c r="Q1549" s="3"/>
      <c r="R1549" s="3"/>
      <c r="S1549" s="3"/>
      <c r="T1549" s="3"/>
      <c r="U1549" s="3"/>
    </row>
    <row r="1550" spans="2:21" x14ac:dyDescent="0.25">
      <c r="B1550" s="2"/>
      <c r="C1550" s="2"/>
      <c r="D1550" s="4"/>
      <c r="E1550" s="4"/>
      <c r="F1550" s="4"/>
      <c r="Q1550" s="3"/>
      <c r="R1550" s="3"/>
      <c r="S1550" s="3"/>
      <c r="T1550" s="3"/>
      <c r="U1550" s="3"/>
    </row>
    <row r="1551" spans="2:21" x14ac:dyDescent="0.25">
      <c r="B1551" s="2"/>
      <c r="C1551" s="2"/>
      <c r="D1551" s="4"/>
      <c r="E1551" s="4"/>
      <c r="F1551" s="4"/>
      <c r="Q1551" s="3"/>
      <c r="R1551" s="3"/>
      <c r="S1551" s="3"/>
      <c r="T1551" s="3"/>
      <c r="U1551" s="3"/>
    </row>
    <row r="1552" spans="2:21" x14ac:dyDescent="0.25">
      <c r="B1552" s="2"/>
      <c r="C1552" s="2"/>
      <c r="D1552" s="4"/>
      <c r="E1552" s="4"/>
      <c r="F1552" s="4"/>
      <c r="Q1552" s="3"/>
      <c r="R1552" s="3"/>
      <c r="S1552" s="3"/>
      <c r="T1552" s="3"/>
      <c r="U1552" s="3"/>
    </row>
    <row r="1553" spans="2:21" x14ac:dyDescent="0.25">
      <c r="B1553" s="2"/>
      <c r="C1553" s="2"/>
      <c r="D1553" s="4"/>
      <c r="E1553" s="4"/>
      <c r="F1553" s="4"/>
      <c r="Q1553" s="3"/>
      <c r="R1553" s="3"/>
      <c r="S1553" s="3"/>
      <c r="T1553" s="3"/>
      <c r="U1553" s="3"/>
    </row>
    <row r="1554" spans="2:21" x14ac:dyDescent="0.25">
      <c r="B1554" s="2"/>
      <c r="C1554" s="2"/>
      <c r="D1554" s="4"/>
      <c r="E1554" s="4"/>
      <c r="F1554" s="4"/>
      <c r="Q1554" s="3"/>
      <c r="R1554" s="3"/>
      <c r="S1554" s="3"/>
      <c r="T1554" s="3"/>
      <c r="U1554" s="3"/>
    </row>
    <row r="1555" spans="2:21" x14ac:dyDescent="0.25">
      <c r="B1555" s="2"/>
      <c r="C1555" s="2"/>
      <c r="D1555" s="4"/>
      <c r="E1555" s="4"/>
      <c r="F1555" s="4"/>
      <c r="Q1555" s="3"/>
      <c r="R1555" s="3"/>
      <c r="S1555" s="3"/>
      <c r="T1555" s="3"/>
      <c r="U1555" s="3"/>
    </row>
    <row r="1556" spans="2:21" x14ac:dyDescent="0.25">
      <c r="B1556" s="2"/>
      <c r="C1556" s="2"/>
      <c r="D1556" s="4"/>
      <c r="E1556" s="4"/>
      <c r="F1556" s="4"/>
      <c r="Q1556" s="3"/>
      <c r="R1556" s="3"/>
      <c r="S1556" s="3"/>
      <c r="T1556" s="3"/>
      <c r="U1556" s="3"/>
    </row>
    <row r="1557" spans="2:21" x14ac:dyDescent="0.25">
      <c r="B1557" s="2"/>
      <c r="C1557" s="2"/>
      <c r="D1557" s="4"/>
      <c r="E1557" s="4"/>
      <c r="F1557" s="4"/>
      <c r="Q1557" s="3"/>
      <c r="R1557" s="3"/>
      <c r="S1557" s="3"/>
      <c r="T1557" s="3"/>
      <c r="U1557" s="3"/>
    </row>
    <row r="1558" spans="2:21" x14ac:dyDescent="0.25">
      <c r="B1558" s="2"/>
      <c r="C1558" s="2"/>
      <c r="D1558" s="4"/>
      <c r="E1558" s="4"/>
      <c r="F1558" s="4"/>
      <c r="Q1558" s="3"/>
      <c r="R1558" s="3"/>
      <c r="S1558" s="3"/>
      <c r="T1558" s="3"/>
      <c r="U1558" s="3"/>
    </row>
    <row r="1559" spans="2:21" x14ac:dyDescent="0.25">
      <c r="B1559" s="2"/>
      <c r="C1559" s="2"/>
      <c r="D1559" s="4"/>
      <c r="E1559" s="4"/>
      <c r="F1559" s="4"/>
      <c r="Q1559" s="3"/>
      <c r="R1559" s="3"/>
      <c r="S1559" s="3"/>
      <c r="T1559" s="3"/>
      <c r="U1559" s="3"/>
    </row>
    <row r="1560" spans="2:21" x14ac:dyDescent="0.25">
      <c r="B1560" s="2"/>
      <c r="C1560" s="2"/>
      <c r="D1560" s="4"/>
      <c r="E1560" s="4"/>
      <c r="F1560" s="4"/>
      <c r="Q1560" s="3"/>
      <c r="R1560" s="3"/>
      <c r="S1560" s="3"/>
      <c r="T1560" s="3"/>
      <c r="U1560" s="3"/>
    </row>
    <row r="1561" spans="2:21" x14ac:dyDescent="0.25">
      <c r="B1561" s="2"/>
      <c r="C1561" s="2"/>
      <c r="D1561" s="4"/>
      <c r="E1561" s="4"/>
      <c r="F1561" s="4"/>
      <c r="Q1561" s="3"/>
      <c r="R1561" s="3"/>
      <c r="S1561" s="3"/>
      <c r="T1561" s="3"/>
      <c r="U1561" s="3"/>
    </row>
    <row r="1562" spans="2:21" x14ac:dyDescent="0.25">
      <c r="B1562" s="2"/>
      <c r="C1562" s="2"/>
      <c r="D1562" s="4"/>
      <c r="E1562" s="4"/>
      <c r="F1562" s="4"/>
      <c r="Q1562" s="3"/>
      <c r="R1562" s="3"/>
      <c r="S1562" s="3"/>
      <c r="T1562" s="3"/>
      <c r="U1562" s="3"/>
    </row>
    <row r="1563" spans="2:21" x14ac:dyDescent="0.25">
      <c r="B1563" s="2"/>
      <c r="C1563" s="2"/>
      <c r="D1563" s="4"/>
      <c r="E1563" s="4"/>
      <c r="F1563" s="4"/>
      <c r="Q1563" s="3"/>
      <c r="R1563" s="3"/>
      <c r="S1563" s="3"/>
      <c r="T1563" s="3"/>
      <c r="U1563" s="3"/>
    </row>
    <row r="1564" spans="2:21" x14ac:dyDescent="0.25">
      <c r="B1564" s="2"/>
      <c r="C1564" s="2"/>
      <c r="D1564" s="4"/>
      <c r="E1564" s="4"/>
      <c r="F1564" s="4"/>
      <c r="Q1564" s="3"/>
      <c r="R1564" s="3"/>
      <c r="S1564" s="3"/>
      <c r="T1564" s="3"/>
      <c r="U1564" s="3"/>
    </row>
    <row r="1565" spans="2:21" x14ac:dyDescent="0.25">
      <c r="B1565" s="2"/>
      <c r="C1565" s="2"/>
      <c r="D1565" s="4"/>
      <c r="E1565" s="4"/>
      <c r="F1565" s="4"/>
      <c r="Q1565" s="3"/>
      <c r="R1565" s="3"/>
      <c r="S1565" s="3"/>
      <c r="T1565" s="3"/>
      <c r="U1565" s="3"/>
    </row>
    <row r="1566" spans="2:21" x14ac:dyDescent="0.25">
      <c r="B1566" s="2"/>
      <c r="C1566" s="2"/>
      <c r="D1566" s="4"/>
      <c r="E1566" s="4"/>
      <c r="F1566" s="4"/>
      <c r="Q1566" s="3"/>
      <c r="R1566" s="3"/>
      <c r="S1566" s="3"/>
      <c r="T1566" s="3"/>
      <c r="U1566" s="3"/>
    </row>
    <row r="1567" spans="2:21" x14ac:dyDescent="0.25">
      <c r="B1567" s="2"/>
      <c r="C1567" s="2"/>
      <c r="D1567" s="4"/>
      <c r="E1567" s="4"/>
      <c r="F1567" s="4"/>
      <c r="Q1567" s="3"/>
      <c r="R1567" s="3"/>
      <c r="S1567" s="3"/>
      <c r="T1567" s="3"/>
      <c r="U1567" s="3"/>
    </row>
    <row r="1568" spans="2:21" x14ac:dyDescent="0.25">
      <c r="B1568" s="2"/>
      <c r="C1568" s="2"/>
      <c r="D1568" s="4"/>
      <c r="E1568" s="4"/>
      <c r="F1568" s="4"/>
      <c r="Q1568" s="3"/>
      <c r="R1568" s="3"/>
      <c r="S1568" s="3"/>
      <c r="T1568" s="3"/>
      <c r="U1568" s="3"/>
    </row>
    <row r="1569" spans="2:21" x14ac:dyDescent="0.25">
      <c r="B1569" s="2"/>
      <c r="C1569" s="2"/>
      <c r="D1569" s="4"/>
      <c r="E1569" s="4"/>
      <c r="F1569" s="4"/>
      <c r="Q1569" s="3"/>
      <c r="R1569" s="3"/>
      <c r="S1569" s="3"/>
      <c r="T1569" s="3"/>
      <c r="U1569" s="3"/>
    </row>
    <row r="1570" spans="2:21" x14ac:dyDescent="0.25">
      <c r="B1570" s="2"/>
      <c r="C1570" s="2"/>
      <c r="D1570" s="4"/>
      <c r="E1570" s="4"/>
      <c r="F1570" s="4"/>
      <c r="Q1570" s="3"/>
      <c r="R1570" s="3"/>
      <c r="S1570" s="3"/>
      <c r="T1570" s="3"/>
      <c r="U1570" s="3"/>
    </row>
    <row r="1571" spans="2:21" x14ac:dyDescent="0.25">
      <c r="B1571" s="2"/>
      <c r="C1571" s="2"/>
      <c r="D1571" s="4"/>
      <c r="E1571" s="4"/>
      <c r="F1571" s="4"/>
      <c r="Q1571" s="3"/>
      <c r="R1571" s="3"/>
      <c r="S1571" s="3"/>
      <c r="T1571" s="3"/>
      <c r="U1571" s="3"/>
    </row>
    <row r="1572" spans="2:21" x14ac:dyDescent="0.25">
      <c r="B1572" s="2"/>
      <c r="C1572" s="2"/>
      <c r="D1572" s="4"/>
      <c r="E1572" s="4"/>
      <c r="F1572" s="4"/>
      <c r="Q1572" s="3"/>
      <c r="R1572" s="3"/>
      <c r="S1572" s="3"/>
      <c r="T1572" s="3"/>
      <c r="U1572" s="3"/>
    </row>
    <row r="1573" spans="2:21" x14ac:dyDescent="0.25">
      <c r="B1573" s="2"/>
      <c r="C1573" s="2"/>
      <c r="D1573" s="4"/>
      <c r="E1573" s="4"/>
      <c r="F1573" s="4"/>
      <c r="Q1573" s="3"/>
      <c r="R1573" s="3"/>
      <c r="S1573" s="3"/>
      <c r="T1573" s="3"/>
      <c r="U1573" s="3"/>
    </row>
    <row r="1574" spans="2:21" x14ac:dyDescent="0.25">
      <c r="B1574" s="2"/>
      <c r="C1574" s="2"/>
      <c r="D1574" s="4"/>
      <c r="E1574" s="4"/>
      <c r="F1574" s="4"/>
      <c r="Q1574" s="3"/>
      <c r="R1574" s="3"/>
      <c r="S1574" s="3"/>
      <c r="T1574" s="3"/>
      <c r="U1574" s="3"/>
    </row>
    <row r="1575" spans="2:21" x14ac:dyDescent="0.25">
      <c r="B1575" s="2"/>
      <c r="C1575" s="2"/>
      <c r="D1575" s="4"/>
      <c r="E1575" s="4"/>
      <c r="F1575" s="4"/>
      <c r="Q1575" s="3"/>
      <c r="R1575" s="3"/>
      <c r="S1575" s="3"/>
      <c r="T1575" s="3"/>
      <c r="U1575" s="3"/>
    </row>
    <row r="1576" spans="2:21" x14ac:dyDescent="0.25">
      <c r="B1576" s="2"/>
      <c r="C1576" s="2"/>
      <c r="D1576" s="4"/>
      <c r="E1576" s="4"/>
      <c r="F1576" s="4"/>
      <c r="Q1576" s="3"/>
      <c r="R1576" s="3"/>
      <c r="S1576" s="3"/>
      <c r="T1576" s="3"/>
      <c r="U1576" s="3"/>
    </row>
    <row r="1577" spans="2:21" x14ac:dyDescent="0.25">
      <c r="B1577" s="2"/>
      <c r="C1577" s="2"/>
      <c r="D1577" s="4"/>
      <c r="E1577" s="4"/>
      <c r="F1577" s="4"/>
      <c r="Q1577" s="3"/>
      <c r="R1577" s="3"/>
      <c r="S1577" s="3"/>
      <c r="T1577" s="3"/>
      <c r="U1577" s="3"/>
    </row>
    <row r="1578" spans="2:21" x14ac:dyDescent="0.25">
      <c r="B1578" s="2"/>
      <c r="C1578" s="2"/>
      <c r="D1578" s="4"/>
      <c r="E1578" s="4"/>
      <c r="F1578" s="4"/>
      <c r="Q1578" s="3"/>
      <c r="R1578" s="3"/>
      <c r="S1578" s="3"/>
      <c r="T1578" s="3"/>
      <c r="U1578" s="3"/>
    </row>
    <row r="1579" spans="2:21" x14ac:dyDescent="0.25">
      <c r="B1579" s="2"/>
      <c r="C1579" s="2"/>
      <c r="D1579" s="4"/>
      <c r="E1579" s="4"/>
      <c r="F1579" s="4"/>
      <c r="Q1579" s="3"/>
      <c r="R1579" s="3"/>
      <c r="S1579" s="3"/>
      <c r="T1579" s="3"/>
      <c r="U1579" s="3"/>
    </row>
    <row r="1580" spans="2:21" x14ac:dyDescent="0.25">
      <c r="B1580" s="2"/>
      <c r="C1580" s="2"/>
      <c r="D1580" s="4"/>
      <c r="E1580" s="4"/>
      <c r="F1580" s="4"/>
      <c r="Q1580" s="3"/>
      <c r="R1580" s="3"/>
      <c r="S1580" s="3"/>
      <c r="T1580" s="3"/>
      <c r="U1580" s="3"/>
    </row>
    <row r="1581" spans="2:21" x14ac:dyDescent="0.25">
      <c r="B1581" s="2"/>
      <c r="C1581" s="2"/>
      <c r="D1581" s="4"/>
      <c r="E1581" s="4"/>
      <c r="F1581" s="4"/>
      <c r="Q1581" s="3"/>
      <c r="R1581" s="3"/>
      <c r="S1581" s="3"/>
      <c r="T1581" s="3"/>
      <c r="U1581" s="3"/>
    </row>
    <row r="1582" spans="2:21" x14ac:dyDescent="0.25">
      <c r="B1582" s="2"/>
      <c r="C1582" s="2"/>
      <c r="D1582" s="4"/>
      <c r="E1582" s="4"/>
      <c r="F1582" s="4"/>
      <c r="Q1582" s="3"/>
      <c r="R1582" s="3"/>
      <c r="S1582" s="3"/>
      <c r="T1582" s="3"/>
      <c r="U1582" s="3"/>
    </row>
    <row r="1583" spans="2:21" x14ac:dyDescent="0.25">
      <c r="B1583" s="2"/>
      <c r="C1583" s="2"/>
      <c r="D1583" s="4"/>
      <c r="E1583" s="4"/>
      <c r="F1583" s="4"/>
      <c r="Q1583" s="3"/>
      <c r="R1583" s="3"/>
      <c r="S1583" s="3"/>
      <c r="T1583" s="3"/>
      <c r="U1583" s="3"/>
    </row>
    <row r="1584" spans="2:21" x14ac:dyDescent="0.25">
      <c r="B1584" s="2"/>
      <c r="C1584" s="2"/>
      <c r="D1584" s="4"/>
      <c r="E1584" s="4"/>
      <c r="F1584" s="4"/>
      <c r="Q1584" s="3"/>
      <c r="R1584" s="3"/>
      <c r="S1584" s="3"/>
      <c r="T1584" s="3"/>
      <c r="U1584" s="3"/>
    </row>
    <row r="1585" spans="2:21" x14ac:dyDescent="0.25">
      <c r="B1585" s="2"/>
      <c r="C1585" s="2"/>
      <c r="D1585" s="4"/>
      <c r="E1585" s="4"/>
      <c r="F1585" s="4"/>
      <c r="Q1585" s="3"/>
      <c r="R1585" s="3"/>
      <c r="S1585" s="3"/>
      <c r="T1585" s="3"/>
      <c r="U1585" s="3"/>
    </row>
    <row r="1586" spans="2:21" x14ac:dyDescent="0.25">
      <c r="B1586" s="2"/>
      <c r="C1586" s="2"/>
      <c r="D1586" s="4"/>
      <c r="E1586" s="4"/>
      <c r="F1586" s="4"/>
      <c r="Q1586" s="3"/>
      <c r="R1586" s="3"/>
      <c r="S1586" s="3"/>
      <c r="T1586" s="3"/>
      <c r="U1586" s="3"/>
    </row>
    <row r="1587" spans="2:21" x14ac:dyDescent="0.25">
      <c r="B1587" s="2"/>
      <c r="C1587" s="2"/>
      <c r="D1587" s="4"/>
      <c r="E1587" s="4"/>
      <c r="F1587" s="4"/>
      <c r="Q1587" s="3"/>
      <c r="R1587" s="3"/>
      <c r="S1587" s="3"/>
      <c r="T1587" s="3"/>
      <c r="U1587" s="3"/>
    </row>
    <row r="1588" spans="2:21" x14ac:dyDescent="0.25">
      <c r="B1588" s="2"/>
      <c r="C1588" s="2"/>
      <c r="D1588" s="4"/>
      <c r="E1588" s="4"/>
      <c r="F1588" s="4"/>
      <c r="Q1588" s="3"/>
      <c r="R1588" s="3"/>
      <c r="S1588" s="3"/>
      <c r="T1588" s="3"/>
      <c r="U1588" s="3"/>
    </row>
    <row r="1589" spans="2:21" x14ac:dyDescent="0.25">
      <c r="B1589" s="2"/>
      <c r="C1589" s="2"/>
      <c r="D1589" s="4"/>
      <c r="E1589" s="4"/>
      <c r="F1589" s="4"/>
      <c r="Q1589" s="3"/>
      <c r="R1589" s="3"/>
      <c r="S1589" s="3"/>
      <c r="T1589" s="3"/>
      <c r="U1589" s="3"/>
    </row>
    <row r="1590" spans="2:21" x14ac:dyDescent="0.25">
      <c r="B1590" s="2"/>
      <c r="C1590" s="2"/>
      <c r="D1590" s="4"/>
      <c r="E1590" s="4"/>
      <c r="F1590" s="4"/>
      <c r="Q1590" s="3"/>
      <c r="R1590" s="3"/>
      <c r="S1590" s="3"/>
      <c r="T1590" s="3"/>
      <c r="U1590" s="3"/>
    </row>
    <row r="1591" spans="2:21" x14ac:dyDescent="0.25">
      <c r="B1591" s="2"/>
      <c r="C1591" s="2"/>
      <c r="D1591" s="4"/>
      <c r="E1591" s="4"/>
      <c r="F1591" s="4"/>
      <c r="Q1591" s="3"/>
      <c r="R1591" s="3"/>
      <c r="S1591" s="3"/>
      <c r="T1591" s="3"/>
      <c r="U1591" s="3"/>
    </row>
    <row r="1592" spans="2:21" x14ac:dyDescent="0.25">
      <c r="B1592" s="2"/>
      <c r="C1592" s="2"/>
      <c r="D1592" s="4"/>
      <c r="E1592" s="4"/>
      <c r="F1592" s="4"/>
      <c r="Q1592" s="3"/>
      <c r="R1592" s="3"/>
      <c r="S1592" s="3"/>
      <c r="T1592" s="3"/>
      <c r="U1592" s="3"/>
    </row>
    <row r="1593" spans="2:21" x14ac:dyDescent="0.25">
      <c r="B1593" s="2"/>
      <c r="C1593" s="2"/>
      <c r="D1593" s="4"/>
      <c r="E1593" s="4"/>
      <c r="F1593" s="4"/>
      <c r="Q1593" s="3"/>
      <c r="R1593" s="3"/>
      <c r="S1593" s="3"/>
      <c r="T1593" s="3"/>
      <c r="U1593" s="3"/>
    </row>
    <row r="1594" spans="2:21" x14ac:dyDescent="0.25">
      <c r="B1594" s="2"/>
      <c r="C1594" s="2"/>
      <c r="D1594" s="4"/>
      <c r="E1594" s="4"/>
      <c r="F1594" s="4"/>
      <c r="Q1594" s="3"/>
      <c r="R1594" s="3"/>
      <c r="S1594" s="3"/>
      <c r="T1594" s="3"/>
      <c r="U1594" s="3"/>
    </row>
    <row r="1595" spans="2:21" x14ac:dyDescent="0.25">
      <c r="B1595" s="2"/>
      <c r="C1595" s="2"/>
      <c r="D1595" s="4"/>
      <c r="E1595" s="4"/>
      <c r="F1595" s="4"/>
      <c r="Q1595" s="3"/>
      <c r="R1595" s="3"/>
      <c r="S1595" s="3"/>
      <c r="T1595" s="3"/>
      <c r="U1595" s="3"/>
    </row>
    <row r="1596" spans="2:21" x14ac:dyDescent="0.25">
      <c r="B1596" s="2"/>
      <c r="C1596" s="2"/>
      <c r="D1596" s="4"/>
      <c r="E1596" s="4"/>
      <c r="F1596" s="4"/>
      <c r="Q1596" s="3"/>
      <c r="R1596" s="3"/>
      <c r="S1596" s="3"/>
      <c r="T1596" s="3"/>
      <c r="U1596" s="3"/>
    </row>
    <row r="1597" spans="2:21" x14ac:dyDescent="0.25">
      <c r="B1597" s="2"/>
      <c r="C1597" s="2"/>
      <c r="D1597" s="4"/>
      <c r="E1597" s="4"/>
      <c r="F1597" s="4"/>
      <c r="Q1597" s="3"/>
      <c r="R1597" s="3"/>
      <c r="S1597" s="3"/>
      <c r="T1597" s="3"/>
      <c r="U1597" s="3"/>
    </row>
    <row r="1598" spans="2:21" x14ac:dyDescent="0.25">
      <c r="B1598" s="2"/>
      <c r="C1598" s="2"/>
      <c r="D1598" s="4"/>
      <c r="E1598" s="4"/>
      <c r="F1598" s="4"/>
      <c r="Q1598" s="3"/>
      <c r="R1598" s="3"/>
      <c r="S1598" s="3"/>
      <c r="T1598" s="3"/>
      <c r="U1598" s="3"/>
    </row>
    <row r="1599" spans="2:21" x14ac:dyDescent="0.25">
      <c r="B1599" s="2"/>
      <c r="C1599" s="2"/>
      <c r="D1599" s="4"/>
      <c r="E1599" s="4"/>
      <c r="F1599" s="4"/>
      <c r="Q1599" s="3"/>
      <c r="R1599" s="3"/>
      <c r="S1599" s="3"/>
      <c r="T1599" s="3"/>
      <c r="U1599" s="3"/>
    </row>
    <row r="1600" spans="2:21" x14ac:dyDescent="0.25">
      <c r="B1600" s="2"/>
      <c r="C1600" s="2"/>
      <c r="D1600" s="4"/>
      <c r="E1600" s="4"/>
      <c r="F1600" s="4"/>
      <c r="Q1600" s="3"/>
      <c r="R1600" s="3"/>
      <c r="S1600" s="3"/>
      <c r="T1600" s="3"/>
      <c r="U1600" s="3"/>
    </row>
    <row r="1601" spans="2:21" x14ac:dyDescent="0.25">
      <c r="B1601" s="2"/>
      <c r="C1601" s="2"/>
      <c r="D1601" s="4"/>
      <c r="E1601" s="4"/>
      <c r="F1601" s="4"/>
      <c r="Q1601" s="3"/>
      <c r="R1601" s="3"/>
      <c r="S1601" s="3"/>
      <c r="T1601" s="3"/>
      <c r="U1601" s="3"/>
    </row>
    <row r="1602" spans="2:21" x14ac:dyDescent="0.25">
      <c r="B1602" s="2"/>
      <c r="C1602" s="2"/>
      <c r="D1602" s="4"/>
      <c r="E1602" s="4"/>
      <c r="F1602" s="4"/>
      <c r="Q1602" s="3"/>
      <c r="R1602" s="3"/>
      <c r="S1602" s="3"/>
      <c r="T1602" s="3"/>
      <c r="U1602" s="3"/>
    </row>
    <row r="1603" spans="2:21" x14ac:dyDescent="0.25">
      <c r="B1603" s="2"/>
      <c r="C1603" s="2"/>
      <c r="D1603" s="4"/>
      <c r="E1603" s="4"/>
      <c r="F1603" s="4"/>
      <c r="Q1603" s="3"/>
      <c r="R1603" s="3"/>
      <c r="S1603" s="3"/>
      <c r="T1603" s="3"/>
      <c r="U1603" s="3"/>
    </row>
    <row r="1604" spans="2:21" x14ac:dyDescent="0.25">
      <c r="B1604" s="2"/>
      <c r="C1604" s="2"/>
      <c r="D1604" s="4"/>
      <c r="E1604" s="4"/>
      <c r="F1604" s="4"/>
      <c r="Q1604" s="3"/>
      <c r="R1604" s="3"/>
      <c r="S1604" s="3"/>
      <c r="T1604" s="3"/>
      <c r="U1604" s="3"/>
    </row>
    <row r="1605" spans="2:21" x14ac:dyDescent="0.25">
      <c r="B1605" s="2"/>
      <c r="C1605" s="2"/>
      <c r="D1605" s="4"/>
      <c r="E1605" s="4"/>
      <c r="F1605" s="4"/>
      <c r="Q1605" s="3"/>
      <c r="R1605" s="3"/>
      <c r="S1605" s="3"/>
      <c r="T1605" s="3"/>
      <c r="U1605" s="3"/>
    </row>
    <row r="1606" spans="2:21" x14ac:dyDescent="0.25">
      <c r="B1606" s="2"/>
      <c r="C1606" s="2"/>
      <c r="D1606" s="4"/>
      <c r="E1606" s="4"/>
      <c r="F1606" s="4"/>
      <c r="Q1606" s="3"/>
      <c r="R1606" s="3"/>
      <c r="S1606" s="3"/>
      <c r="T1606" s="3"/>
      <c r="U1606" s="3"/>
    </row>
    <row r="1607" spans="2:21" x14ac:dyDescent="0.25">
      <c r="B1607" s="2"/>
      <c r="C1607" s="2"/>
      <c r="D1607" s="4"/>
      <c r="E1607" s="4"/>
      <c r="F1607" s="4"/>
      <c r="Q1607" s="3"/>
      <c r="R1607" s="3"/>
      <c r="S1607" s="3"/>
      <c r="T1607" s="3"/>
      <c r="U1607" s="3"/>
    </row>
    <row r="1608" spans="2:21" x14ac:dyDescent="0.25">
      <c r="B1608" s="2"/>
      <c r="C1608" s="2"/>
      <c r="D1608" s="4"/>
      <c r="E1608" s="4"/>
      <c r="F1608" s="4"/>
      <c r="Q1608" s="3"/>
      <c r="R1608" s="3"/>
      <c r="S1608" s="3"/>
      <c r="T1608" s="3"/>
      <c r="U1608" s="3"/>
    </row>
    <row r="1609" spans="2:21" x14ac:dyDescent="0.25">
      <c r="B1609" s="2"/>
      <c r="C1609" s="2"/>
      <c r="D1609" s="4"/>
      <c r="E1609" s="4"/>
      <c r="F1609" s="4"/>
      <c r="Q1609" s="3"/>
      <c r="R1609" s="3"/>
      <c r="S1609" s="3"/>
      <c r="T1609" s="3"/>
      <c r="U1609" s="3"/>
    </row>
    <row r="1610" spans="2:21" x14ac:dyDescent="0.25">
      <c r="B1610" s="2"/>
      <c r="C1610" s="2"/>
      <c r="D1610" s="4"/>
      <c r="E1610" s="4"/>
      <c r="F1610" s="4"/>
      <c r="Q1610" s="3"/>
      <c r="R1610" s="3"/>
      <c r="S1610" s="3"/>
      <c r="T1610" s="3"/>
      <c r="U1610" s="3"/>
    </row>
    <row r="1611" spans="2:21" x14ac:dyDescent="0.25">
      <c r="B1611" s="2"/>
      <c r="C1611" s="2"/>
      <c r="D1611" s="4"/>
      <c r="E1611" s="4"/>
      <c r="F1611" s="4"/>
      <c r="Q1611" s="3"/>
      <c r="R1611" s="3"/>
      <c r="S1611" s="3"/>
      <c r="T1611" s="3"/>
      <c r="U1611" s="3"/>
    </row>
    <row r="1612" spans="2:21" x14ac:dyDescent="0.25">
      <c r="B1612" s="2"/>
      <c r="C1612" s="2"/>
      <c r="D1612" s="4"/>
      <c r="E1612" s="4"/>
      <c r="F1612" s="4"/>
      <c r="Q1612" s="3"/>
      <c r="R1612" s="3"/>
      <c r="S1612" s="3"/>
      <c r="T1612" s="3"/>
      <c r="U1612" s="3"/>
    </row>
    <row r="1613" spans="2:21" x14ac:dyDescent="0.25">
      <c r="B1613" s="2"/>
      <c r="C1613" s="2"/>
      <c r="D1613" s="4"/>
      <c r="E1613" s="4"/>
      <c r="F1613" s="4"/>
      <c r="Q1613" s="3"/>
      <c r="R1613" s="3"/>
      <c r="S1613" s="3"/>
      <c r="T1613" s="3"/>
      <c r="U1613" s="3"/>
    </row>
    <row r="1614" spans="2:21" x14ac:dyDescent="0.25">
      <c r="B1614" s="2"/>
      <c r="C1614" s="2"/>
      <c r="D1614" s="4"/>
      <c r="E1614" s="4"/>
      <c r="F1614" s="4"/>
      <c r="Q1614" s="3"/>
      <c r="R1614" s="3"/>
      <c r="S1614" s="3"/>
      <c r="T1614" s="3"/>
      <c r="U1614" s="3"/>
    </row>
    <row r="1615" spans="2:21" x14ac:dyDescent="0.25">
      <c r="B1615" s="2"/>
      <c r="C1615" s="2"/>
      <c r="D1615" s="4"/>
      <c r="E1615" s="4"/>
      <c r="F1615" s="4"/>
      <c r="Q1615" s="3"/>
      <c r="R1615" s="3"/>
      <c r="S1615" s="3"/>
      <c r="T1615" s="3"/>
      <c r="U1615" s="3"/>
    </row>
    <row r="1616" spans="2:21" x14ac:dyDescent="0.25">
      <c r="B1616" s="2"/>
      <c r="C1616" s="2"/>
      <c r="D1616" s="4"/>
      <c r="E1616" s="4"/>
      <c r="F1616" s="4"/>
      <c r="Q1616" s="3"/>
      <c r="R1616" s="3"/>
      <c r="S1616" s="3"/>
      <c r="T1616" s="3"/>
      <c r="U1616" s="3"/>
    </row>
    <row r="1617" spans="2:21" x14ac:dyDescent="0.25">
      <c r="B1617" s="2"/>
      <c r="C1617" s="2"/>
      <c r="D1617" s="4"/>
      <c r="E1617" s="4"/>
      <c r="F1617" s="4"/>
      <c r="Q1617" s="3"/>
      <c r="R1617" s="3"/>
      <c r="S1617" s="3"/>
      <c r="T1617" s="3"/>
      <c r="U1617" s="3"/>
    </row>
    <row r="1618" spans="2:21" x14ac:dyDescent="0.25">
      <c r="B1618" s="2"/>
      <c r="C1618" s="2"/>
      <c r="D1618" s="4"/>
      <c r="E1618" s="4"/>
      <c r="F1618" s="4"/>
      <c r="Q1618" s="3"/>
      <c r="R1618" s="3"/>
      <c r="S1618" s="3"/>
      <c r="T1618" s="3"/>
      <c r="U1618" s="3"/>
    </row>
    <row r="1619" spans="2:21" x14ac:dyDescent="0.25">
      <c r="B1619" s="2"/>
      <c r="C1619" s="2"/>
      <c r="D1619" s="4"/>
      <c r="E1619" s="4"/>
      <c r="F1619" s="4"/>
      <c r="Q1619" s="3"/>
      <c r="R1619" s="3"/>
      <c r="S1619" s="3"/>
      <c r="T1619" s="3"/>
      <c r="U1619" s="3"/>
    </row>
    <row r="1620" spans="2:21" x14ac:dyDescent="0.25">
      <c r="B1620" s="2"/>
      <c r="C1620" s="2"/>
      <c r="D1620" s="4"/>
      <c r="E1620" s="4"/>
      <c r="F1620" s="4"/>
      <c r="Q1620" s="3"/>
      <c r="R1620" s="3"/>
      <c r="S1620" s="3"/>
      <c r="T1620" s="3"/>
      <c r="U1620" s="3"/>
    </row>
    <row r="1621" spans="2:21" x14ac:dyDescent="0.25">
      <c r="B1621" s="2"/>
      <c r="C1621" s="2"/>
      <c r="D1621" s="4"/>
      <c r="E1621" s="4"/>
      <c r="F1621" s="4"/>
      <c r="Q1621" s="3"/>
      <c r="R1621" s="3"/>
      <c r="S1621" s="3"/>
      <c r="T1621" s="3"/>
      <c r="U1621" s="3"/>
    </row>
    <row r="1622" spans="2:21" x14ac:dyDescent="0.25">
      <c r="B1622" s="2"/>
      <c r="C1622" s="2"/>
      <c r="D1622" s="4"/>
      <c r="E1622" s="4"/>
      <c r="F1622" s="4"/>
      <c r="Q1622" s="3"/>
      <c r="R1622" s="3"/>
      <c r="S1622" s="3"/>
      <c r="T1622" s="3"/>
      <c r="U1622" s="3"/>
    </row>
    <row r="1623" spans="2:21" x14ac:dyDescent="0.25">
      <c r="B1623" s="2"/>
      <c r="C1623" s="2"/>
      <c r="D1623" s="4"/>
      <c r="E1623" s="4"/>
      <c r="F1623" s="4"/>
      <c r="Q1623" s="3"/>
      <c r="R1623" s="3"/>
      <c r="S1623" s="3"/>
      <c r="T1623" s="3"/>
      <c r="U1623" s="3"/>
    </row>
    <row r="1624" spans="2:21" x14ac:dyDescent="0.25">
      <c r="B1624" s="2"/>
      <c r="C1624" s="2"/>
      <c r="D1624" s="4"/>
      <c r="E1624" s="4"/>
      <c r="F1624" s="4"/>
      <c r="Q1624" s="3"/>
      <c r="R1624" s="3"/>
      <c r="S1624" s="3"/>
      <c r="T1624" s="3"/>
      <c r="U1624" s="3"/>
    </row>
    <row r="1625" spans="2:21" x14ac:dyDescent="0.25">
      <c r="B1625" s="2"/>
      <c r="C1625" s="2"/>
      <c r="D1625" s="4"/>
      <c r="E1625" s="4"/>
      <c r="F1625" s="4"/>
      <c r="Q1625" s="3"/>
      <c r="R1625" s="3"/>
      <c r="S1625" s="3"/>
      <c r="T1625" s="3"/>
      <c r="U1625" s="3"/>
    </row>
    <row r="1626" spans="2:21" x14ac:dyDescent="0.25">
      <c r="B1626" s="2"/>
      <c r="C1626" s="2"/>
      <c r="D1626" s="4"/>
      <c r="E1626" s="4"/>
      <c r="F1626" s="4"/>
      <c r="Q1626" s="3"/>
      <c r="R1626" s="3"/>
      <c r="S1626" s="3"/>
      <c r="T1626" s="3"/>
      <c r="U1626" s="3"/>
    </row>
    <row r="1627" spans="2:21" x14ac:dyDescent="0.25">
      <c r="B1627" s="2"/>
      <c r="C1627" s="2"/>
      <c r="D1627" s="4"/>
      <c r="E1627" s="4"/>
      <c r="F1627" s="4"/>
      <c r="Q1627" s="3"/>
      <c r="R1627" s="3"/>
      <c r="S1627" s="3"/>
      <c r="T1627" s="3"/>
      <c r="U1627" s="3"/>
    </row>
    <row r="1628" spans="2:21" x14ac:dyDescent="0.25">
      <c r="B1628" s="2"/>
      <c r="C1628" s="2"/>
      <c r="D1628" s="4"/>
      <c r="E1628" s="4"/>
      <c r="F1628" s="4"/>
      <c r="Q1628" s="3"/>
      <c r="R1628" s="3"/>
      <c r="S1628" s="3"/>
      <c r="T1628" s="3"/>
      <c r="U1628" s="3"/>
    </row>
    <row r="1629" spans="2:21" x14ac:dyDescent="0.25">
      <c r="B1629" s="2"/>
      <c r="C1629" s="2"/>
      <c r="D1629" s="4"/>
      <c r="E1629" s="4"/>
      <c r="F1629" s="4"/>
      <c r="Q1629" s="3"/>
      <c r="R1629" s="3"/>
      <c r="S1629" s="3"/>
      <c r="T1629" s="3"/>
      <c r="U1629" s="3"/>
    </row>
    <row r="1630" spans="2:21" x14ac:dyDescent="0.25">
      <c r="B1630" s="2"/>
      <c r="C1630" s="2"/>
      <c r="D1630" s="4"/>
      <c r="E1630" s="4"/>
      <c r="F1630" s="4"/>
      <c r="Q1630" s="3"/>
      <c r="R1630" s="3"/>
      <c r="S1630" s="3"/>
      <c r="T1630" s="3"/>
      <c r="U1630" s="3"/>
    </row>
    <row r="1631" spans="2:21" x14ac:dyDescent="0.25">
      <c r="B1631" s="2"/>
      <c r="C1631" s="2"/>
      <c r="D1631" s="4"/>
      <c r="E1631" s="4"/>
      <c r="F1631" s="4"/>
      <c r="Q1631" s="3"/>
      <c r="R1631" s="3"/>
      <c r="S1631" s="3"/>
      <c r="T1631" s="3"/>
      <c r="U1631" s="3"/>
    </row>
    <row r="1632" spans="2:21" x14ac:dyDescent="0.25">
      <c r="B1632" s="2"/>
      <c r="C1632" s="2"/>
      <c r="D1632" s="4"/>
      <c r="E1632" s="4"/>
      <c r="F1632" s="4"/>
      <c r="Q1632" s="3"/>
      <c r="R1632" s="3"/>
      <c r="S1632" s="3"/>
      <c r="T1632" s="3"/>
      <c r="U1632" s="3"/>
    </row>
    <row r="1633" spans="2:21" x14ac:dyDescent="0.25">
      <c r="B1633" s="2"/>
      <c r="C1633" s="2"/>
      <c r="D1633" s="4"/>
      <c r="E1633" s="4"/>
      <c r="F1633" s="4"/>
      <c r="Q1633" s="3"/>
      <c r="R1633" s="3"/>
      <c r="S1633" s="3"/>
      <c r="T1633" s="3"/>
      <c r="U1633" s="3"/>
    </row>
    <row r="1634" spans="2:21" x14ac:dyDescent="0.25">
      <c r="B1634" s="2"/>
      <c r="C1634" s="2"/>
      <c r="D1634" s="4"/>
      <c r="E1634" s="4"/>
      <c r="F1634" s="4"/>
      <c r="Q1634" s="3"/>
      <c r="R1634" s="3"/>
      <c r="S1634" s="3"/>
      <c r="T1634" s="3"/>
      <c r="U1634" s="3"/>
    </row>
    <row r="1635" spans="2:21" x14ac:dyDescent="0.25">
      <c r="B1635" s="2"/>
      <c r="C1635" s="2"/>
      <c r="D1635" s="4"/>
      <c r="E1635" s="4"/>
      <c r="F1635" s="4"/>
      <c r="Q1635" s="3"/>
      <c r="R1635" s="3"/>
      <c r="S1635" s="3"/>
      <c r="T1635" s="3"/>
      <c r="U1635" s="3"/>
    </row>
    <row r="1636" spans="2:21" x14ac:dyDescent="0.25">
      <c r="B1636" s="2"/>
      <c r="C1636" s="2"/>
      <c r="D1636" s="4"/>
      <c r="E1636" s="4"/>
      <c r="F1636" s="4"/>
      <c r="Q1636" s="3"/>
      <c r="R1636" s="3"/>
      <c r="S1636" s="3"/>
      <c r="T1636" s="3"/>
      <c r="U1636" s="3"/>
    </row>
    <row r="1637" spans="2:21" x14ac:dyDescent="0.25">
      <c r="B1637" s="2"/>
      <c r="C1637" s="2"/>
      <c r="D1637" s="4"/>
      <c r="E1637" s="4"/>
      <c r="F1637" s="4"/>
      <c r="Q1637" s="3"/>
      <c r="R1637" s="3"/>
      <c r="S1637" s="3"/>
      <c r="T1637" s="3"/>
      <c r="U1637" s="3"/>
    </row>
    <row r="1638" spans="2:21" x14ac:dyDescent="0.25">
      <c r="B1638" s="2"/>
      <c r="C1638" s="2"/>
      <c r="D1638" s="4"/>
      <c r="E1638" s="4"/>
      <c r="F1638" s="4"/>
      <c r="Q1638" s="3"/>
      <c r="R1638" s="3"/>
      <c r="S1638" s="3"/>
      <c r="T1638" s="3"/>
      <c r="U1638" s="3"/>
    </row>
    <row r="1639" spans="2:21" x14ac:dyDescent="0.25">
      <c r="B1639" s="2"/>
      <c r="C1639" s="2"/>
      <c r="D1639" s="4"/>
      <c r="E1639" s="4"/>
      <c r="F1639" s="4"/>
      <c r="Q1639" s="3"/>
      <c r="R1639" s="3"/>
      <c r="S1639" s="3"/>
      <c r="T1639" s="3"/>
      <c r="U1639" s="3"/>
    </row>
    <row r="1640" spans="2:21" x14ac:dyDescent="0.25">
      <c r="B1640" s="2"/>
      <c r="C1640" s="2"/>
      <c r="D1640" s="4"/>
      <c r="E1640" s="4"/>
      <c r="F1640" s="4"/>
      <c r="Q1640" s="3"/>
      <c r="R1640" s="3"/>
      <c r="S1640" s="3"/>
      <c r="T1640" s="3"/>
      <c r="U1640" s="3"/>
    </row>
    <row r="1641" spans="2:21" x14ac:dyDescent="0.25">
      <c r="B1641" s="2"/>
      <c r="C1641" s="2"/>
      <c r="D1641" s="4"/>
      <c r="E1641" s="4"/>
      <c r="F1641" s="4"/>
      <c r="Q1641" s="3"/>
      <c r="R1641" s="3"/>
      <c r="S1641" s="3"/>
      <c r="T1641" s="3"/>
      <c r="U1641" s="3"/>
    </row>
    <row r="1642" spans="2:21" x14ac:dyDescent="0.25">
      <c r="B1642" s="2"/>
      <c r="C1642" s="2"/>
      <c r="D1642" s="4"/>
      <c r="E1642" s="4"/>
      <c r="F1642" s="4"/>
      <c r="Q1642" s="3"/>
      <c r="R1642" s="3"/>
      <c r="S1642" s="3"/>
      <c r="T1642" s="3"/>
      <c r="U1642" s="3"/>
    </row>
    <row r="1643" spans="2:21" x14ac:dyDescent="0.25">
      <c r="B1643" s="2"/>
      <c r="C1643" s="2"/>
      <c r="D1643" s="4"/>
      <c r="E1643" s="4"/>
      <c r="F1643" s="4"/>
      <c r="Q1643" s="3"/>
      <c r="R1643" s="3"/>
      <c r="S1643" s="3"/>
      <c r="T1643" s="3"/>
      <c r="U1643" s="3"/>
    </row>
    <row r="1644" spans="2:21" x14ac:dyDescent="0.25">
      <c r="B1644" s="2"/>
      <c r="C1644" s="2"/>
      <c r="D1644" s="4"/>
      <c r="E1644" s="4"/>
      <c r="F1644" s="4"/>
      <c r="Q1644" s="3"/>
      <c r="R1644" s="3"/>
      <c r="S1644" s="3"/>
      <c r="T1644" s="3"/>
      <c r="U1644" s="3"/>
    </row>
    <row r="1645" spans="2:21" x14ac:dyDescent="0.25">
      <c r="B1645" s="2"/>
      <c r="C1645" s="2"/>
      <c r="D1645" s="4"/>
      <c r="E1645" s="4"/>
      <c r="F1645" s="4"/>
      <c r="Q1645" s="3"/>
      <c r="R1645" s="3"/>
      <c r="S1645" s="3"/>
      <c r="T1645" s="3"/>
      <c r="U1645" s="3"/>
    </row>
    <row r="1646" spans="2:21" x14ac:dyDescent="0.25">
      <c r="B1646" s="2"/>
      <c r="C1646" s="2"/>
      <c r="D1646" s="4"/>
      <c r="E1646" s="4"/>
      <c r="F1646" s="4"/>
      <c r="Q1646" s="3"/>
      <c r="R1646" s="3"/>
      <c r="S1646" s="3"/>
      <c r="T1646" s="3"/>
      <c r="U1646" s="3"/>
    </row>
    <row r="1647" spans="2:21" x14ac:dyDescent="0.25">
      <c r="B1647" s="2"/>
      <c r="C1647" s="2"/>
      <c r="D1647" s="4"/>
      <c r="E1647" s="4"/>
      <c r="F1647" s="4"/>
      <c r="Q1647" s="3"/>
      <c r="R1647" s="3"/>
      <c r="S1647" s="3"/>
      <c r="T1647" s="3"/>
      <c r="U1647" s="3"/>
    </row>
    <row r="1648" spans="2:21" x14ac:dyDescent="0.25">
      <c r="B1648" s="2"/>
      <c r="C1648" s="2"/>
      <c r="D1648" s="4"/>
      <c r="E1648" s="4"/>
      <c r="F1648" s="4"/>
      <c r="Q1648" s="3"/>
      <c r="R1648" s="3"/>
      <c r="S1648" s="3"/>
      <c r="T1648" s="3"/>
      <c r="U1648" s="3"/>
    </row>
    <row r="1649" spans="2:21" x14ac:dyDescent="0.25">
      <c r="B1649" s="2"/>
      <c r="C1649" s="2"/>
      <c r="D1649" s="4"/>
      <c r="E1649" s="4"/>
      <c r="F1649" s="4"/>
      <c r="Q1649" s="3"/>
      <c r="R1649" s="3"/>
      <c r="S1649" s="3"/>
      <c r="T1649" s="3"/>
      <c r="U1649" s="3"/>
    </row>
    <row r="1650" spans="2:21" x14ac:dyDescent="0.25">
      <c r="B1650" s="2"/>
      <c r="C1650" s="2"/>
      <c r="D1650" s="4"/>
      <c r="E1650" s="4"/>
      <c r="F1650" s="4"/>
      <c r="Q1650" s="3"/>
      <c r="R1650" s="3"/>
      <c r="S1650" s="3"/>
      <c r="T1650" s="3"/>
      <c r="U1650" s="3"/>
    </row>
    <row r="1651" spans="2:21" x14ac:dyDescent="0.25">
      <c r="B1651" s="2"/>
      <c r="C1651" s="2"/>
      <c r="D1651" s="4"/>
      <c r="E1651" s="4"/>
      <c r="F1651" s="4"/>
      <c r="Q1651" s="3"/>
      <c r="R1651" s="3"/>
      <c r="S1651" s="3"/>
      <c r="T1651" s="3"/>
      <c r="U1651" s="3"/>
    </row>
    <row r="1652" spans="2:21" x14ac:dyDescent="0.25">
      <c r="B1652" s="2"/>
      <c r="C1652" s="2"/>
      <c r="D1652" s="4"/>
      <c r="E1652" s="4"/>
      <c r="F1652" s="4"/>
      <c r="Q1652" s="3"/>
      <c r="R1652" s="3"/>
      <c r="S1652" s="3"/>
      <c r="T1652" s="3"/>
      <c r="U1652" s="3"/>
    </row>
    <row r="1653" spans="2:21" x14ac:dyDescent="0.25">
      <c r="B1653" s="2"/>
      <c r="C1653" s="2"/>
      <c r="D1653" s="4"/>
      <c r="E1653" s="4"/>
      <c r="F1653" s="4"/>
      <c r="Q1653" s="3"/>
      <c r="R1653" s="3"/>
      <c r="S1653" s="3"/>
      <c r="T1653" s="3"/>
      <c r="U1653" s="3"/>
    </row>
    <row r="1654" spans="2:21" x14ac:dyDescent="0.25">
      <c r="B1654" s="2"/>
      <c r="C1654" s="2"/>
      <c r="D1654" s="4"/>
      <c r="E1654" s="4"/>
      <c r="F1654" s="4"/>
      <c r="Q1654" s="3"/>
      <c r="R1654" s="3"/>
      <c r="S1654" s="3"/>
      <c r="T1654" s="3"/>
      <c r="U1654" s="3"/>
    </row>
    <row r="1655" spans="2:21" x14ac:dyDescent="0.25">
      <c r="B1655" s="2"/>
      <c r="C1655" s="2"/>
      <c r="D1655" s="4"/>
      <c r="E1655" s="4"/>
      <c r="F1655" s="4"/>
      <c r="Q1655" s="3"/>
      <c r="R1655" s="3"/>
      <c r="S1655" s="3"/>
      <c r="T1655" s="3"/>
      <c r="U1655" s="3"/>
    </row>
    <row r="1656" spans="2:21" x14ac:dyDescent="0.25">
      <c r="B1656" s="2"/>
      <c r="C1656" s="2"/>
      <c r="D1656" s="4"/>
      <c r="E1656" s="4"/>
      <c r="F1656" s="4"/>
      <c r="Q1656" s="3"/>
      <c r="R1656" s="3"/>
      <c r="S1656" s="3"/>
      <c r="T1656" s="3"/>
      <c r="U1656" s="3"/>
    </row>
    <row r="1657" spans="2:21" x14ac:dyDescent="0.25">
      <c r="B1657" s="2"/>
      <c r="C1657" s="2"/>
      <c r="D1657" s="4"/>
      <c r="E1657" s="4"/>
      <c r="F1657" s="4"/>
      <c r="Q1657" s="3"/>
      <c r="R1657" s="3"/>
      <c r="S1657" s="3"/>
      <c r="T1657" s="3"/>
      <c r="U1657" s="3"/>
    </row>
    <row r="1658" spans="2:21" x14ac:dyDescent="0.25">
      <c r="B1658" s="2"/>
      <c r="C1658" s="2"/>
      <c r="D1658" s="4"/>
      <c r="E1658" s="4"/>
      <c r="F1658" s="4"/>
      <c r="Q1658" s="3"/>
      <c r="R1658" s="3"/>
      <c r="S1658" s="3"/>
      <c r="T1658" s="3"/>
      <c r="U1658" s="3"/>
    </row>
    <row r="1659" spans="2:21" x14ac:dyDescent="0.25">
      <c r="B1659" s="2"/>
      <c r="C1659" s="2"/>
      <c r="D1659" s="4"/>
      <c r="E1659" s="4"/>
      <c r="F1659" s="4"/>
      <c r="Q1659" s="3"/>
      <c r="R1659" s="3"/>
      <c r="S1659" s="3"/>
      <c r="T1659" s="3"/>
      <c r="U1659" s="3"/>
    </row>
    <row r="1660" spans="2:21" x14ac:dyDescent="0.25">
      <c r="B1660" s="2"/>
      <c r="C1660" s="2"/>
      <c r="D1660" s="4"/>
      <c r="E1660" s="4"/>
      <c r="F1660" s="4"/>
      <c r="Q1660" s="3"/>
      <c r="R1660" s="3"/>
      <c r="S1660" s="3"/>
      <c r="T1660" s="3"/>
      <c r="U1660" s="3"/>
    </row>
    <row r="1661" spans="2:21" x14ac:dyDescent="0.25">
      <c r="B1661" s="2"/>
      <c r="C1661" s="2"/>
      <c r="D1661" s="4"/>
      <c r="E1661" s="4"/>
      <c r="F1661" s="4"/>
      <c r="Q1661" s="3"/>
      <c r="R1661" s="3"/>
      <c r="S1661" s="3"/>
      <c r="T1661" s="3"/>
      <c r="U1661" s="3"/>
    </row>
    <row r="1662" spans="2:21" x14ac:dyDescent="0.25">
      <c r="B1662" s="2"/>
      <c r="C1662" s="2"/>
      <c r="D1662" s="4"/>
      <c r="E1662" s="4"/>
      <c r="F1662" s="4"/>
      <c r="Q1662" s="3"/>
      <c r="R1662" s="3"/>
      <c r="S1662" s="3"/>
      <c r="T1662" s="3"/>
      <c r="U1662" s="3"/>
    </row>
    <row r="1663" spans="2:21" x14ac:dyDescent="0.25">
      <c r="B1663" s="2"/>
      <c r="C1663" s="2"/>
      <c r="D1663" s="4"/>
      <c r="E1663" s="4"/>
      <c r="F1663" s="4"/>
      <c r="Q1663" s="3"/>
      <c r="R1663" s="3"/>
      <c r="S1663" s="3"/>
      <c r="T1663" s="3"/>
      <c r="U1663" s="3"/>
    </row>
    <row r="1664" spans="2:21" x14ac:dyDescent="0.25">
      <c r="B1664" s="2"/>
      <c r="C1664" s="2"/>
      <c r="D1664" s="4"/>
      <c r="E1664" s="4"/>
      <c r="F1664" s="4"/>
      <c r="Q1664" s="3"/>
      <c r="R1664" s="3"/>
      <c r="S1664" s="3"/>
      <c r="T1664" s="3"/>
      <c r="U1664" s="3"/>
    </row>
    <row r="1665" spans="2:21" x14ac:dyDescent="0.25">
      <c r="B1665" s="2"/>
      <c r="C1665" s="2"/>
      <c r="D1665" s="4"/>
      <c r="E1665" s="4"/>
      <c r="F1665" s="4"/>
      <c r="Q1665" s="3"/>
      <c r="R1665" s="3"/>
      <c r="S1665" s="3"/>
      <c r="T1665" s="3"/>
      <c r="U1665" s="3"/>
    </row>
    <row r="1666" spans="2:21" x14ac:dyDescent="0.25">
      <c r="B1666" s="2"/>
      <c r="C1666" s="2"/>
      <c r="D1666" s="4"/>
      <c r="E1666" s="4"/>
      <c r="F1666" s="4"/>
      <c r="Q1666" s="3"/>
      <c r="R1666" s="3"/>
      <c r="S1666" s="3"/>
      <c r="T1666" s="3"/>
      <c r="U1666" s="3"/>
    </row>
    <row r="1667" spans="2:21" x14ac:dyDescent="0.25">
      <c r="B1667" s="2"/>
      <c r="C1667" s="2"/>
      <c r="D1667" s="4"/>
      <c r="E1667" s="4"/>
      <c r="F1667" s="4"/>
      <c r="Q1667" s="3"/>
      <c r="R1667" s="3"/>
      <c r="S1667" s="3"/>
      <c r="T1667" s="3"/>
      <c r="U1667" s="3"/>
    </row>
    <row r="1668" spans="2:21" x14ac:dyDescent="0.25">
      <c r="B1668" s="2"/>
      <c r="C1668" s="2"/>
      <c r="D1668" s="4"/>
      <c r="E1668" s="4"/>
      <c r="F1668" s="4"/>
      <c r="Q1668" s="3"/>
      <c r="R1668" s="3"/>
      <c r="S1668" s="3"/>
      <c r="T1668" s="3"/>
      <c r="U1668" s="3"/>
    </row>
    <row r="1669" spans="2:21" x14ac:dyDescent="0.25">
      <c r="B1669" s="2"/>
      <c r="C1669" s="2"/>
      <c r="D1669" s="4"/>
      <c r="E1669" s="4"/>
      <c r="F1669" s="4"/>
      <c r="Q1669" s="3"/>
      <c r="R1669" s="3"/>
      <c r="S1669" s="3"/>
      <c r="T1669" s="3"/>
      <c r="U1669" s="3"/>
    </row>
    <row r="1670" spans="2:21" x14ac:dyDescent="0.25">
      <c r="B1670" s="2"/>
      <c r="C1670" s="2"/>
      <c r="D1670" s="4"/>
      <c r="E1670" s="4"/>
      <c r="F1670" s="4"/>
      <c r="Q1670" s="3"/>
      <c r="R1670" s="3"/>
      <c r="S1670" s="3"/>
      <c r="T1670" s="3"/>
      <c r="U1670" s="3"/>
    </row>
    <row r="1671" spans="2:21" x14ac:dyDescent="0.25">
      <c r="B1671" s="2"/>
      <c r="C1671" s="2"/>
      <c r="D1671" s="4"/>
      <c r="E1671" s="4"/>
      <c r="F1671" s="4"/>
      <c r="Q1671" s="3"/>
      <c r="R1671" s="3"/>
      <c r="S1671" s="3"/>
      <c r="T1671" s="3"/>
      <c r="U1671" s="3"/>
    </row>
    <row r="1672" spans="2:21" x14ac:dyDescent="0.25">
      <c r="B1672" s="2"/>
      <c r="C1672" s="2"/>
      <c r="D1672" s="4"/>
      <c r="E1672" s="4"/>
      <c r="F1672" s="4"/>
      <c r="Q1672" s="3"/>
      <c r="R1672" s="3"/>
      <c r="S1672" s="3"/>
      <c r="T1672" s="3"/>
      <c r="U1672" s="3"/>
    </row>
    <row r="1673" spans="2:21" x14ac:dyDescent="0.25">
      <c r="B1673" s="2"/>
      <c r="C1673" s="2"/>
      <c r="D1673" s="4"/>
      <c r="E1673" s="4"/>
      <c r="F1673" s="4"/>
      <c r="Q1673" s="3"/>
      <c r="R1673" s="3"/>
      <c r="S1673" s="3"/>
      <c r="T1673" s="3"/>
      <c r="U1673" s="3"/>
    </row>
    <row r="1674" spans="2:21" x14ac:dyDescent="0.25">
      <c r="B1674" s="2"/>
      <c r="C1674" s="2"/>
      <c r="D1674" s="4"/>
      <c r="E1674" s="4"/>
      <c r="F1674" s="4"/>
      <c r="Q1674" s="3"/>
      <c r="R1674" s="3"/>
      <c r="S1674" s="3"/>
      <c r="T1674" s="3"/>
      <c r="U1674" s="3"/>
    </row>
    <row r="1675" spans="2:21" x14ac:dyDescent="0.25">
      <c r="B1675" s="2"/>
      <c r="C1675" s="2"/>
      <c r="D1675" s="4"/>
      <c r="E1675" s="4"/>
      <c r="F1675" s="4"/>
      <c r="Q1675" s="3"/>
      <c r="R1675" s="3"/>
      <c r="S1675" s="3"/>
      <c r="T1675" s="3"/>
      <c r="U1675" s="3"/>
    </row>
    <row r="1676" spans="2:21" x14ac:dyDescent="0.25">
      <c r="B1676" s="2"/>
      <c r="C1676" s="2"/>
      <c r="D1676" s="4"/>
      <c r="E1676" s="4"/>
      <c r="F1676" s="4"/>
      <c r="Q1676" s="3"/>
      <c r="R1676" s="3"/>
      <c r="S1676" s="3"/>
      <c r="T1676" s="3"/>
      <c r="U1676" s="3"/>
    </row>
    <row r="1677" spans="2:21" x14ac:dyDescent="0.25">
      <c r="B1677" s="2"/>
      <c r="C1677" s="2"/>
      <c r="D1677" s="4"/>
      <c r="E1677" s="4"/>
      <c r="F1677" s="4"/>
      <c r="Q1677" s="3"/>
      <c r="R1677" s="3"/>
      <c r="S1677" s="3"/>
      <c r="T1677" s="3"/>
      <c r="U1677" s="3"/>
    </row>
    <row r="1678" spans="2:21" x14ac:dyDescent="0.25">
      <c r="B1678" s="2"/>
      <c r="C1678" s="2"/>
      <c r="D1678" s="4"/>
      <c r="E1678" s="4"/>
      <c r="F1678" s="4"/>
      <c r="Q1678" s="3"/>
      <c r="R1678" s="3"/>
      <c r="S1678" s="3"/>
      <c r="T1678" s="3"/>
      <c r="U1678" s="3"/>
    </row>
    <row r="1679" spans="2:21" x14ac:dyDescent="0.25">
      <c r="B1679" s="2"/>
      <c r="C1679" s="2"/>
      <c r="D1679" s="4"/>
      <c r="E1679" s="4"/>
      <c r="F1679" s="4"/>
      <c r="Q1679" s="3"/>
      <c r="R1679" s="3"/>
      <c r="S1679" s="3"/>
      <c r="T1679" s="3"/>
      <c r="U1679" s="3"/>
    </row>
    <row r="1680" spans="2:21" x14ac:dyDescent="0.25">
      <c r="B1680" s="2"/>
      <c r="C1680" s="2"/>
      <c r="D1680" s="4"/>
      <c r="E1680" s="4"/>
      <c r="F1680" s="4"/>
      <c r="Q1680" s="3"/>
      <c r="R1680" s="3"/>
      <c r="S1680" s="3"/>
      <c r="T1680" s="3"/>
      <c r="U1680" s="3"/>
    </row>
    <row r="1681" spans="2:21" x14ac:dyDescent="0.25">
      <c r="B1681" s="2"/>
      <c r="C1681" s="2"/>
      <c r="D1681" s="4"/>
      <c r="E1681" s="4"/>
      <c r="F1681" s="4"/>
      <c r="Q1681" s="3"/>
      <c r="R1681" s="3"/>
      <c r="S1681" s="3"/>
      <c r="T1681" s="3"/>
      <c r="U1681" s="3"/>
    </row>
    <row r="1682" spans="2:21" x14ac:dyDescent="0.25">
      <c r="B1682" s="2"/>
      <c r="C1682" s="2"/>
      <c r="D1682" s="4"/>
      <c r="E1682" s="4"/>
      <c r="F1682" s="4"/>
      <c r="Q1682" s="3"/>
      <c r="R1682" s="3"/>
      <c r="S1682" s="3"/>
      <c r="T1682" s="3"/>
      <c r="U1682" s="3"/>
    </row>
    <row r="1683" spans="2:21" x14ac:dyDescent="0.25">
      <c r="B1683" s="2"/>
      <c r="C1683" s="2"/>
      <c r="D1683" s="4"/>
      <c r="E1683" s="4"/>
      <c r="F1683" s="4"/>
      <c r="Q1683" s="3"/>
      <c r="R1683" s="3"/>
      <c r="S1683" s="3"/>
      <c r="T1683" s="3"/>
      <c r="U1683" s="3"/>
    </row>
    <row r="1684" spans="2:21" x14ac:dyDescent="0.25">
      <c r="B1684" s="2"/>
      <c r="C1684" s="2"/>
      <c r="D1684" s="4"/>
      <c r="E1684" s="4"/>
      <c r="F1684" s="4"/>
      <c r="Q1684" s="3"/>
      <c r="R1684" s="3"/>
      <c r="S1684" s="3"/>
      <c r="T1684" s="3"/>
      <c r="U1684" s="3"/>
    </row>
    <row r="1685" spans="2:21" x14ac:dyDescent="0.25">
      <c r="B1685" s="2"/>
      <c r="C1685" s="2"/>
      <c r="D1685" s="4"/>
      <c r="E1685" s="4"/>
      <c r="F1685" s="4"/>
      <c r="Q1685" s="3"/>
      <c r="R1685" s="3"/>
      <c r="S1685" s="3"/>
      <c r="T1685" s="3"/>
      <c r="U1685" s="3"/>
    </row>
    <row r="1686" spans="2:21" x14ac:dyDescent="0.25">
      <c r="B1686" s="2"/>
      <c r="C1686" s="2"/>
      <c r="D1686" s="4"/>
      <c r="E1686" s="4"/>
      <c r="F1686" s="4"/>
      <c r="Q1686" s="3"/>
      <c r="R1686" s="3"/>
      <c r="S1686" s="3"/>
      <c r="T1686" s="3"/>
      <c r="U1686" s="3"/>
    </row>
    <row r="1687" spans="2:21" x14ac:dyDescent="0.25">
      <c r="B1687" s="2"/>
      <c r="C1687" s="2"/>
      <c r="D1687" s="4"/>
      <c r="E1687" s="4"/>
      <c r="F1687" s="4"/>
      <c r="Q1687" s="3"/>
      <c r="R1687" s="3"/>
      <c r="S1687" s="3"/>
      <c r="T1687" s="3"/>
      <c r="U1687" s="3"/>
    </row>
    <row r="1688" spans="2:21" x14ac:dyDescent="0.25">
      <c r="B1688" s="2"/>
      <c r="C1688" s="2"/>
      <c r="D1688" s="4"/>
      <c r="E1688" s="4"/>
      <c r="F1688" s="4"/>
      <c r="Q1688" s="3"/>
      <c r="R1688" s="3"/>
      <c r="S1688" s="3"/>
      <c r="T1688" s="3"/>
      <c r="U1688" s="3"/>
    </row>
    <row r="1689" spans="2:21" x14ac:dyDescent="0.25">
      <c r="B1689" s="2"/>
      <c r="C1689" s="2"/>
      <c r="D1689" s="4"/>
      <c r="E1689" s="4"/>
      <c r="F1689" s="4"/>
      <c r="Q1689" s="3"/>
      <c r="R1689" s="3"/>
      <c r="S1689" s="3"/>
      <c r="T1689" s="3"/>
      <c r="U1689" s="3"/>
    </row>
    <row r="1690" spans="2:21" x14ac:dyDescent="0.25">
      <c r="B1690" s="2"/>
      <c r="C1690" s="2"/>
      <c r="D1690" s="4"/>
      <c r="E1690" s="4"/>
      <c r="F1690" s="4"/>
      <c r="Q1690" s="3"/>
      <c r="R1690" s="3"/>
      <c r="S1690" s="3"/>
      <c r="T1690" s="3"/>
      <c r="U1690" s="3"/>
    </row>
    <row r="1691" spans="2:21" x14ac:dyDescent="0.25">
      <c r="B1691" s="2"/>
      <c r="C1691" s="2"/>
      <c r="D1691" s="4"/>
      <c r="E1691" s="4"/>
      <c r="F1691" s="4"/>
      <c r="Q1691" s="3"/>
      <c r="R1691" s="3"/>
      <c r="S1691" s="3"/>
      <c r="T1691" s="3"/>
      <c r="U1691" s="3"/>
    </row>
    <row r="1692" spans="2:21" x14ac:dyDescent="0.25">
      <c r="B1692" s="2"/>
      <c r="C1692" s="2"/>
      <c r="D1692" s="4"/>
      <c r="E1692" s="4"/>
      <c r="F1692" s="4"/>
      <c r="Q1692" s="3"/>
      <c r="R1692" s="3"/>
      <c r="S1692" s="3"/>
      <c r="T1692" s="3"/>
      <c r="U1692" s="3"/>
    </row>
    <row r="1693" spans="2:21" x14ac:dyDescent="0.25">
      <c r="B1693" s="2"/>
      <c r="C1693" s="2"/>
      <c r="D1693" s="4"/>
      <c r="E1693" s="4"/>
      <c r="F1693" s="4"/>
      <c r="Q1693" s="3"/>
      <c r="R1693" s="3"/>
      <c r="S1693" s="3"/>
      <c r="T1693" s="3"/>
      <c r="U1693" s="3"/>
    </row>
    <row r="1694" spans="2:21" x14ac:dyDescent="0.25">
      <c r="B1694" s="2"/>
      <c r="C1694" s="2"/>
      <c r="D1694" s="4"/>
      <c r="E1694" s="4"/>
      <c r="F1694" s="4"/>
      <c r="Q1694" s="3"/>
      <c r="R1694" s="3"/>
      <c r="S1694" s="3"/>
      <c r="T1694" s="3"/>
      <c r="U1694" s="3"/>
    </row>
    <row r="1695" spans="2:21" x14ac:dyDescent="0.25">
      <c r="B1695" s="2"/>
      <c r="C1695" s="2"/>
      <c r="D1695" s="4"/>
      <c r="E1695" s="4"/>
      <c r="F1695" s="4"/>
      <c r="Q1695" s="3"/>
      <c r="R1695" s="3"/>
      <c r="S1695" s="3"/>
      <c r="T1695" s="3"/>
      <c r="U1695" s="3"/>
    </row>
    <row r="1696" spans="2:21" x14ac:dyDescent="0.25">
      <c r="B1696" s="2"/>
      <c r="C1696" s="2"/>
      <c r="D1696" s="4"/>
      <c r="E1696" s="4"/>
      <c r="F1696" s="4"/>
      <c r="Q1696" s="3"/>
      <c r="R1696" s="3"/>
      <c r="S1696" s="3"/>
      <c r="T1696" s="3"/>
      <c r="U1696" s="3"/>
    </row>
    <row r="1697" spans="2:21" x14ac:dyDescent="0.25">
      <c r="B1697" s="2"/>
      <c r="C1697" s="2"/>
      <c r="D1697" s="4"/>
      <c r="E1697" s="4"/>
      <c r="F1697" s="4"/>
      <c r="Q1697" s="3"/>
      <c r="R1697" s="3"/>
      <c r="S1697" s="3"/>
      <c r="T1697" s="3"/>
      <c r="U1697" s="3"/>
    </row>
    <row r="1698" spans="2:21" x14ac:dyDescent="0.25">
      <c r="B1698" s="2"/>
      <c r="C1698" s="2"/>
      <c r="D1698" s="4"/>
      <c r="E1698" s="4"/>
      <c r="F1698" s="4"/>
      <c r="Q1698" s="3"/>
      <c r="R1698" s="3"/>
      <c r="S1698" s="3"/>
      <c r="T1698" s="3"/>
      <c r="U1698" s="3"/>
    </row>
    <row r="1699" spans="2:21" x14ac:dyDescent="0.25">
      <c r="B1699" s="2"/>
      <c r="C1699" s="2"/>
      <c r="D1699" s="4"/>
      <c r="E1699" s="4"/>
      <c r="F1699" s="4"/>
      <c r="Q1699" s="3"/>
      <c r="R1699" s="3"/>
      <c r="S1699" s="3"/>
      <c r="T1699" s="3"/>
      <c r="U1699" s="3"/>
    </row>
    <row r="1700" spans="2:21" x14ac:dyDescent="0.25">
      <c r="B1700" s="2"/>
      <c r="C1700" s="2"/>
      <c r="D1700" s="4"/>
      <c r="E1700" s="4"/>
      <c r="F1700" s="4"/>
      <c r="Q1700" s="3"/>
      <c r="R1700" s="3"/>
      <c r="S1700" s="3"/>
      <c r="T1700" s="3"/>
      <c r="U1700" s="3"/>
    </row>
    <row r="1701" spans="2:21" x14ac:dyDescent="0.25">
      <c r="B1701" s="2"/>
      <c r="C1701" s="2"/>
      <c r="D1701" s="4"/>
      <c r="E1701" s="4"/>
      <c r="F1701" s="4"/>
      <c r="Q1701" s="3"/>
      <c r="R1701" s="3"/>
      <c r="S1701" s="3"/>
      <c r="T1701" s="3"/>
      <c r="U1701" s="3"/>
    </row>
    <row r="1702" spans="2:21" x14ac:dyDescent="0.25">
      <c r="B1702" s="2"/>
      <c r="C1702" s="2"/>
      <c r="D1702" s="4"/>
      <c r="E1702" s="4"/>
      <c r="F1702" s="4"/>
      <c r="Q1702" s="3"/>
      <c r="R1702" s="3"/>
      <c r="S1702" s="3"/>
      <c r="T1702" s="3"/>
      <c r="U1702" s="3"/>
    </row>
    <row r="1703" spans="2:21" x14ac:dyDescent="0.25">
      <c r="B1703" s="2"/>
      <c r="C1703" s="2"/>
      <c r="D1703" s="4"/>
      <c r="E1703" s="4"/>
      <c r="F1703" s="4"/>
      <c r="Q1703" s="3"/>
      <c r="R1703" s="3"/>
      <c r="S1703" s="3"/>
      <c r="T1703" s="3"/>
      <c r="U1703" s="3"/>
    </row>
    <row r="1704" spans="2:21" x14ac:dyDescent="0.25">
      <c r="B1704" s="2"/>
      <c r="C1704" s="2"/>
      <c r="D1704" s="4"/>
      <c r="E1704" s="4"/>
      <c r="F1704" s="4"/>
      <c r="Q1704" s="3"/>
      <c r="R1704" s="3"/>
      <c r="S1704" s="3"/>
      <c r="T1704" s="3"/>
      <c r="U1704" s="3"/>
    </row>
    <row r="1705" spans="2:21" x14ac:dyDescent="0.25">
      <c r="B1705" s="2"/>
      <c r="C1705" s="2"/>
      <c r="D1705" s="4"/>
      <c r="E1705" s="4"/>
      <c r="F1705" s="4"/>
      <c r="Q1705" s="3"/>
      <c r="R1705" s="3"/>
      <c r="S1705" s="3"/>
      <c r="T1705" s="3"/>
      <c r="U1705" s="3"/>
    </row>
    <row r="1706" spans="2:21" x14ac:dyDescent="0.25">
      <c r="B1706" s="2"/>
      <c r="C1706" s="2"/>
      <c r="D1706" s="4"/>
      <c r="E1706" s="4"/>
      <c r="F1706" s="4"/>
      <c r="Q1706" s="3"/>
      <c r="R1706" s="3"/>
      <c r="S1706" s="3"/>
      <c r="T1706" s="3"/>
      <c r="U1706" s="3"/>
    </row>
    <row r="1707" spans="2:21" x14ac:dyDescent="0.25">
      <c r="B1707" s="2"/>
      <c r="C1707" s="2"/>
      <c r="D1707" s="4"/>
      <c r="E1707" s="4"/>
      <c r="F1707" s="4"/>
      <c r="Q1707" s="3"/>
      <c r="R1707" s="3"/>
      <c r="S1707" s="3"/>
      <c r="T1707" s="3"/>
      <c r="U1707" s="3"/>
    </row>
    <row r="1708" spans="2:21" x14ac:dyDescent="0.25">
      <c r="B1708" s="2"/>
      <c r="C1708" s="2"/>
      <c r="D1708" s="4"/>
      <c r="E1708" s="4"/>
      <c r="F1708" s="4"/>
      <c r="Q1708" s="3"/>
      <c r="R1708" s="3"/>
      <c r="S1708" s="3"/>
      <c r="T1708" s="3"/>
      <c r="U1708" s="3"/>
    </row>
    <row r="1709" spans="2:21" x14ac:dyDescent="0.25">
      <c r="B1709" s="2"/>
      <c r="C1709" s="2"/>
      <c r="D1709" s="4"/>
      <c r="E1709" s="4"/>
      <c r="F1709" s="4"/>
      <c r="Q1709" s="3"/>
      <c r="R1709" s="3"/>
      <c r="S1709" s="3"/>
      <c r="T1709" s="3"/>
      <c r="U1709" s="3"/>
    </row>
    <row r="1710" spans="2:21" x14ac:dyDescent="0.25">
      <c r="B1710" s="2"/>
      <c r="C1710" s="2"/>
      <c r="D1710" s="4"/>
      <c r="E1710" s="4"/>
      <c r="F1710" s="4"/>
      <c r="Q1710" s="3"/>
      <c r="R1710" s="3"/>
      <c r="S1710" s="3"/>
      <c r="T1710" s="3"/>
      <c r="U1710" s="3"/>
    </row>
    <row r="1711" spans="2:21" x14ac:dyDescent="0.25">
      <c r="B1711" s="2"/>
      <c r="C1711" s="2"/>
      <c r="D1711" s="4"/>
      <c r="E1711" s="4"/>
      <c r="F1711" s="4"/>
      <c r="Q1711" s="3"/>
      <c r="R1711" s="3"/>
      <c r="S1711" s="3"/>
      <c r="T1711" s="3"/>
      <c r="U1711" s="3"/>
    </row>
    <row r="1712" spans="2:21" x14ac:dyDescent="0.25">
      <c r="B1712" s="2"/>
      <c r="C1712" s="2"/>
      <c r="D1712" s="4"/>
      <c r="E1712" s="4"/>
      <c r="F1712" s="4"/>
      <c r="Q1712" s="3"/>
      <c r="R1712" s="3"/>
      <c r="S1712" s="3"/>
      <c r="T1712" s="3"/>
      <c r="U1712" s="3"/>
    </row>
    <row r="1713" spans="2:21" x14ac:dyDescent="0.25">
      <c r="B1713" s="2"/>
      <c r="C1713" s="2"/>
      <c r="D1713" s="4"/>
      <c r="E1713" s="4"/>
      <c r="F1713" s="4"/>
      <c r="Q1713" s="3"/>
      <c r="R1713" s="3"/>
      <c r="S1713" s="3"/>
      <c r="T1713" s="3"/>
      <c r="U1713" s="3"/>
    </row>
    <row r="1714" spans="2:21" x14ac:dyDescent="0.25">
      <c r="B1714" s="2"/>
      <c r="C1714" s="2"/>
      <c r="D1714" s="4"/>
      <c r="E1714" s="4"/>
      <c r="F1714" s="4"/>
      <c r="Q1714" s="3"/>
      <c r="R1714" s="3"/>
      <c r="S1714" s="3"/>
      <c r="T1714" s="3"/>
      <c r="U1714" s="3"/>
    </row>
    <row r="1715" spans="2:21" x14ac:dyDescent="0.25">
      <c r="B1715" s="2"/>
      <c r="C1715" s="2"/>
      <c r="D1715" s="4"/>
      <c r="E1715" s="4"/>
      <c r="F1715" s="4"/>
      <c r="Q1715" s="3"/>
      <c r="R1715" s="3"/>
      <c r="S1715" s="3"/>
      <c r="T1715" s="3"/>
      <c r="U1715" s="3"/>
    </row>
    <row r="1716" spans="2:21" x14ac:dyDescent="0.25">
      <c r="B1716" s="2"/>
      <c r="C1716" s="2"/>
      <c r="D1716" s="4"/>
      <c r="E1716" s="4"/>
      <c r="F1716" s="4"/>
      <c r="Q1716" s="3"/>
      <c r="R1716" s="3"/>
      <c r="S1716" s="3"/>
      <c r="T1716" s="3"/>
      <c r="U1716" s="3"/>
    </row>
    <row r="1717" spans="2:21" x14ac:dyDescent="0.25">
      <c r="B1717" s="2"/>
      <c r="C1717" s="2"/>
      <c r="D1717" s="4"/>
      <c r="E1717" s="4"/>
      <c r="F1717" s="4"/>
      <c r="Q1717" s="3"/>
      <c r="R1717" s="3"/>
      <c r="S1717" s="3"/>
      <c r="T1717" s="3"/>
      <c r="U1717" s="3"/>
    </row>
    <row r="1718" spans="2:21" x14ac:dyDescent="0.25">
      <c r="B1718" s="2"/>
      <c r="C1718" s="2"/>
      <c r="D1718" s="4"/>
      <c r="E1718" s="4"/>
      <c r="F1718" s="4"/>
      <c r="Q1718" s="3"/>
      <c r="R1718" s="3"/>
      <c r="S1718" s="3"/>
      <c r="T1718" s="3"/>
      <c r="U1718" s="3"/>
    </row>
    <row r="1719" spans="2:21" x14ac:dyDescent="0.25">
      <c r="B1719" s="2"/>
      <c r="C1719" s="2"/>
      <c r="D1719" s="4"/>
      <c r="E1719" s="4"/>
      <c r="F1719" s="4"/>
      <c r="Q1719" s="3"/>
      <c r="R1719" s="3"/>
      <c r="S1719" s="3"/>
      <c r="T1719" s="3"/>
      <c r="U1719" s="3"/>
    </row>
    <row r="1720" spans="2:21" x14ac:dyDescent="0.25">
      <c r="B1720" s="2"/>
      <c r="C1720" s="2"/>
      <c r="D1720" s="4"/>
      <c r="E1720" s="4"/>
      <c r="F1720" s="4"/>
      <c r="Q1720" s="3"/>
      <c r="R1720" s="3"/>
      <c r="S1720" s="3"/>
      <c r="T1720" s="3"/>
      <c r="U1720" s="3"/>
    </row>
    <row r="1721" spans="2:21" x14ac:dyDescent="0.25">
      <c r="B1721" s="2"/>
      <c r="C1721" s="2"/>
      <c r="D1721" s="4"/>
      <c r="E1721" s="4"/>
      <c r="F1721" s="4"/>
      <c r="Q1721" s="3"/>
      <c r="R1721" s="3"/>
      <c r="S1721" s="3"/>
      <c r="T1721" s="3"/>
      <c r="U1721" s="3"/>
    </row>
    <row r="1722" spans="2:21" x14ac:dyDescent="0.25">
      <c r="B1722" s="2"/>
      <c r="C1722" s="2"/>
      <c r="D1722" s="4"/>
      <c r="E1722" s="4"/>
      <c r="F1722" s="4"/>
      <c r="Q1722" s="3"/>
      <c r="R1722" s="3"/>
      <c r="S1722" s="3"/>
      <c r="T1722" s="3"/>
      <c r="U1722" s="3"/>
    </row>
    <row r="1723" spans="2:21" x14ac:dyDescent="0.25">
      <c r="B1723" s="2"/>
      <c r="C1723" s="2"/>
      <c r="D1723" s="4"/>
      <c r="E1723" s="4"/>
      <c r="F1723" s="4"/>
      <c r="Q1723" s="3"/>
      <c r="R1723" s="3"/>
      <c r="S1723" s="3"/>
      <c r="T1723" s="3"/>
      <c r="U1723" s="3"/>
    </row>
    <row r="1724" spans="2:21" x14ac:dyDescent="0.25">
      <c r="B1724" s="2"/>
      <c r="C1724" s="2"/>
      <c r="D1724" s="4"/>
      <c r="E1724" s="4"/>
      <c r="F1724" s="4"/>
      <c r="Q1724" s="3"/>
      <c r="R1724" s="3"/>
      <c r="S1724" s="3"/>
      <c r="T1724" s="3"/>
      <c r="U1724" s="3"/>
    </row>
    <row r="1725" spans="2:21" x14ac:dyDescent="0.25">
      <c r="B1725" s="2"/>
      <c r="C1725" s="2"/>
      <c r="D1725" s="4"/>
      <c r="E1725" s="4"/>
      <c r="F1725" s="4"/>
      <c r="Q1725" s="3"/>
      <c r="R1725" s="3"/>
      <c r="S1725" s="3"/>
      <c r="T1725" s="3"/>
      <c r="U1725" s="3"/>
    </row>
    <row r="1726" spans="2:21" x14ac:dyDescent="0.25">
      <c r="B1726" s="2"/>
      <c r="C1726" s="2"/>
      <c r="D1726" s="4"/>
      <c r="E1726" s="4"/>
      <c r="F1726" s="4"/>
      <c r="Q1726" s="3"/>
      <c r="R1726" s="3"/>
      <c r="S1726" s="3"/>
      <c r="T1726" s="3"/>
      <c r="U1726" s="3"/>
    </row>
    <row r="1727" spans="2:21" x14ac:dyDescent="0.25">
      <c r="B1727" s="2"/>
      <c r="C1727" s="2"/>
      <c r="D1727" s="4"/>
      <c r="E1727" s="4"/>
      <c r="F1727" s="4"/>
      <c r="Q1727" s="3"/>
      <c r="R1727" s="3"/>
      <c r="S1727" s="3"/>
      <c r="T1727" s="3"/>
      <c r="U1727" s="3"/>
    </row>
    <row r="1728" spans="2:21" x14ac:dyDescent="0.25">
      <c r="B1728" s="2"/>
      <c r="C1728" s="2"/>
      <c r="D1728" s="4"/>
      <c r="E1728" s="4"/>
      <c r="F1728" s="4"/>
      <c r="Q1728" s="3"/>
      <c r="R1728" s="3"/>
      <c r="S1728" s="3"/>
      <c r="T1728" s="3"/>
      <c r="U1728" s="3"/>
    </row>
    <row r="1729" spans="2:21" x14ac:dyDescent="0.25">
      <c r="B1729" s="2"/>
      <c r="C1729" s="2"/>
      <c r="D1729" s="4"/>
      <c r="E1729" s="4"/>
      <c r="F1729" s="4"/>
      <c r="Q1729" s="3"/>
      <c r="R1729" s="3"/>
      <c r="S1729" s="3"/>
      <c r="T1729" s="3"/>
      <c r="U1729" s="3"/>
    </row>
    <row r="1730" spans="2:21" x14ac:dyDescent="0.25">
      <c r="B1730" s="2"/>
      <c r="C1730" s="2"/>
      <c r="D1730" s="4"/>
      <c r="E1730" s="4"/>
      <c r="F1730" s="4"/>
      <c r="Q1730" s="3"/>
      <c r="R1730" s="3"/>
      <c r="S1730" s="3"/>
      <c r="T1730" s="3"/>
      <c r="U1730" s="3"/>
    </row>
    <row r="1731" spans="2:21" x14ac:dyDescent="0.25">
      <c r="B1731" s="2"/>
      <c r="C1731" s="2"/>
      <c r="D1731" s="4"/>
      <c r="E1731" s="4"/>
      <c r="F1731" s="4"/>
      <c r="Q1731" s="3"/>
      <c r="R1731" s="3"/>
      <c r="S1731" s="3"/>
      <c r="T1731" s="3"/>
      <c r="U1731" s="3"/>
    </row>
    <row r="1732" spans="2:21" x14ac:dyDescent="0.25">
      <c r="B1732" s="2"/>
      <c r="C1732" s="2"/>
      <c r="D1732" s="4"/>
      <c r="E1732" s="4"/>
      <c r="F1732" s="4"/>
      <c r="Q1732" s="3"/>
      <c r="R1732" s="3"/>
      <c r="S1732" s="3"/>
      <c r="T1732" s="3"/>
      <c r="U1732" s="3"/>
    </row>
    <row r="1733" spans="2:21" x14ac:dyDescent="0.25">
      <c r="B1733" s="2"/>
      <c r="C1733" s="2"/>
      <c r="D1733" s="4"/>
      <c r="E1733" s="4"/>
      <c r="F1733" s="4"/>
      <c r="Q1733" s="3"/>
      <c r="R1733" s="3"/>
      <c r="S1733" s="3"/>
      <c r="T1733" s="3"/>
      <c r="U1733" s="3"/>
    </row>
    <row r="1734" spans="2:21" x14ac:dyDescent="0.25">
      <c r="B1734" s="2"/>
      <c r="C1734" s="2"/>
      <c r="D1734" s="4"/>
      <c r="E1734" s="4"/>
      <c r="F1734" s="4"/>
      <c r="Q1734" s="3"/>
      <c r="R1734" s="3"/>
      <c r="S1734" s="3"/>
      <c r="T1734" s="3"/>
      <c r="U1734" s="3"/>
    </row>
    <row r="1735" spans="2:21" x14ac:dyDescent="0.25">
      <c r="B1735" s="2"/>
      <c r="C1735" s="2"/>
      <c r="D1735" s="4"/>
      <c r="E1735" s="4"/>
      <c r="F1735" s="4"/>
      <c r="Q1735" s="3"/>
      <c r="R1735" s="3"/>
      <c r="S1735" s="3"/>
      <c r="T1735" s="3"/>
      <c r="U1735" s="3"/>
    </row>
    <row r="1736" spans="2:21" x14ac:dyDescent="0.25">
      <c r="B1736" s="2"/>
      <c r="C1736" s="2"/>
      <c r="D1736" s="4"/>
      <c r="E1736" s="4"/>
      <c r="F1736" s="4"/>
      <c r="Q1736" s="3"/>
      <c r="R1736" s="3"/>
      <c r="S1736" s="3"/>
      <c r="T1736" s="3"/>
      <c r="U1736" s="3"/>
    </row>
    <row r="1737" spans="2:21" x14ac:dyDescent="0.25">
      <c r="B1737" s="2"/>
      <c r="C1737" s="2"/>
      <c r="D1737" s="4"/>
      <c r="E1737" s="4"/>
      <c r="F1737" s="4"/>
      <c r="Q1737" s="3"/>
      <c r="R1737" s="3"/>
      <c r="S1737" s="3"/>
      <c r="T1737" s="3"/>
      <c r="U1737" s="3"/>
    </row>
    <row r="1738" spans="2:21" x14ac:dyDescent="0.25">
      <c r="B1738" s="2"/>
      <c r="C1738" s="2"/>
      <c r="D1738" s="4"/>
      <c r="E1738" s="4"/>
      <c r="F1738" s="4"/>
      <c r="Q1738" s="3"/>
      <c r="R1738" s="3"/>
      <c r="S1738" s="3"/>
      <c r="T1738" s="3"/>
      <c r="U1738" s="3"/>
    </row>
    <row r="1739" spans="2:21" x14ac:dyDescent="0.25">
      <c r="B1739" s="2"/>
      <c r="C1739" s="2"/>
      <c r="D1739" s="4"/>
      <c r="E1739" s="4"/>
      <c r="F1739" s="4"/>
      <c r="Q1739" s="3"/>
      <c r="R1739" s="3"/>
      <c r="S1739" s="3"/>
      <c r="T1739" s="3"/>
      <c r="U1739" s="3"/>
    </row>
    <row r="1740" spans="2:21" x14ac:dyDescent="0.25">
      <c r="B1740" s="2"/>
      <c r="C1740" s="2"/>
      <c r="D1740" s="4"/>
      <c r="E1740" s="4"/>
      <c r="F1740" s="4"/>
      <c r="Q1740" s="3"/>
      <c r="R1740" s="3"/>
      <c r="S1740" s="3"/>
      <c r="T1740" s="3"/>
      <c r="U1740" s="3"/>
    </row>
    <row r="1741" spans="2:21" x14ac:dyDescent="0.25">
      <c r="B1741" s="2"/>
      <c r="C1741" s="2"/>
      <c r="D1741" s="4"/>
      <c r="E1741" s="4"/>
      <c r="F1741" s="4"/>
      <c r="Q1741" s="3"/>
      <c r="R1741" s="3"/>
      <c r="S1741" s="3"/>
      <c r="T1741" s="3"/>
      <c r="U1741" s="3"/>
    </row>
    <row r="1742" spans="2:21" x14ac:dyDescent="0.25">
      <c r="B1742" s="2"/>
      <c r="C1742" s="2"/>
      <c r="D1742" s="4"/>
      <c r="E1742" s="4"/>
      <c r="F1742" s="4"/>
      <c r="Q1742" s="3"/>
      <c r="R1742" s="3"/>
      <c r="S1742" s="3"/>
      <c r="T1742" s="3"/>
      <c r="U1742" s="3"/>
    </row>
    <row r="1743" spans="2:21" x14ac:dyDescent="0.25">
      <c r="B1743" s="2"/>
      <c r="C1743" s="2"/>
      <c r="D1743" s="4"/>
      <c r="E1743" s="4"/>
      <c r="F1743" s="4"/>
      <c r="Q1743" s="3"/>
      <c r="R1743" s="3"/>
      <c r="S1743" s="3"/>
      <c r="T1743" s="3"/>
      <c r="U1743" s="3"/>
    </row>
    <row r="1744" spans="2:21" x14ac:dyDescent="0.25">
      <c r="B1744" s="2"/>
      <c r="C1744" s="2"/>
      <c r="D1744" s="4"/>
      <c r="E1744" s="4"/>
      <c r="F1744" s="4"/>
      <c r="Q1744" s="3"/>
      <c r="R1744" s="3"/>
      <c r="S1744" s="3"/>
      <c r="T1744" s="3"/>
      <c r="U1744" s="3"/>
    </row>
    <row r="1745" spans="2:21" x14ac:dyDescent="0.25">
      <c r="B1745" s="2"/>
      <c r="C1745" s="2"/>
      <c r="D1745" s="4"/>
      <c r="E1745" s="4"/>
      <c r="F1745" s="4"/>
      <c r="Q1745" s="3"/>
      <c r="R1745" s="3"/>
      <c r="S1745" s="3"/>
      <c r="T1745" s="3"/>
      <c r="U1745" s="3"/>
    </row>
    <row r="1746" spans="2:21" x14ac:dyDescent="0.25">
      <c r="B1746" s="2"/>
      <c r="C1746" s="2"/>
      <c r="D1746" s="4"/>
      <c r="E1746" s="4"/>
      <c r="F1746" s="4"/>
      <c r="Q1746" s="3"/>
      <c r="R1746" s="3"/>
      <c r="S1746" s="3"/>
      <c r="T1746" s="3"/>
      <c r="U1746" s="3"/>
    </row>
    <row r="1747" spans="2:21" x14ac:dyDescent="0.25">
      <c r="B1747" s="2"/>
      <c r="C1747" s="2"/>
      <c r="D1747" s="4"/>
      <c r="E1747" s="4"/>
      <c r="F1747" s="4"/>
      <c r="Q1747" s="3"/>
      <c r="R1747" s="3"/>
      <c r="S1747" s="3"/>
      <c r="T1747" s="3"/>
      <c r="U1747" s="3"/>
    </row>
    <row r="1748" spans="2:21" x14ac:dyDescent="0.25">
      <c r="B1748" s="2"/>
      <c r="C1748" s="2"/>
      <c r="D1748" s="4"/>
      <c r="E1748" s="4"/>
      <c r="F1748" s="4"/>
      <c r="Q1748" s="3"/>
      <c r="R1748" s="3"/>
      <c r="S1748" s="3"/>
      <c r="T1748" s="3"/>
      <c r="U1748" s="3"/>
    </row>
    <row r="1749" spans="2:21" x14ac:dyDescent="0.25">
      <c r="B1749" s="2"/>
      <c r="C1749" s="2"/>
      <c r="D1749" s="4"/>
      <c r="E1749" s="4"/>
      <c r="F1749" s="4"/>
      <c r="Q1749" s="3"/>
      <c r="R1749" s="3"/>
      <c r="S1749" s="3"/>
      <c r="T1749" s="3"/>
      <c r="U1749" s="3"/>
    </row>
    <row r="1750" spans="2:21" x14ac:dyDescent="0.25">
      <c r="B1750" s="2"/>
      <c r="C1750" s="2"/>
      <c r="D1750" s="4"/>
      <c r="E1750" s="4"/>
      <c r="F1750" s="4"/>
      <c r="Q1750" s="3"/>
      <c r="R1750" s="3"/>
      <c r="S1750" s="3"/>
      <c r="T1750" s="3"/>
      <c r="U1750" s="3"/>
    </row>
    <row r="1751" spans="2:21" x14ac:dyDescent="0.25">
      <c r="B1751" s="2"/>
      <c r="C1751" s="2"/>
      <c r="D1751" s="4"/>
      <c r="E1751" s="4"/>
      <c r="F1751" s="4"/>
      <c r="Q1751" s="3"/>
      <c r="R1751" s="3"/>
      <c r="S1751" s="3"/>
      <c r="T1751" s="3"/>
      <c r="U1751" s="3"/>
    </row>
    <row r="1752" spans="2:21" x14ac:dyDescent="0.25">
      <c r="B1752" s="2"/>
      <c r="C1752" s="2"/>
      <c r="D1752" s="4"/>
      <c r="E1752" s="4"/>
      <c r="F1752" s="4"/>
      <c r="Q1752" s="3"/>
      <c r="R1752" s="3"/>
      <c r="S1752" s="3"/>
      <c r="T1752" s="3"/>
      <c r="U1752" s="3"/>
    </row>
    <row r="1753" spans="2:21" x14ac:dyDescent="0.25">
      <c r="B1753" s="2"/>
      <c r="C1753" s="2"/>
      <c r="D1753" s="4"/>
      <c r="E1753" s="4"/>
      <c r="F1753" s="4"/>
      <c r="Q1753" s="3"/>
      <c r="R1753" s="3"/>
      <c r="S1753" s="3"/>
      <c r="T1753" s="3"/>
      <c r="U1753" s="3"/>
    </row>
    <row r="1754" spans="2:21" x14ac:dyDescent="0.25">
      <c r="B1754" s="2"/>
      <c r="C1754" s="2"/>
      <c r="D1754" s="4"/>
      <c r="E1754" s="4"/>
      <c r="F1754" s="4"/>
      <c r="Q1754" s="3"/>
      <c r="R1754" s="3"/>
      <c r="S1754" s="3"/>
      <c r="T1754" s="3"/>
      <c r="U1754" s="3"/>
    </row>
    <row r="1755" spans="2:21" x14ac:dyDescent="0.25">
      <c r="B1755" s="2"/>
      <c r="C1755" s="2"/>
      <c r="D1755" s="4"/>
      <c r="E1755" s="4"/>
      <c r="F1755" s="4"/>
      <c r="Q1755" s="3"/>
      <c r="R1755" s="3"/>
      <c r="S1755" s="3"/>
      <c r="T1755" s="3"/>
      <c r="U1755" s="3"/>
    </row>
    <row r="1756" spans="2:21" x14ac:dyDescent="0.25">
      <c r="B1756" s="2"/>
      <c r="C1756" s="2"/>
      <c r="D1756" s="4"/>
      <c r="E1756" s="4"/>
      <c r="F1756" s="4"/>
      <c r="Q1756" s="3"/>
      <c r="R1756" s="3"/>
      <c r="S1756" s="3"/>
      <c r="T1756" s="3"/>
      <c r="U1756" s="3"/>
    </row>
    <row r="1757" spans="2:21" x14ac:dyDescent="0.25">
      <c r="B1757" s="2"/>
      <c r="C1757" s="2"/>
      <c r="D1757" s="4"/>
      <c r="E1757" s="4"/>
      <c r="F1757" s="4"/>
      <c r="Q1757" s="3"/>
      <c r="R1757" s="3"/>
      <c r="S1757" s="3"/>
      <c r="T1757" s="3"/>
      <c r="U1757" s="3"/>
    </row>
    <row r="1758" spans="2:21" x14ac:dyDescent="0.25">
      <c r="B1758" s="2"/>
      <c r="C1758" s="2"/>
      <c r="D1758" s="4"/>
      <c r="E1758" s="4"/>
      <c r="F1758" s="4"/>
      <c r="Q1758" s="3"/>
      <c r="R1758" s="3"/>
      <c r="S1758" s="3"/>
      <c r="T1758" s="3"/>
      <c r="U1758" s="3"/>
    </row>
    <row r="1759" spans="2:21" x14ac:dyDescent="0.25">
      <c r="B1759" s="2"/>
      <c r="C1759" s="2"/>
      <c r="D1759" s="4"/>
      <c r="E1759" s="4"/>
      <c r="F1759" s="4"/>
      <c r="Q1759" s="3"/>
      <c r="R1759" s="3"/>
      <c r="S1759" s="3"/>
      <c r="T1759" s="3"/>
      <c r="U1759" s="3"/>
    </row>
    <row r="1760" spans="2:21" x14ac:dyDescent="0.25">
      <c r="B1760" s="2"/>
      <c r="C1760" s="2"/>
      <c r="D1760" s="4"/>
      <c r="E1760" s="4"/>
      <c r="F1760" s="4"/>
      <c r="Q1760" s="3"/>
      <c r="R1760" s="3"/>
      <c r="S1760" s="3"/>
      <c r="T1760" s="3"/>
      <c r="U1760" s="3"/>
    </row>
    <row r="1761" spans="2:21" x14ac:dyDescent="0.25">
      <c r="B1761" s="2"/>
      <c r="C1761" s="2"/>
      <c r="D1761" s="4"/>
      <c r="E1761" s="4"/>
      <c r="F1761" s="4"/>
      <c r="Q1761" s="3"/>
      <c r="R1761" s="3"/>
      <c r="S1761" s="3"/>
      <c r="T1761" s="3"/>
      <c r="U1761" s="3"/>
    </row>
    <row r="1762" spans="2:21" x14ac:dyDescent="0.25">
      <c r="B1762" s="2"/>
      <c r="C1762" s="2"/>
      <c r="D1762" s="4"/>
      <c r="E1762" s="4"/>
      <c r="F1762" s="4"/>
      <c r="Q1762" s="3"/>
      <c r="R1762" s="3"/>
      <c r="S1762" s="3"/>
      <c r="T1762" s="3"/>
      <c r="U1762" s="3"/>
    </row>
    <row r="1763" spans="2:21" x14ac:dyDescent="0.25">
      <c r="B1763" s="2"/>
      <c r="C1763" s="2"/>
      <c r="D1763" s="4"/>
      <c r="E1763" s="4"/>
      <c r="F1763" s="4"/>
      <c r="Q1763" s="3"/>
      <c r="R1763" s="3"/>
      <c r="S1763" s="3"/>
      <c r="T1763" s="3"/>
      <c r="U1763" s="3"/>
    </row>
    <row r="1764" spans="2:21" x14ac:dyDescent="0.25">
      <c r="B1764" s="2"/>
      <c r="C1764" s="2"/>
      <c r="D1764" s="4"/>
      <c r="E1764" s="4"/>
      <c r="F1764" s="4"/>
      <c r="Q1764" s="3"/>
      <c r="R1764" s="3"/>
      <c r="S1764" s="3"/>
      <c r="T1764" s="3"/>
      <c r="U1764" s="3"/>
    </row>
    <row r="1765" spans="2:21" x14ac:dyDescent="0.25">
      <c r="B1765" s="2"/>
      <c r="C1765" s="2"/>
      <c r="D1765" s="4"/>
      <c r="E1765" s="4"/>
      <c r="F1765" s="4"/>
      <c r="Q1765" s="3"/>
      <c r="R1765" s="3"/>
      <c r="S1765" s="3"/>
      <c r="T1765" s="3"/>
      <c r="U1765" s="3"/>
    </row>
    <row r="1766" spans="2:21" x14ac:dyDescent="0.25">
      <c r="B1766" s="2"/>
      <c r="C1766" s="2"/>
      <c r="D1766" s="4"/>
      <c r="E1766" s="4"/>
      <c r="F1766" s="4"/>
      <c r="Q1766" s="3"/>
      <c r="R1766" s="3"/>
      <c r="S1766" s="3"/>
      <c r="T1766" s="3"/>
      <c r="U1766" s="3"/>
    </row>
    <row r="1767" spans="2:21" x14ac:dyDescent="0.25">
      <c r="B1767" s="2"/>
      <c r="C1767" s="2"/>
      <c r="D1767" s="4"/>
      <c r="E1767" s="4"/>
      <c r="F1767" s="4"/>
      <c r="Q1767" s="3"/>
      <c r="R1767" s="3"/>
      <c r="S1767" s="3"/>
      <c r="T1767" s="3"/>
      <c r="U1767" s="3"/>
    </row>
    <row r="1768" spans="2:21" x14ac:dyDescent="0.25">
      <c r="B1768" s="2"/>
      <c r="C1768" s="2"/>
      <c r="D1768" s="4"/>
      <c r="E1768" s="4"/>
      <c r="F1768" s="4"/>
      <c r="Q1768" s="3"/>
      <c r="R1768" s="3"/>
      <c r="S1768" s="3"/>
      <c r="T1768" s="3"/>
      <c r="U1768" s="3"/>
    </row>
    <row r="1769" spans="2:21" x14ac:dyDescent="0.25">
      <c r="B1769" s="2"/>
      <c r="C1769" s="2"/>
      <c r="D1769" s="4"/>
      <c r="E1769" s="4"/>
      <c r="F1769" s="4"/>
      <c r="Q1769" s="3"/>
      <c r="R1769" s="3"/>
      <c r="S1769" s="3"/>
      <c r="T1769" s="3"/>
      <c r="U1769" s="3"/>
    </row>
    <row r="1770" spans="2:21" x14ac:dyDescent="0.25">
      <c r="B1770" s="2"/>
      <c r="C1770" s="2"/>
      <c r="D1770" s="4"/>
      <c r="E1770" s="4"/>
      <c r="F1770" s="4"/>
      <c r="Q1770" s="3"/>
      <c r="R1770" s="3"/>
      <c r="S1770" s="3"/>
      <c r="T1770" s="3"/>
      <c r="U1770" s="3"/>
    </row>
    <row r="1771" spans="2:21" x14ac:dyDescent="0.25">
      <c r="B1771" s="2"/>
      <c r="C1771" s="2"/>
      <c r="D1771" s="4"/>
      <c r="E1771" s="4"/>
      <c r="F1771" s="4"/>
      <c r="Q1771" s="3"/>
      <c r="R1771" s="3"/>
      <c r="S1771" s="3"/>
      <c r="T1771" s="3"/>
      <c r="U1771" s="3"/>
    </row>
    <row r="1772" spans="2:21" x14ac:dyDescent="0.25">
      <c r="B1772" s="2"/>
      <c r="C1772" s="2"/>
      <c r="D1772" s="4"/>
      <c r="E1772" s="4"/>
      <c r="F1772" s="4"/>
      <c r="Q1772" s="3"/>
      <c r="R1772" s="3"/>
      <c r="S1772" s="3"/>
      <c r="T1772" s="3"/>
      <c r="U1772" s="3"/>
    </row>
    <row r="1773" spans="2:21" x14ac:dyDescent="0.25">
      <c r="B1773" s="2"/>
      <c r="C1773" s="2"/>
      <c r="D1773" s="4"/>
      <c r="E1773" s="4"/>
      <c r="F1773" s="4"/>
      <c r="Q1773" s="3"/>
      <c r="R1773" s="3"/>
      <c r="S1773" s="3"/>
      <c r="T1773" s="3"/>
      <c r="U1773" s="3"/>
    </row>
    <row r="1774" spans="2:21" x14ac:dyDescent="0.25">
      <c r="B1774" s="2"/>
      <c r="C1774" s="2"/>
      <c r="D1774" s="4"/>
      <c r="E1774" s="4"/>
      <c r="F1774" s="4"/>
      <c r="Q1774" s="3"/>
      <c r="R1774" s="3"/>
      <c r="S1774" s="3"/>
      <c r="T1774" s="3"/>
      <c r="U1774" s="3"/>
    </row>
    <row r="1775" spans="2:21" x14ac:dyDescent="0.25">
      <c r="B1775" s="2"/>
      <c r="C1775" s="2"/>
      <c r="D1775" s="4"/>
      <c r="E1775" s="4"/>
      <c r="F1775" s="4"/>
      <c r="Q1775" s="3"/>
      <c r="R1775" s="3"/>
      <c r="S1775" s="3"/>
      <c r="T1775" s="3"/>
      <c r="U1775" s="3"/>
    </row>
    <row r="1776" spans="2:21" x14ac:dyDescent="0.25">
      <c r="B1776" s="2"/>
      <c r="C1776" s="2"/>
      <c r="D1776" s="4"/>
      <c r="E1776" s="4"/>
      <c r="F1776" s="4"/>
      <c r="Q1776" s="3"/>
      <c r="R1776" s="3"/>
      <c r="S1776" s="3"/>
      <c r="T1776" s="3"/>
      <c r="U1776" s="3"/>
    </row>
    <row r="1777" spans="2:21" x14ac:dyDescent="0.25">
      <c r="B1777" s="2"/>
      <c r="C1777" s="2"/>
      <c r="D1777" s="4"/>
      <c r="E1777" s="4"/>
      <c r="F1777" s="4"/>
      <c r="Q1777" s="3"/>
      <c r="R1777" s="3"/>
      <c r="S1777" s="3"/>
      <c r="T1777" s="3"/>
      <c r="U1777" s="3"/>
    </row>
    <row r="1778" spans="2:21" x14ac:dyDescent="0.25">
      <c r="B1778" s="2"/>
      <c r="C1778" s="2"/>
      <c r="D1778" s="4"/>
      <c r="E1778" s="4"/>
      <c r="F1778" s="4"/>
      <c r="Q1778" s="3"/>
      <c r="R1778" s="3"/>
      <c r="S1778" s="3"/>
      <c r="T1778" s="3"/>
      <c r="U1778" s="3"/>
    </row>
    <row r="1779" spans="2:21" x14ac:dyDescent="0.25">
      <c r="B1779" s="2"/>
      <c r="C1779" s="2"/>
      <c r="D1779" s="4"/>
      <c r="E1779" s="4"/>
      <c r="F1779" s="4"/>
      <c r="Q1779" s="3"/>
      <c r="R1779" s="3"/>
      <c r="S1779" s="3"/>
      <c r="T1779" s="3"/>
      <c r="U1779" s="3"/>
    </row>
    <row r="1780" spans="2:21" x14ac:dyDescent="0.25">
      <c r="B1780" s="2"/>
      <c r="C1780" s="2"/>
      <c r="D1780" s="4"/>
      <c r="E1780" s="4"/>
      <c r="F1780" s="4"/>
      <c r="Q1780" s="3"/>
      <c r="R1780" s="3"/>
      <c r="S1780" s="3"/>
      <c r="T1780" s="3"/>
      <c r="U1780" s="3"/>
    </row>
    <row r="1781" spans="2:21" x14ac:dyDescent="0.25">
      <c r="B1781" s="2"/>
      <c r="C1781" s="2"/>
      <c r="D1781" s="4"/>
      <c r="E1781" s="4"/>
      <c r="F1781" s="4"/>
      <c r="Q1781" s="3"/>
      <c r="R1781" s="3"/>
      <c r="S1781" s="3"/>
      <c r="T1781" s="3"/>
      <c r="U1781" s="3"/>
    </row>
    <row r="1782" spans="2:21" x14ac:dyDescent="0.25">
      <c r="B1782" s="2"/>
      <c r="C1782" s="2"/>
      <c r="D1782" s="4"/>
      <c r="E1782" s="4"/>
      <c r="F1782" s="4"/>
      <c r="Q1782" s="3"/>
      <c r="R1782" s="3"/>
      <c r="S1782" s="3"/>
      <c r="T1782" s="3"/>
      <c r="U1782" s="3"/>
    </row>
    <row r="1783" spans="2:21" x14ac:dyDescent="0.25">
      <c r="B1783" s="2"/>
      <c r="C1783" s="2"/>
      <c r="D1783" s="4"/>
      <c r="E1783" s="4"/>
      <c r="F1783" s="4"/>
      <c r="Q1783" s="3"/>
      <c r="R1783" s="3"/>
      <c r="S1783" s="3"/>
      <c r="T1783" s="3"/>
      <c r="U1783" s="3"/>
    </row>
    <row r="1784" spans="2:21" x14ac:dyDescent="0.25">
      <c r="B1784" s="2"/>
      <c r="C1784" s="2"/>
      <c r="D1784" s="4"/>
      <c r="E1784" s="4"/>
      <c r="F1784" s="4"/>
      <c r="Q1784" s="3"/>
      <c r="R1784" s="3"/>
      <c r="S1784" s="3"/>
      <c r="T1784" s="3"/>
      <c r="U1784" s="3"/>
    </row>
    <row r="1785" spans="2:21" x14ac:dyDescent="0.25">
      <c r="B1785" s="2"/>
      <c r="C1785" s="2"/>
      <c r="D1785" s="4"/>
      <c r="E1785" s="4"/>
      <c r="F1785" s="4"/>
      <c r="Q1785" s="3"/>
      <c r="R1785" s="3"/>
      <c r="S1785" s="3"/>
      <c r="T1785" s="3"/>
      <c r="U1785" s="3"/>
    </row>
    <row r="1786" spans="2:21" x14ac:dyDescent="0.25">
      <c r="B1786" s="2"/>
      <c r="C1786" s="2"/>
      <c r="D1786" s="4"/>
      <c r="E1786" s="4"/>
      <c r="F1786" s="4"/>
      <c r="Q1786" s="3"/>
      <c r="R1786" s="3"/>
      <c r="S1786" s="3"/>
      <c r="T1786" s="3"/>
      <c r="U1786" s="3"/>
    </row>
    <row r="1787" spans="2:21" x14ac:dyDescent="0.25">
      <c r="B1787" s="2"/>
      <c r="C1787" s="2"/>
      <c r="D1787" s="4"/>
      <c r="E1787" s="4"/>
      <c r="F1787" s="4"/>
      <c r="Q1787" s="3"/>
      <c r="R1787" s="3"/>
      <c r="S1787" s="3"/>
      <c r="T1787" s="3"/>
      <c r="U1787" s="3"/>
    </row>
    <row r="1788" spans="2:21" x14ac:dyDescent="0.25">
      <c r="B1788" s="2"/>
      <c r="C1788" s="2"/>
      <c r="D1788" s="4"/>
      <c r="E1788" s="4"/>
      <c r="F1788" s="4"/>
      <c r="Q1788" s="3"/>
      <c r="R1788" s="3"/>
      <c r="S1788" s="3"/>
      <c r="T1788" s="3"/>
      <c r="U1788" s="3"/>
    </row>
    <row r="1789" spans="2:21" x14ac:dyDescent="0.25">
      <c r="B1789" s="2"/>
      <c r="C1789" s="2"/>
      <c r="D1789" s="4"/>
      <c r="E1789" s="4"/>
      <c r="F1789" s="4"/>
      <c r="Q1789" s="3"/>
      <c r="R1789" s="3"/>
      <c r="S1789" s="3"/>
      <c r="T1789" s="3"/>
      <c r="U1789" s="3"/>
    </row>
    <row r="1790" spans="2:21" x14ac:dyDescent="0.25">
      <c r="B1790" s="2"/>
      <c r="C1790" s="2"/>
      <c r="D1790" s="4"/>
      <c r="E1790" s="4"/>
      <c r="F1790" s="4"/>
      <c r="Q1790" s="3"/>
      <c r="R1790" s="3"/>
      <c r="S1790" s="3"/>
      <c r="T1790" s="3"/>
      <c r="U1790" s="3"/>
    </row>
    <row r="1791" spans="2:21" x14ac:dyDescent="0.25">
      <c r="B1791" s="2"/>
      <c r="C1791" s="2"/>
      <c r="D1791" s="4"/>
      <c r="E1791" s="4"/>
      <c r="F1791" s="4"/>
      <c r="Q1791" s="3"/>
      <c r="R1791" s="3"/>
      <c r="S1791" s="3"/>
      <c r="T1791" s="3"/>
      <c r="U1791" s="3"/>
    </row>
    <row r="1792" spans="2:21" x14ac:dyDescent="0.25">
      <c r="B1792" s="2"/>
      <c r="C1792" s="2"/>
      <c r="D1792" s="4"/>
      <c r="E1792" s="4"/>
      <c r="F1792" s="4"/>
      <c r="Q1792" s="3"/>
      <c r="R1792" s="3"/>
      <c r="S1792" s="3"/>
      <c r="T1792" s="3"/>
      <c r="U1792" s="3"/>
    </row>
    <row r="1793" spans="2:21" x14ac:dyDescent="0.25">
      <c r="B1793" s="2"/>
      <c r="C1793" s="2"/>
      <c r="D1793" s="4"/>
      <c r="E1793" s="4"/>
      <c r="F1793" s="4"/>
      <c r="Q1793" s="3"/>
      <c r="R1793" s="3"/>
      <c r="S1793" s="3"/>
      <c r="T1793" s="3"/>
      <c r="U1793" s="3"/>
    </row>
    <row r="1794" spans="2:21" x14ac:dyDescent="0.25">
      <c r="B1794" s="2"/>
      <c r="C1794" s="2"/>
      <c r="D1794" s="4"/>
      <c r="E1794" s="4"/>
      <c r="F1794" s="4"/>
      <c r="Q1794" s="3"/>
      <c r="R1794" s="3"/>
      <c r="S1794" s="3"/>
      <c r="T1794" s="3"/>
      <c r="U1794" s="3"/>
    </row>
    <row r="1795" spans="2:21" x14ac:dyDescent="0.25">
      <c r="B1795" s="2"/>
      <c r="C1795" s="2"/>
      <c r="D1795" s="4"/>
      <c r="E1795" s="4"/>
      <c r="F1795" s="4"/>
      <c r="Q1795" s="3"/>
      <c r="R1795" s="3"/>
      <c r="S1795" s="3"/>
      <c r="T1795" s="3"/>
      <c r="U1795" s="3"/>
    </row>
    <row r="1796" spans="2:21" x14ac:dyDescent="0.25">
      <c r="B1796" s="2"/>
      <c r="C1796" s="2"/>
      <c r="D1796" s="4"/>
      <c r="E1796" s="4"/>
      <c r="F1796" s="4"/>
      <c r="Q1796" s="3"/>
      <c r="R1796" s="3"/>
      <c r="S1796" s="3"/>
      <c r="T1796" s="3"/>
      <c r="U1796" s="3"/>
    </row>
    <row r="1797" spans="2:21" x14ac:dyDescent="0.25">
      <c r="B1797" s="2"/>
      <c r="C1797" s="2"/>
      <c r="D1797" s="4"/>
      <c r="E1797" s="4"/>
      <c r="F1797" s="4"/>
      <c r="Q1797" s="3"/>
      <c r="R1797" s="3"/>
      <c r="S1797" s="3"/>
      <c r="T1797" s="3"/>
      <c r="U1797" s="3"/>
    </row>
    <row r="1798" spans="2:21" x14ac:dyDescent="0.25">
      <c r="B1798" s="2"/>
      <c r="C1798" s="2"/>
      <c r="D1798" s="4"/>
      <c r="E1798" s="4"/>
      <c r="F1798" s="4"/>
      <c r="Q1798" s="3"/>
      <c r="R1798" s="3"/>
      <c r="S1798" s="3"/>
      <c r="T1798" s="3"/>
      <c r="U1798" s="3"/>
    </row>
    <row r="1799" spans="2:21" x14ac:dyDescent="0.25">
      <c r="B1799" s="2"/>
      <c r="C1799" s="2"/>
      <c r="D1799" s="4"/>
      <c r="E1799" s="4"/>
      <c r="F1799" s="4"/>
      <c r="Q1799" s="3"/>
      <c r="R1799" s="3"/>
      <c r="S1799" s="3"/>
      <c r="T1799" s="3"/>
      <c r="U1799" s="3"/>
    </row>
    <row r="1800" spans="2:21" x14ac:dyDescent="0.25">
      <c r="B1800" s="2"/>
      <c r="C1800" s="2"/>
      <c r="D1800" s="4"/>
      <c r="E1800" s="4"/>
      <c r="F1800" s="4"/>
      <c r="Q1800" s="3"/>
      <c r="R1800" s="3"/>
      <c r="S1800" s="3"/>
      <c r="T1800" s="3"/>
      <c r="U1800" s="3"/>
    </row>
    <row r="1801" spans="2:21" x14ac:dyDescent="0.25">
      <c r="B1801" s="2"/>
      <c r="C1801" s="2"/>
      <c r="D1801" s="4"/>
      <c r="E1801" s="4"/>
      <c r="F1801" s="4"/>
      <c r="Q1801" s="3"/>
      <c r="R1801" s="3"/>
      <c r="S1801" s="3"/>
      <c r="T1801" s="3"/>
      <c r="U1801" s="3"/>
    </row>
    <row r="1802" spans="2:21" x14ac:dyDescent="0.25">
      <c r="B1802" s="2"/>
      <c r="C1802" s="2"/>
      <c r="D1802" s="4"/>
      <c r="E1802" s="4"/>
      <c r="F1802" s="4"/>
      <c r="Q1802" s="3"/>
      <c r="R1802" s="3"/>
      <c r="S1802" s="3"/>
      <c r="T1802" s="3"/>
      <c r="U1802" s="3"/>
    </row>
    <row r="1803" spans="2:21" x14ac:dyDescent="0.25">
      <c r="B1803" s="2"/>
      <c r="C1803" s="2"/>
      <c r="D1803" s="4"/>
      <c r="E1803" s="4"/>
      <c r="F1803" s="4"/>
      <c r="Q1803" s="3"/>
      <c r="R1803" s="3"/>
      <c r="S1803" s="3"/>
      <c r="T1803" s="3"/>
      <c r="U1803" s="3"/>
    </row>
    <row r="1804" spans="2:21" x14ac:dyDescent="0.25">
      <c r="B1804" s="2"/>
      <c r="C1804" s="2"/>
      <c r="D1804" s="4"/>
      <c r="E1804" s="4"/>
      <c r="F1804" s="4"/>
      <c r="Q1804" s="3"/>
      <c r="R1804" s="3"/>
      <c r="S1804" s="3"/>
      <c r="T1804" s="3"/>
      <c r="U1804" s="3"/>
    </row>
    <row r="1805" spans="2:21" x14ac:dyDescent="0.25">
      <c r="B1805" s="2"/>
      <c r="C1805" s="2"/>
      <c r="D1805" s="4"/>
      <c r="E1805" s="4"/>
      <c r="F1805" s="4"/>
      <c r="Q1805" s="3"/>
      <c r="R1805" s="3"/>
      <c r="S1805" s="3"/>
      <c r="T1805" s="3"/>
      <c r="U1805" s="3"/>
    </row>
    <row r="1806" spans="2:21" x14ac:dyDescent="0.25">
      <c r="B1806" s="2"/>
      <c r="C1806" s="2"/>
      <c r="D1806" s="4"/>
      <c r="E1806" s="4"/>
      <c r="F1806" s="4"/>
      <c r="Q1806" s="3"/>
      <c r="R1806" s="3"/>
      <c r="S1806" s="3"/>
      <c r="T1806" s="3"/>
      <c r="U1806" s="3"/>
    </row>
    <row r="1807" spans="2:21" x14ac:dyDescent="0.25">
      <c r="B1807" s="2"/>
      <c r="C1807" s="2"/>
      <c r="D1807" s="4"/>
      <c r="E1807" s="4"/>
      <c r="F1807" s="4"/>
      <c r="Q1807" s="3"/>
      <c r="R1807" s="3"/>
      <c r="S1807" s="3"/>
      <c r="T1807" s="3"/>
      <c r="U1807" s="3"/>
    </row>
    <row r="1808" spans="2:21" x14ac:dyDescent="0.25">
      <c r="B1808" s="2"/>
      <c r="C1808" s="2"/>
      <c r="D1808" s="4"/>
      <c r="E1808" s="4"/>
      <c r="F1808" s="4"/>
      <c r="Q1808" s="3"/>
      <c r="R1808" s="3"/>
      <c r="S1808" s="3"/>
      <c r="T1808" s="3"/>
      <c r="U1808" s="3"/>
    </row>
    <row r="1809" spans="2:21" x14ac:dyDescent="0.25">
      <c r="B1809" s="2"/>
      <c r="C1809" s="2"/>
      <c r="D1809" s="4"/>
      <c r="E1809" s="4"/>
      <c r="F1809" s="4"/>
      <c r="Q1809" s="3"/>
      <c r="R1809" s="3"/>
      <c r="S1809" s="3"/>
      <c r="T1809" s="3"/>
      <c r="U1809" s="3"/>
    </row>
    <row r="1810" spans="2:21" x14ac:dyDescent="0.25">
      <c r="B1810" s="2"/>
      <c r="C1810" s="2"/>
      <c r="D1810" s="4"/>
      <c r="E1810" s="4"/>
      <c r="F1810" s="4"/>
      <c r="Q1810" s="3"/>
      <c r="R1810" s="3"/>
      <c r="S1810" s="3"/>
      <c r="T1810" s="3"/>
      <c r="U1810" s="3"/>
    </row>
    <row r="1811" spans="2:21" x14ac:dyDescent="0.25">
      <c r="B1811" s="2"/>
      <c r="C1811" s="2"/>
      <c r="D1811" s="4"/>
      <c r="E1811" s="4"/>
      <c r="F1811" s="4"/>
      <c r="Q1811" s="3"/>
      <c r="R1811" s="3"/>
      <c r="S1811" s="3"/>
      <c r="T1811" s="3"/>
      <c r="U1811" s="3"/>
    </row>
    <row r="1812" spans="2:21" x14ac:dyDescent="0.25">
      <c r="B1812" s="2"/>
      <c r="C1812" s="2"/>
      <c r="D1812" s="4"/>
      <c r="E1812" s="4"/>
      <c r="F1812" s="4"/>
      <c r="Q1812" s="3"/>
      <c r="R1812" s="3"/>
      <c r="S1812" s="3"/>
      <c r="T1812" s="3"/>
      <c r="U1812" s="3"/>
    </row>
    <row r="1813" spans="2:21" x14ac:dyDescent="0.25">
      <c r="B1813" s="2"/>
      <c r="C1813" s="2"/>
      <c r="D1813" s="4"/>
      <c r="E1813" s="4"/>
      <c r="F1813" s="4"/>
      <c r="Q1813" s="3"/>
      <c r="R1813" s="3"/>
      <c r="S1813" s="3"/>
      <c r="T1813" s="3"/>
      <c r="U1813" s="3"/>
    </row>
    <row r="1814" spans="2:21" x14ac:dyDescent="0.25">
      <c r="B1814" s="2"/>
      <c r="C1814" s="2"/>
      <c r="D1814" s="4"/>
      <c r="E1814" s="4"/>
      <c r="F1814" s="4"/>
      <c r="Q1814" s="3"/>
      <c r="R1814" s="3"/>
      <c r="S1814" s="3"/>
      <c r="T1814" s="3"/>
      <c r="U1814" s="3"/>
    </row>
    <row r="1815" spans="2:21" x14ac:dyDescent="0.25">
      <c r="B1815" s="2"/>
      <c r="C1815" s="2"/>
      <c r="D1815" s="4"/>
      <c r="E1815" s="4"/>
      <c r="F1815" s="4"/>
      <c r="Q1815" s="3"/>
      <c r="R1815" s="3"/>
      <c r="S1815" s="3"/>
      <c r="T1815" s="3"/>
      <c r="U1815" s="3"/>
    </row>
    <row r="1816" spans="2:21" x14ac:dyDescent="0.25">
      <c r="B1816" s="2"/>
      <c r="C1816" s="2"/>
      <c r="D1816" s="4"/>
      <c r="E1816" s="4"/>
      <c r="F1816" s="4"/>
      <c r="Q1816" s="3"/>
      <c r="R1816" s="3"/>
      <c r="S1816" s="3"/>
      <c r="T1816" s="3"/>
      <c r="U1816" s="3"/>
    </row>
    <row r="1817" spans="2:21" x14ac:dyDescent="0.25">
      <c r="B1817" s="2"/>
      <c r="C1817" s="2"/>
      <c r="D1817" s="4"/>
      <c r="E1817" s="4"/>
      <c r="F1817" s="4"/>
      <c r="Q1817" s="3"/>
      <c r="R1817" s="3"/>
      <c r="S1817" s="3"/>
      <c r="T1817" s="3"/>
      <c r="U1817" s="3"/>
    </row>
    <row r="1818" spans="2:21" x14ac:dyDescent="0.25">
      <c r="B1818" s="2"/>
      <c r="C1818" s="2"/>
      <c r="D1818" s="4"/>
      <c r="E1818" s="4"/>
      <c r="F1818" s="4"/>
      <c r="Q1818" s="3"/>
      <c r="R1818" s="3"/>
      <c r="S1818" s="3"/>
      <c r="T1818" s="3"/>
      <c r="U1818" s="3"/>
    </row>
    <row r="1819" spans="2:21" x14ac:dyDescent="0.25">
      <c r="B1819" s="2"/>
      <c r="C1819" s="2"/>
      <c r="D1819" s="4"/>
      <c r="E1819" s="4"/>
      <c r="F1819" s="4"/>
      <c r="Q1819" s="3"/>
      <c r="R1819" s="3"/>
      <c r="S1819" s="3"/>
      <c r="T1819" s="3"/>
      <c r="U1819" s="3"/>
    </row>
    <row r="1820" spans="2:21" x14ac:dyDescent="0.25">
      <c r="B1820" s="2"/>
      <c r="C1820" s="2"/>
      <c r="D1820" s="4"/>
      <c r="E1820" s="4"/>
      <c r="F1820" s="4"/>
      <c r="Q1820" s="3"/>
      <c r="R1820" s="3"/>
      <c r="S1820" s="3"/>
      <c r="T1820" s="3"/>
      <c r="U1820" s="3"/>
    </row>
    <row r="1821" spans="2:21" x14ac:dyDescent="0.25">
      <c r="B1821" s="2"/>
      <c r="C1821" s="2"/>
      <c r="D1821" s="4"/>
      <c r="E1821" s="4"/>
      <c r="F1821" s="4"/>
      <c r="Q1821" s="3"/>
      <c r="R1821" s="3"/>
      <c r="S1821" s="3"/>
      <c r="T1821" s="3"/>
      <c r="U1821" s="3"/>
    </row>
    <row r="1822" spans="2:21" x14ac:dyDescent="0.25">
      <c r="B1822" s="2"/>
      <c r="C1822" s="2"/>
      <c r="D1822" s="4"/>
      <c r="E1822" s="4"/>
      <c r="F1822" s="4"/>
      <c r="Q1822" s="3"/>
      <c r="R1822" s="3"/>
      <c r="S1822" s="3"/>
      <c r="T1822" s="3"/>
      <c r="U1822" s="3"/>
    </row>
    <row r="1823" spans="2:21" x14ac:dyDescent="0.25">
      <c r="B1823" s="2"/>
      <c r="C1823" s="2"/>
      <c r="D1823" s="4"/>
      <c r="E1823" s="4"/>
      <c r="F1823" s="4"/>
      <c r="Q1823" s="3"/>
      <c r="R1823" s="3"/>
      <c r="S1823" s="3"/>
      <c r="T1823" s="3"/>
      <c r="U1823" s="3"/>
    </row>
    <row r="1824" spans="2:21" x14ac:dyDescent="0.25">
      <c r="B1824" s="2"/>
      <c r="C1824" s="2"/>
      <c r="D1824" s="4"/>
      <c r="E1824" s="4"/>
      <c r="F1824" s="4"/>
      <c r="Q1824" s="3"/>
      <c r="R1824" s="3"/>
      <c r="S1824" s="3"/>
      <c r="T1824" s="3"/>
      <c r="U1824" s="3"/>
    </row>
    <row r="1825" spans="2:21" x14ac:dyDescent="0.25">
      <c r="B1825" s="2"/>
      <c r="C1825" s="2"/>
      <c r="D1825" s="4"/>
      <c r="E1825" s="4"/>
      <c r="F1825" s="4"/>
      <c r="Q1825" s="3"/>
      <c r="R1825" s="3"/>
      <c r="S1825" s="3"/>
      <c r="T1825" s="3"/>
      <c r="U1825" s="3"/>
    </row>
    <row r="1826" spans="2:21" x14ac:dyDescent="0.25">
      <c r="B1826" s="2"/>
      <c r="C1826" s="2"/>
      <c r="D1826" s="4"/>
      <c r="E1826" s="4"/>
      <c r="F1826" s="4"/>
      <c r="Q1826" s="3"/>
      <c r="R1826" s="3"/>
      <c r="S1826" s="3"/>
      <c r="T1826" s="3"/>
      <c r="U1826" s="3"/>
    </row>
    <row r="1827" spans="2:21" x14ac:dyDescent="0.25">
      <c r="B1827" s="2"/>
      <c r="C1827" s="2"/>
      <c r="D1827" s="4"/>
      <c r="E1827" s="4"/>
      <c r="F1827" s="4"/>
      <c r="Q1827" s="3"/>
      <c r="R1827" s="3"/>
      <c r="S1827" s="3"/>
      <c r="T1827" s="3"/>
      <c r="U1827" s="3"/>
    </row>
    <row r="1828" spans="2:21" x14ac:dyDescent="0.25">
      <c r="B1828" s="2"/>
      <c r="C1828" s="2"/>
      <c r="D1828" s="4"/>
      <c r="E1828" s="4"/>
      <c r="F1828" s="4"/>
      <c r="Q1828" s="3"/>
      <c r="R1828" s="3"/>
      <c r="S1828" s="3"/>
      <c r="T1828" s="3"/>
      <c r="U1828" s="3"/>
    </row>
    <row r="1829" spans="2:21" x14ac:dyDescent="0.25">
      <c r="B1829" s="2"/>
      <c r="C1829" s="2"/>
      <c r="D1829" s="4"/>
      <c r="E1829" s="4"/>
      <c r="F1829" s="4"/>
      <c r="Q1829" s="3"/>
      <c r="R1829" s="3"/>
      <c r="S1829" s="3"/>
      <c r="T1829" s="3"/>
      <c r="U1829" s="3"/>
    </row>
    <row r="1830" spans="2:21" x14ac:dyDescent="0.25">
      <c r="B1830" s="2"/>
      <c r="C1830" s="2"/>
      <c r="D1830" s="4"/>
      <c r="E1830" s="4"/>
      <c r="F1830" s="4"/>
      <c r="Q1830" s="3"/>
      <c r="R1830" s="3"/>
      <c r="S1830" s="3"/>
      <c r="T1830" s="3"/>
      <c r="U1830" s="3"/>
    </row>
    <row r="1831" spans="2:21" x14ac:dyDescent="0.25">
      <c r="B1831" s="2"/>
      <c r="C1831" s="2"/>
      <c r="D1831" s="4"/>
      <c r="E1831" s="4"/>
      <c r="F1831" s="4"/>
      <c r="Q1831" s="3"/>
      <c r="R1831" s="3"/>
      <c r="S1831" s="3"/>
      <c r="T1831" s="3"/>
      <c r="U1831" s="3"/>
    </row>
    <row r="1832" spans="2:21" x14ac:dyDescent="0.25">
      <c r="B1832" s="2"/>
      <c r="C1832" s="2"/>
      <c r="D1832" s="4"/>
      <c r="E1832" s="4"/>
      <c r="F1832" s="4"/>
      <c r="Q1832" s="3"/>
      <c r="R1832" s="3"/>
      <c r="S1832" s="3"/>
      <c r="T1832" s="3"/>
      <c r="U1832" s="3"/>
    </row>
    <row r="1833" spans="2:21" x14ac:dyDescent="0.25">
      <c r="B1833" s="2"/>
      <c r="C1833" s="2"/>
      <c r="D1833" s="4"/>
      <c r="E1833" s="4"/>
      <c r="F1833" s="4"/>
      <c r="Q1833" s="3"/>
      <c r="R1833" s="3"/>
      <c r="S1833" s="3"/>
      <c r="T1833" s="3"/>
      <c r="U1833" s="3"/>
    </row>
    <row r="1834" spans="2:21" x14ac:dyDescent="0.25">
      <c r="B1834" s="2"/>
      <c r="C1834" s="2"/>
      <c r="D1834" s="4"/>
      <c r="E1834" s="4"/>
      <c r="F1834" s="4"/>
      <c r="Q1834" s="3"/>
      <c r="R1834" s="3"/>
      <c r="S1834" s="3"/>
      <c r="T1834" s="3"/>
      <c r="U1834" s="3"/>
    </row>
    <row r="1835" spans="2:21" x14ac:dyDescent="0.25">
      <c r="B1835" s="2"/>
      <c r="C1835" s="2"/>
      <c r="D1835" s="4"/>
      <c r="E1835" s="4"/>
      <c r="F1835" s="4"/>
      <c r="Q1835" s="3"/>
      <c r="R1835" s="3"/>
      <c r="S1835" s="3"/>
      <c r="T1835" s="3"/>
      <c r="U1835" s="3"/>
    </row>
    <row r="1836" spans="2:21" x14ac:dyDescent="0.25">
      <c r="B1836" s="2"/>
      <c r="C1836" s="2"/>
      <c r="D1836" s="4"/>
      <c r="E1836" s="4"/>
      <c r="F1836" s="4"/>
      <c r="Q1836" s="3"/>
      <c r="R1836" s="3"/>
      <c r="S1836" s="3"/>
      <c r="T1836" s="3"/>
      <c r="U1836" s="3"/>
    </row>
    <row r="1837" spans="2:21" x14ac:dyDescent="0.25">
      <c r="B1837" s="2"/>
      <c r="C1837" s="2"/>
      <c r="D1837" s="4"/>
      <c r="E1837" s="4"/>
      <c r="F1837" s="4"/>
      <c r="Q1837" s="3"/>
      <c r="R1837" s="3"/>
      <c r="S1837" s="3"/>
      <c r="T1837" s="3"/>
      <c r="U1837" s="3"/>
    </row>
    <row r="1838" spans="2:21" x14ac:dyDescent="0.25">
      <c r="B1838" s="2"/>
      <c r="C1838" s="2"/>
      <c r="D1838" s="4"/>
      <c r="E1838" s="4"/>
      <c r="F1838" s="4"/>
      <c r="Q1838" s="3"/>
      <c r="R1838" s="3"/>
      <c r="S1838" s="3"/>
      <c r="T1838" s="3"/>
      <c r="U1838" s="3"/>
    </row>
    <row r="1839" spans="2:21" x14ac:dyDescent="0.25">
      <c r="B1839" s="2"/>
      <c r="C1839" s="2"/>
      <c r="D1839" s="4"/>
      <c r="E1839" s="4"/>
      <c r="F1839" s="4"/>
      <c r="Q1839" s="3"/>
      <c r="R1839" s="3"/>
      <c r="S1839" s="3"/>
      <c r="T1839" s="3"/>
      <c r="U1839" s="3"/>
    </row>
    <row r="1840" spans="2:21" x14ac:dyDescent="0.25">
      <c r="B1840" s="2"/>
      <c r="C1840" s="2"/>
      <c r="D1840" s="4"/>
      <c r="E1840" s="4"/>
      <c r="F1840" s="4"/>
      <c r="Q1840" s="3"/>
      <c r="R1840" s="3"/>
      <c r="S1840" s="3"/>
      <c r="T1840" s="3"/>
      <c r="U1840" s="3"/>
    </row>
    <row r="1841" spans="2:21" x14ac:dyDescent="0.25">
      <c r="B1841" s="2"/>
      <c r="C1841" s="2"/>
      <c r="D1841" s="4"/>
      <c r="E1841" s="4"/>
      <c r="F1841" s="4"/>
      <c r="Q1841" s="3"/>
      <c r="R1841" s="3"/>
      <c r="S1841" s="3"/>
      <c r="T1841" s="3"/>
      <c r="U1841" s="3"/>
    </row>
    <row r="1842" spans="2:21" x14ac:dyDescent="0.25">
      <c r="B1842" s="2"/>
      <c r="C1842" s="2"/>
      <c r="D1842" s="4"/>
      <c r="E1842" s="4"/>
      <c r="F1842" s="4"/>
      <c r="Q1842" s="3"/>
      <c r="R1842" s="3"/>
      <c r="S1842" s="3"/>
      <c r="T1842" s="3"/>
      <c r="U1842" s="3"/>
    </row>
    <row r="1843" spans="2:21" x14ac:dyDescent="0.25">
      <c r="B1843" s="2"/>
      <c r="C1843" s="2"/>
      <c r="D1843" s="4"/>
      <c r="E1843" s="4"/>
      <c r="F1843" s="4"/>
      <c r="Q1843" s="3"/>
      <c r="R1843" s="3"/>
      <c r="S1843" s="3"/>
      <c r="T1843" s="3"/>
      <c r="U1843" s="3"/>
    </row>
    <row r="1844" spans="2:21" x14ac:dyDescent="0.25">
      <c r="B1844" s="2"/>
      <c r="C1844" s="2"/>
      <c r="D1844" s="4"/>
      <c r="E1844" s="4"/>
      <c r="F1844" s="4"/>
      <c r="Q1844" s="3"/>
      <c r="R1844" s="3"/>
      <c r="S1844" s="3"/>
      <c r="T1844" s="3"/>
      <c r="U1844" s="3"/>
    </row>
    <row r="1845" spans="2:21" x14ac:dyDescent="0.25">
      <c r="B1845" s="2"/>
      <c r="C1845" s="2"/>
      <c r="D1845" s="4"/>
      <c r="E1845" s="4"/>
      <c r="F1845" s="4"/>
      <c r="Q1845" s="3"/>
      <c r="R1845" s="3"/>
      <c r="S1845" s="3"/>
      <c r="T1845" s="3"/>
      <c r="U1845" s="3"/>
    </row>
    <row r="1846" spans="2:21" x14ac:dyDescent="0.25">
      <c r="B1846" s="2"/>
      <c r="C1846" s="2"/>
      <c r="D1846" s="4"/>
      <c r="E1846" s="4"/>
      <c r="F1846" s="4"/>
      <c r="Q1846" s="3"/>
      <c r="R1846" s="3"/>
      <c r="S1846" s="3"/>
      <c r="T1846" s="3"/>
      <c r="U1846" s="3"/>
    </row>
    <row r="1847" spans="2:21" x14ac:dyDescent="0.25">
      <c r="B1847" s="2"/>
      <c r="C1847" s="2"/>
      <c r="D1847" s="4"/>
      <c r="E1847" s="4"/>
      <c r="F1847" s="4"/>
      <c r="Q1847" s="3"/>
      <c r="R1847" s="3"/>
      <c r="S1847" s="3"/>
      <c r="T1847" s="3"/>
      <c r="U1847" s="3"/>
    </row>
    <row r="1848" spans="2:21" x14ac:dyDescent="0.25">
      <c r="B1848" s="2"/>
      <c r="C1848" s="2"/>
      <c r="D1848" s="4"/>
      <c r="E1848" s="4"/>
      <c r="F1848" s="4"/>
      <c r="Q1848" s="3"/>
      <c r="R1848" s="3"/>
      <c r="S1848" s="3"/>
      <c r="T1848" s="3"/>
      <c r="U1848" s="3"/>
    </row>
    <row r="1849" spans="2:21" x14ac:dyDescent="0.25">
      <c r="B1849" s="2"/>
      <c r="C1849" s="2"/>
      <c r="D1849" s="4"/>
      <c r="E1849" s="4"/>
      <c r="F1849" s="4"/>
      <c r="Q1849" s="3"/>
      <c r="R1849" s="3"/>
      <c r="S1849" s="3"/>
      <c r="T1849" s="3"/>
      <c r="U1849" s="3"/>
    </row>
    <row r="1850" spans="2:21" x14ac:dyDescent="0.25">
      <c r="B1850" s="2"/>
      <c r="C1850" s="2"/>
      <c r="D1850" s="4"/>
      <c r="E1850" s="4"/>
      <c r="F1850" s="4"/>
      <c r="Q1850" s="3"/>
      <c r="R1850" s="3"/>
      <c r="S1850" s="3"/>
      <c r="T1850" s="3"/>
      <c r="U1850" s="3"/>
    </row>
    <row r="1851" spans="2:21" x14ac:dyDescent="0.25">
      <c r="B1851" s="2"/>
      <c r="C1851" s="2"/>
      <c r="D1851" s="4"/>
      <c r="E1851" s="4"/>
      <c r="F1851" s="4"/>
      <c r="Q1851" s="3"/>
      <c r="R1851" s="3"/>
      <c r="S1851" s="3"/>
      <c r="T1851" s="3"/>
      <c r="U1851" s="3"/>
    </row>
    <row r="1852" spans="2:21" x14ac:dyDescent="0.25">
      <c r="B1852" s="2"/>
      <c r="C1852" s="2"/>
      <c r="D1852" s="4"/>
      <c r="E1852" s="4"/>
      <c r="F1852" s="4"/>
      <c r="Q1852" s="3"/>
      <c r="R1852" s="3"/>
      <c r="S1852" s="3"/>
      <c r="T1852" s="3"/>
      <c r="U1852" s="3"/>
    </row>
    <row r="1853" spans="2:21" x14ac:dyDescent="0.25">
      <c r="B1853" s="2"/>
      <c r="C1853" s="2"/>
      <c r="D1853" s="4"/>
      <c r="E1853" s="4"/>
      <c r="F1853" s="4"/>
      <c r="Q1853" s="3"/>
      <c r="R1853" s="3"/>
      <c r="S1853" s="3"/>
      <c r="T1853" s="3"/>
      <c r="U1853" s="3"/>
    </row>
    <row r="1854" spans="2:21" x14ac:dyDescent="0.25">
      <c r="B1854" s="2"/>
      <c r="C1854" s="2"/>
      <c r="D1854" s="4"/>
      <c r="E1854" s="4"/>
      <c r="F1854" s="4"/>
      <c r="Q1854" s="3"/>
      <c r="R1854" s="3"/>
      <c r="S1854" s="3"/>
      <c r="T1854" s="3"/>
      <c r="U1854" s="3"/>
    </row>
    <row r="1855" spans="2:21" x14ac:dyDescent="0.25">
      <c r="B1855" s="2"/>
      <c r="C1855" s="2"/>
      <c r="D1855" s="4"/>
      <c r="E1855" s="4"/>
      <c r="F1855" s="4"/>
      <c r="Q1855" s="3"/>
      <c r="R1855" s="3"/>
      <c r="S1855" s="3"/>
      <c r="T1855" s="3"/>
      <c r="U1855" s="3"/>
    </row>
    <row r="1856" spans="2:21" x14ac:dyDescent="0.25">
      <c r="B1856" s="2"/>
      <c r="C1856" s="2"/>
      <c r="D1856" s="4"/>
      <c r="E1856" s="4"/>
      <c r="F1856" s="4"/>
      <c r="Q1856" s="3"/>
      <c r="R1856" s="3"/>
      <c r="S1856" s="3"/>
      <c r="T1856" s="3"/>
      <c r="U1856" s="3"/>
    </row>
    <row r="1857" spans="2:21" x14ac:dyDescent="0.25">
      <c r="B1857" s="2"/>
      <c r="C1857" s="2"/>
      <c r="D1857" s="4"/>
      <c r="E1857" s="4"/>
      <c r="F1857" s="4"/>
      <c r="Q1857" s="3"/>
      <c r="R1857" s="3"/>
      <c r="S1857" s="3"/>
      <c r="T1857" s="3"/>
      <c r="U1857" s="3"/>
    </row>
    <row r="1858" spans="2:21" x14ac:dyDescent="0.25">
      <c r="B1858" s="2"/>
      <c r="C1858" s="2"/>
      <c r="D1858" s="4"/>
      <c r="E1858" s="4"/>
      <c r="F1858" s="4"/>
      <c r="Q1858" s="3"/>
      <c r="R1858" s="3"/>
      <c r="S1858" s="3"/>
      <c r="T1858" s="3"/>
      <c r="U1858" s="3"/>
    </row>
    <row r="1859" spans="2:21" x14ac:dyDescent="0.25">
      <c r="B1859" s="2"/>
      <c r="C1859" s="2"/>
      <c r="D1859" s="4"/>
      <c r="E1859" s="4"/>
      <c r="F1859" s="4"/>
      <c r="Q1859" s="3"/>
      <c r="R1859" s="3"/>
      <c r="S1859" s="3"/>
      <c r="T1859" s="3"/>
      <c r="U1859" s="3"/>
    </row>
    <row r="1860" spans="2:21" x14ac:dyDescent="0.25">
      <c r="B1860" s="2"/>
      <c r="C1860" s="2"/>
      <c r="D1860" s="4"/>
      <c r="E1860" s="4"/>
      <c r="F1860" s="4"/>
      <c r="Q1860" s="3"/>
      <c r="R1860" s="3"/>
      <c r="S1860" s="3"/>
      <c r="T1860" s="3"/>
      <c r="U1860" s="3"/>
    </row>
    <row r="1861" spans="2:21" x14ac:dyDescent="0.25">
      <c r="B1861" s="2"/>
      <c r="C1861" s="2"/>
      <c r="D1861" s="4"/>
      <c r="E1861" s="4"/>
      <c r="F1861" s="4"/>
      <c r="Q1861" s="3"/>
      <c r="R1861" s="3"/>
      <c r="S1861" s="3"/>
      <c r="T1861" s="3"/>
      <c r="U1861" s="3"/>
    </row>
    <row r="1862" spans="2:21" x14ac:dyDescent="0.25">
      <c r="B1862" s="2"/>
      <c r="C1862" s="2"/>
      <c r="D1862" s="4"/>
      <c r="E1862" s="4"/>
      <c r="F1862" s="4"/>
      <c r="Q1862" s="3"/>
      <c r="R1862" s="3"/>
      <c r="S1862" s="3"/>
      <c r="T1862" s="3"/>
      <c r="U1862" s="3"/>
    </row>
    <row r="1863" spans="2:21" x14ac:dyDescent="0.25">
      <c r="B1863" s="2"/>
      <c r="C1863" s="2"/>
      <c r="D1863" s="4"/>
      <c r="E1863" s="4"/>
      <c r="F1863" s="4"/>
      <c r="Q1863" s="3"/>
      <c r="R1863" s="3"/>
      <c r="S1863" s="3"/>
      <c r="T1863" s="3"/>
      <c r="U1863" s="3"/>
    </row>
    <row r="1864" spans="2:21" x14ac:dyDescent="0.25">
      <c r="B1864" s="2"/>
      <c r="C1864" s="2"/>
      <c r="D1864" s="4"/>
      <c r="E1864" s="4"/>
      <c r="F1864" s="4"/>
      <c r="Q1864" s="3"/>
      <c r="R1864" s="3"/>
      <c r="S1864" s="3"/>
      <c r="T1864" s="3"/>
      <c r="U1864" s="3"/>
    </row>
    <row r="1865" spans="2:21" x14ac:dyDescent="0.25">
      <c r="B1865" s="2"/>
      <c r="C1865" s="2"/>
      <c r="D1865" s="4"/>
      <c r="E1865" s="4"/>
      <c r="F1865" s="4"/>
      <c r="Q1865" s="3"/>
      <c r="R1865" s="3"/>
      <c r="S1865" s="3"/>
      <c r="T1865" s="3"/>
      <c r="U1865" s="3"/>
    </row>
    <row r="1866" spans="2:21" x14ac:dyDescent="0.25">
      <c r="B1866" s="2"/>
      <c r="C1866" s="2"/>
      <c r="D1866" s="4"/>
      <c r="E1866" s="4"/>
      <c r="F1866" s="4"/>
      <c r="Q1866" s="3"/>
      <c r="R1866" s="3"/>
      <c r="S1866" s="3"/>
      <c r="T1866" s="3"/>
      <c r="U1866" s="3"/>
    </row>
    <row r="1867" spans="2:21" x14ac:dyDescent="0.25">
      <c r="B1867" s="2"/>
      <c r="C1867" s="2"/>
      <c r="D1867" s="4"/>
      <c r="E1867" s="4"/>
      <c r="F1867" s="4"/>
      <c r="Q1867" s="3"/>
      <c r="R1867" s="3"/>
      <c r="S1867" s="3"/>
      <c r="T1867" s="3"/>
      <c r="U1867" s="3"/>
    </row>
    <row r="1868" spans="2:21" x14ac:dyDescent="0.25">
      <c r="B1868" s="2"/>
      <c r="C1868" s="2"/>
      <c r="D1868" s="4"/>
      <c r="E1868" s="4"/>
      <c r="F1868" s="4"/>
      <c r="Q1868" s="3"/>
      <c r="R1868" s="3"/>
      <c r="S1868" s="3"/>
      <c r="T1868" s="3"/>
      <c r="U1868" s="3"/>
    </row>
    <row r="1869" spans="2:21" x14ac:dyDescent="0.25">
      <c r="B1869" s="2"/>
      <c r="C1869" s="2"/>
      <c r="D1869" s="4"/>
      <c r="E1869" s="4"/>
      <c r="F1869" s="4"/>
      <c r="Q1869" s="3"/>
      <c r="R1869" s="3"/>
      <c r="S1869" s="3"/>
      <c r="T1869" s="3"/>
      <c r="U1869" s="3"/>
    </row>
    <row r="1870" spans="2:21" x14ac:dyDescent="0.25">
      <c r="B1870" s="2"/>
      <c r="C1870" s="2"/>
      <c r="D1870" s="4"/>
      <c r="E1870" s="4"/>
      <c r="F1870" s="4"/>
      <c r="Q1870" s="3"/>
      <c r="R1870" s="3"/>
      <c r="S1870" s="3"/>
      <c r="T1870" s="3"/>
      <c r="U1870" s="3"/>
    </row>
    <row r="1871" spans="2:21" x14ac:dyDescent="0.25">
      <c r="B1871" s="2"/>
      <c r="C1871" s="2"/>
      <c r="D1871" s="4"/>
      <c r="E1871" s="4"/>
      <c r="F1871" s="4"/>
      <c r="Q1871" s="3"/>
      <c r="R1871" s="3"/>
      <c r="S1871" s="3"/>
      <c r="T1871" s="3"/>
      <c r="U1871" s="3"/>
    </row>
    <row r="1872" spans="2:21" x14ac:dyDescent="0.25">
      <c r="B1872" s="2"/>
      <c r="C1872" s="2"/>
      <c r="D1872" s="4"/>
      <c r="E1872" s="4"/>
      <c r="F1872" s="4"/>
      <c r="Q1872" s="3"/>
      <c r="R1872" s="3"/>
      <c r="S1872" s="3"/>
      <c r="T1872" s="3"/>
      <c r="U1872" s="3"/>
    </row>
    <row r="1873" spans="2:21" x14ac:dyDescent="0.25">
      <c r="B1873" s="2"/>
      <c r="C1873" s="2"/>
      <c r="D1873" s="4"/>
      <c r="E1873" s="4"/>
      <c r="F1873" s="4"/>
      <c r="Q1873" s="3"/>
      <c r="R1873" s="3"/>
      <c r="S1873" s="3"/>
      <c r="T1873" s="3"/>
      <c r="U1873" s="3"/>
    </row>
    <row r="1874" spans="2:21" x14ac:dyDescent="0.25">
      <c r="B1874" s="2"/>
      <c r="C1874" s="2"/>
      <c r="D1874" s="4"/>
      <c r="E1874" s="4"/>
      <c r="F1874" s="4"/>
      <c r="Q1874" s="3"/>
      <c r="R1874" s="3"/>
      <c r="S1874" s="3"/>
      <c r="T1874" s="3"/>
      <c r="U1874" s="3"/>
    </row>
    <row r="1875" spans="2:21" x14ac:dyDescent="0.25">
      <c r="B1875" s="2"/>
      <c r="C1875" s="2"/>
      <c r="D1875" s="4"/>
      <c r="E1875" s="4"/>
      <c r="F1875" s="4"/>
      <c r="Q1875" s="3"/>
      <c r="R1875" s="3"/>
      <c r="S1875" s="3"/>
      <c r="T1875" s="3"/>
      <c r="U1875" s="3"/>
    </row>
    <row r="1876" spans="2:21" x14ac:dyDescent="0.25">
      <c r="B1876" s="2"/>
      <c r="C1876" s="2"/>
      <c r="D1876" s="4"/>
      <c r="E1876" s="4"/>
      <c r="F1876" s="4"/>
      <c r="Q1876" s="3"/>
      <c r="R1876" s="3"/>
      <c r="S1876" s="3"/>
      <c r="T1876" s="3"/>
      <c r="U1876" s="3"/>
    </row>
    <row r="1877" spans="2:21" x14ac:dyDescent="0.25">
      <c r="B1877" s="2"/>
      <c r="C1877" s="2"/>
      <c r="D1877" s="4"/>
      <c r="E1877" s="4"/>
      <c r="F1877" s="4"/>
      <c r="Q1877" s="3"/>
      <c r="R1877" s="3"/>
      <c r="S1877" s="3"/>
      <c r="T1877" s="3"/>
      <c r="U1877" s="3"/>
    </row>
    <row r="1878" spans="2:21" x14ac:dyDescent="0.25">
      <c r="B1878" s="2"/>
      <c r="C1878" s="2"/>
      <c r="D1878" s="4"/>
      <c r="E1878" s="4"/>
      <c r="F1878" s="4"/>
      <c r="Q1878" s="3"/>
      <c r="R1878" s="3"/>
      <c r="S1878" s="3"/>
      <c r="T1878" s="3"/>
      <c r="U1878" s="3"/>
    </row>
    <row r="1879" spans="2:21" x14ac:dyDescent="0.25">
      <c r="B1879" s="2"/>
      <c r="C1879" s="2"/>
      <c r="D1879" s="4"/>
      <c r="E1879" s="4"/>
      <c r="F1879" s="4"/>
      <c r="Q1879" s="3"/>
      <c r="R1879" s="3"/>
      <c r="S1879" s="3"/>
      <c r="T1879" s="3"/>
      <c r="U1879" s="3"/>
    </row>
    <row r="1880" spans="2:21" x14ac:dyDescent="0.25">
      <c r="B1880" s="2"/>
      <c r="C1880" s="2"/>
      <c r="D1880" s="4"/>
      <c r="E1880" s="4"/>
      <c r="F1880" s="4"/>
      <c r="Q1880" s="3"/>
      <c r="R1880" s="3"/>
      <c r="S1880" s="3"/>
      <c r="T1880" s="3"/>
      <c r="U1880" s="3"/>
    </row>
    <row r="1881" spans="2:21" x14ac:dyDescent="0.25">
      <c r="B1881" s="2"/>
      <c r="C1881" s="2"/>
      <c r="D1881" s="4"/>
      <c r="E1881" s="4"/>
      <c r="F1881" s="4"/>
      <c r="Q1881" s="3"/>
      <c r="R1881" s="3"/>
      <c r="S1881" s="3"/>
      <c r="T1881" s="3"/>
      <c r="U1881" s="3"/>
    </row>
    <row r="1882" spans="2:21" x14ac:dyDescent="0.25">
      <c r="B1882" s="2"/>
      <c r="C1882" s="2"/>
      <c r="D1882" s="4"/>
      <c r="E1882" s="4"/>
      <c r="F1882" s="4"/>
      <c r="Q1882" s="3"/>
      <c r="R1882" s="3"/>
      <c r="S1882" s="3"/>
      <c r="T1882" s="3"/>
      <c r="U1882" s="3"/>
    </row>
    <row r="1883" spans="2:21" x14ac:dyDescent="0.25">
      <c r="B1883" s="2"/>
      <c r="C1883" s="2"/>
      <c r="D1883" s="4"/>
      <c r="E1883" s="4"/>
      <c r="F1883" s="4"/>
      <c r="Q1883" s="3"/>
      <c r="R1883" s="3"/>
      <c r="S1883" s="3"/>
      <c r="T1883" s="3"/>
      <c r="U1883" s="3"/>
    </row>
    <row r="1884" spans="2:21" x14ac:dyDescent="0.25">
      <c r="B1884" s="2"/>
      <c r="C1884" s="2"/>
      <c r="D1884" s="4"/>
      <c r="E1884" s="4"/>
      <c r="F1884" s="4"/>
      <c r="Q1884" s="3"/>
      <c r="R1884" s="3"/>
      <c r="S1884" s="3"/>
      <c r="T1884" s="3"/>
      <c r="U1884" s="3"/>
    </row>
    <row r="1885" spans="2:21" x14ac:dyDescent="0.25">
      <c r="B1885" s="2"/>
      <c r="C1885" s="2"/>
      <c r="D1885" s="4"/>
      <c r="E1885" s="4"/>
      <c r="F1885" s="4"/>
      <c r="Q1885" s="3"/>
      <c r="R1885" s="3"/>
      <c r="S1885" s="3"/>
      <c r="T1885" s="3"/>
      <c r="U1885" s="3"/>
    </row>
    <row r="1886" spans="2:21" x14ac:dyDescent="0.25">
      <c r="B1886" s="2"/>
      <c r="C1886" s="2"/>
      <c r="D1886" s="4"/>
      <c r="E1886" s="4"/>
      <c r="F1886" s="4"/>
      <c r="Q1886" s="3"/>
      <c r="R1886" s="3"/>
      <c r="S1886" s="3"/>
      <c r="T1886" s="3"/>
      <c r="U1886" s="3"/>
    </row>
    <row r="1887" spans="2:21" x14ac:dyDescent="0.25">
      <c r="B1887" s="2"/>
      <c r="C1887" s="2"/>
      <c r="D1887" s="4"/>
      <c r="E1887" s="4"/>
      <c r="F1887" s="4"/>
      <c r="Q1887" s="3"/>
      <c r="R1887" s="3"/>
      <c r="S1887" s="3"/>
      <c r="T1887" s="3"/>
      <c r="U1887" s="3"/>
    </row>
    <row r="1888" spans="2:21" x14ac:dyDescent="0.25">
      <c r="B1888" s="2"/>
      <c r="C1888" s="2"/>
      <c r="D1888" s="4"/>
      <c r="E1888" s="4"/>
      <c r="F1888" s="4"/>
      <c r="Q1888" s="3"/>
      <c r="R1888" s="3"/>
      <c r="S1888" s="3"/>
      <c r="T1888" s="3"/>
      <c r="U1888" s="3"/>
    </row>
    <row r="1889" spans="2:21" x14ac:dyDescent="0.25">
      <c r="B1889" s="2"/>
      <c r="C1889" s="2"/>
      <c r="D1889" s="4"/>
      <c r="E1889" s="4"/>
      <c r="F1889" s="4"/>
      <c r="Q1889" s="3"/>
      <c r="R1889" s="3"/>
      <c r="S1889" s="3"/>
      <c r="T1889" s="3"/>
      <c r="U1889" s="3"/>
    </row>
    <row r="1890" spans="2:21" x14ac:dyDescent="0.25">
      <c r="B1890" s="2"/>
      <c r="C1890" s="2"/>
      <c r="D1890" s="4"/>
      <c r="E1890" s="4"/>
      <c r="F1890" s="4"/>
      <c r="Q1890" s="3"/>
      <c r="R1890" s="3"/>
      <c r="S1890" s="3"/>
      <c r="T1890" s="3"/>
      <c r="U1890" s="3"/>
    </row>
    <row r="1891" spans="2:21" x14ac:dyDescent="0.25">
      <c r="B1891" s="2"/>
      <c r="C1891" s="2"/>
      <c r="D1891" s="4"/>
      <c r="E1891" s="4"/>
      <c r="F1891" s="4"/>
      <c r="Q1891" s="3"/>
      <c r="R1891" s="3"/>
      <c r="S1891" s="3"/>
      <c r="T1891" s="3"/>
      <c r="U1891" s="3"/>
    </row>
    <row r="1892" spans="2:21" x14ac:dyDescent="0.25">
      <c r="B1892" s="2"/>
      <c r="C1892" s="2"/>
      <c r="D1892" s="4"/>
      <c r="E1892" s="4"/>
      <c r="F1892" s="4"/>
      <c r="Q1892" s="3"/>
      <c r="R1892" s="3"/>
      <c r="S1892" s="3"/>
      <c r="T1892" s="3"/>
      <c r="U1892" s="3"/>
    </row>
    <row r="1893" spans="2:21" x14ac:dyDescent="0.25">
      <c r="B1893" s="2"/>
      <c r="C1893" s="2"/>
      <c r="D1893" s="4"/>
      <c r="E1893" s="4"/>
      <c r="F1893" s="4"/>
      <c r="Q1893" s="3"/>
      <c r="R1893" s="3"/>
      <c r="S1893" s="3"/>
      <c r="T1893" s="3"/>
      <c r="U1893" s="3"/>
    </row>
    <row r="1894" spans="2:21" x14ac:dyDescent="0.25">
      <c r="B1894" s="2"/>
      <c r="C1894" s="2"/>
      <c r="D1894" s="4"/>
      <c r="E1894" s="4"/>
      <c r="F1894" s="4"/>
      <c r="Q1894" s="3"/>
      <c r="R1894" s="3"/>
      <c r="S1894" s="3"/>
      <c r="T1894" s="3"/>
      <c r="U1894" s="3"/>
    </row>
    <row r="1895" spans="2:21" x14ac:dyDescent="0.25">
      <c r="B1895" s="2"/>
      <c r="C1895" s="2"/>
      <c r="D1895" s="4"/>
      <c r="E1895" s="4"/>
      <c r="F1895" s="4"/>
      <c r="Q1895" s="3"/>
      <c r="R1895" s="3"/>
      <c r="S1895" s="3"/>
      <c r="T1895" s="3"/>
      <c r="U1895" s="3"/>
    </row>
    <row r="1896" spans="2:21" x14ac:dyDescent="0.25">
      <c r="B1896" s="2"/>
      <c r="C1896" s="2"/>
      <c r="D1896" s="4"/>
      <c r="E1896" s="4"/>
      <c r="F1896" s="4"/>
      <c r="Q1896" s="3"/>
      <c r="R1896" s="3"/>
      <c r="S1896" s="3"/>
      <c r="T1896" s="3"/>
      <c r="U1896" s="3"/>
    </row>
    <row r="1897" spans="2:21" x14ac:dyDescent="0.25">
      <c r="B1897" s="2"/>
      <c r="C1897" s="2"/>
      <c r="D1897" s="4"/>
      <c r="E1897" s="4"/>
      <c r="F1897" s="4"/>
      <c r="Q1897" s="3"/>
      <c r="R1897" s="3"/>
      <c r="S1897" s="3"/>
      <c r="T1897" s="3"/>
      <c r="U1897" s="3"/>
    </row>
    <row r="1898" spans="2:21" x14ac:dyDescent="0.25">
      <c r="B1898" s="2"/>
      <c r="C1898" s="2"/>
      <c r="D1898" s="4"/>
      <c r="E1898" s="4"/>
      <c r="F1898" s="4"/>
      <c r="Q1898" s="3"/>
      <c r="R1898" s="3"/>
      <c r="S1898" s="3"/>
      <c r="T1898" s="3"/>
      <c r="U1898" s="3"/>
    </row>
    <row r="1899" spans="2:21" x14ac:dyDescent="0.25">
      <c r="B1899" s="2"/>
      <c r="C1899" s="2"/>
      <c r="D1899" s="4"/>
      <c r="E1899" s="4"/>
      <c r="F1899" s="4"/>
      <c r="Q1899" s="3"/>
      <c r="R1899" s="3"/>
      <c r="S1899" s="3"/>
      <c r="T1899" s="3"/>
      <c r="U1899" s="3"/>
    </row>
    <row r="1900" spans="2:21" x14ac:dyDescent="0.25">
      <c r="B1900" s="2"/>
      <c r="C1900" s="2"/>
      <c r="D1900" s="4"/>
      <c r="E1900" s="4"/>
      <c r="F1900" s="4"/>
      <c r="Q1900" s="3"/>
      <c r="R1900" s="3"/>
      <c r="S1900" s="3"/>
      <c r="T1900" s="3"/>
      <c r="U1900" s="3"/>
    </row>
    <row r="1901" spans="2:21" x14ac:dyDescent="0.25">
      <c r="B1901" s="2"/>
      <c r="C1901" s="2"/>
      <c r="D1901" s="4"/>
      <c r="E1901" s="4"/>
      <c r="F1901" s="4"/>
      <c r="Q1901" s="3"/>
      <c r="R1901" s="3"/>
      <c r="S1901" s="3"/>
      <c r="T1901" s="3"/>
      <c r="U1901" s="3"/>
    </row>
    <row r="1902" spans="2:21" x14ac:dyDescent="0.25">
      <c r="B1902" s="2"/>
      <c r="C1902" s="2"/>
      <c r="D1902" s="4"/>
      <c r="E1902" s="4"/>
      <c r="F1902" s="4"/>
      <c r="Q1902" s="3"/>
      <c r="R1902" s="3"/>
      <c r="S1902" s="3"/>
      <c r="T1902" s="3"/>
      <c r="U1902" s="3"/>
    </row>
    <row r="1903" spans="2:21" x14ac:dyDescent="0.25">
      <c r="B1903" s="2"/>
      <c r="C1903" s="2"/>
      <c r="D1903" s="4"/>
      <c r="E1903" s="4"/>
      <c r="F1903" s="4"/>
      <c r="Q1903" s="3"/>
      <c r="R1903" s="3"/>
      <c r="S1903" s="3"/>
      <c r="T1903" s="3"/>
      <c r="U1903" s="3"/>
    </row>
    <row r="1904" spans="2:21" x14ac:dyDescent="0.25">
      <c r="B1904" s="2"/>
      <c r="C1904" s="2"/>
      <c r="D1904" s="4"/>
      <c r="E1904" s="4"/>
      <c r="F1904" s="4"/>
      <c r="Q1904" s="3"/>
      <c r="R1904" s="3"/>
      <c r="S1904" s="3"/>
      <c r="T1904" s="3"/>
      <c r="U1904" s="3"/>
    </row>
    <row r="1905" spans="2:21" x14ac:dyDescent="0.25">
      <c r="B1905" s="2"/>
      <c r="C1905" s="2"/>
      <c r="D1905" s="4"/>
      <c r="E1905" s="4"/>
      <c r="F1905" s="4"/>
      <c r="Q1905" s="3"/>
      <c r="R1905" s="3"/>
      <c r="S1905" s="3"/>
      <c r="T1905" s="3"/>
      <c r="U1905" s="3"/>
    </row>
    <row r="1906" spans="2:21" x14ac:dyDescent="0.25">
      <c r="B1906" s="2"/>
      <c r="C1906" s="2"/>
      <c r="D1906" s="4"/>
      <c r="E1906" s="4"/>
      <c r="F1906" s="4"/>
      <c r="Q1906" s="3"/>
      <c r="R1906" s="3"/>
      <c r="S1906" s="3"/>
      <c r="T1906" s="3"/>
      <c r="U1906" s="3"/>
    </row>
    <row r="1907" spans="2:21" x14ac:dyDescent="0.25">
      <c r="B1907" s="2"/>
      <c r="C1907" s="2"/>
      <c r="D1907" s="4"/>
      <c r="E1907" s="4"/>
      <c r="F1907" s="4"/>
      <c r="Q1907" s="3"/>
      <c r="R1907" s="3"/>
      <c r="S1907" s="3"/>
      <c r="T1907" s="3"/>
      <c r="U1907" s="3"/>
    </row>
    <row r="1908" spans="2:21" x14ac:dyDescent="0.25">
      <c r="B1908" s="2"/>
      <c r="C1908" s="2"/>
      <c r="D1908" s="4"/>
      <c r="E1908" s="4"/>
      <c r="F1908" s="4"/>
      <c r="Q1908" s="3"/>
      <c r="R1908" s="3"/>
      <c r="S1908" s="3"/>
      <c r="T1908" s="3"/>
      <c r="U1908" s="3"/>
    </row>
    <row r="1909" spans="2:21" x14ac:dyDescent="0.25">
      <c r="B1909" s="2"/>
      <c r="C1909" s="2"/>
      <c r="D1909" s="4"/>
      <c r="E1909" s="4"/>
      <c r="F1909" s="4"/>
      <c r="Q1909" s="3"/>
      <c r="R1909" s="3"/>
      <c r="S1909" s="3"/>
      <c r="T1909" s="3"/>
      <c r="U1909" s="3"/>
    </row>
    <row r="1910" spans="2:21" x14ac:dyDescent="0.25">
      <c r="B1910" s="2"/>
      <c r="C1910" s="2"/>
      <c r="D1910" s="4"/>
      <c r="E1910" s="4"/>
      <c r="F1910" s="4"/>
      <c r="Q1910" s="3"/>
      <c r="R1910" s="3"/>
      <c r="S1910" s="3"/>
      <c r="T1910" s="3"/>
      <c r="U1910" s="3"/>
    </row>
    <row r="1911" spans="2:21" x14ac:dyDescent="0.25">
      <c r="B1911" s="2"/>
      <c r="C1911" s="2"/>
      <c r="D1911" s="4"/>
      <c r="E1911" s="4"/>
      <c r="F1911" s="4"/>
      <c r="Q1911" s="3"/>
      <c r="R1911" s="3"/>
      <c r="S1911" s="3"/>
      <c r="T1911" s="3"/>
      <c r="U1911" s="3"/>
    </row>
    <row r="1912" spans="2:21" x14ac:dyDescent="0.25">
      <c r="B1912" s="2"/>
      <c r="C1912" s="2"/>
      <c r="D1912" s="4"/>
      <c r="E1912" s="4"/>
      <c r="F1912" s="4"/>
      <c r="Q1912" s="3"/>
      <c r="R1912" s="3"/>
      <c r="S1912" s="3"/>
      <c r="T1912" s="3"/>
      <c r="U1912" s="3"/>
    </row>
    <row r="1913" spans="2:21" x14ac:dyDescent="0.25">
      <c r="B1913" s="2"/>
      <c r="C1913" s="2"/>
      <c r="D1913" s="4"/>
      <c r="E1913" s="4"/>
      <c r="F1913" s="4"/>
      <c r="Q1913" s="3"/>
      <c r="R1913" s="3"/>
      <c r="S1913" s="3"/>
      <c r="T1913" s="3"/>
      <c r="U1913" s="3"/>
    </row>
    <row r="1914" spans="2:21" x14ac:dyDescent="0.25">
      <c r="B1914" s="2"/>
      <c r="C1914" s="2"/>
      <c r="D1914" s="4"/>
      <c r="E1914" s="4"/>
      <c r="F1914" s="4"/>
      <c r="Q1914" s="3"/>
      <c r="R1914" s="3"/>
      <c r="S1914" s="3"/>
      <c r="T1914" s="3"/>
      <c r="U1914" s="3"/>
    </row>
    <row r="1915" spans="2:21" x14ac:dyDescent="0.25">
      <c r="B1915" s="2"/>
      <c r="C1915" s="2"/>
      <c r="D1915" s="4"/>
      <c r="E1915" s="4"/>
      <c r="F1915" s="4"/>
      <c r="Q1915" s="3"/>
      <c r="R1915" s="3"/>
      <c r="S1915" s="3"/>
      <c r="T1915" s="3"/>
      <c r="U1915" s="3"/>
    </row>
    <row r="1916" spans="2:21" x14ac:dyDescent="0.25">
      <c r="B1916" s="2"/>
      <c r="C1916" s="2"/>
      <c r="D1916" s="4"/>
      <c r="E1916" s="4"/>
      <c r="F1916" s="4"/>
      <c r="Q1916" s="3"/>
      <c r="R1916" s="3"/>
      <c r="S1916" s="3"/>
      <c r="T1916" s="3"/>
      <c r="U1916" s="3"/>
    </row>
    <row r="1917" spans="2:21" x14ac:dyDescent="0.25">
      <c r="B1917" s="2"/>
      <c r="C1917" s="2"/>
      <c r="D1917" s="4"/>
      <c r="E1917" s="4"/>
      <c r="F1917" s="4"/>
      <c r="Q1917" s="3"/>
      <c r="R1917" s="3"/>
      <c r="S1917" s="3"/>
      <c r="T1917" s="3"/>
      <c r="U1917" s="3"/>
    </row>
    <row r="1918" spans="2:21" x14ac:dyDescent="0.25">
      <c r="B1918" s="2"/>
      <c r="C1918" s="2"/>
      <c r="D1918" s="4"/>
      <c r="E1918" s="4"/>
      <c r="F1918" s="4"/>
      <c r="Q1918" s="3"/>
      <c r="R1918" s="3"/>
      <c r="S1918" s="3"/>
      <c r="T1918" s="3"/>
      <c r="U1918" s="3"/>
    </row>
    <row r="1919" spans="2:21" x14ac:dyDescent="0.25">
      <c r="B1919" s="2"/>
      <c r="C1919" s="2"/>
      <c r="D1919" s="4"/>
      <c r="E1919" s="4"/>
      <c r="F1919" s="4"/>
      <c r="Q1919" s="3"/>
      <c r="R1919" s="3"/>
      <c r="S1919" s="3"/>
      <c r="T1919" s="3"/>
      <c r="U1919" s="3"/>
    </row>
    <row r="1920" spans="2:21" x14ac:dyDescent="0.25">
      <c r="B1920" s="2"/>
      <c r="C1920" s="2"/>
      <c r="D1920" s="4"/>
      <c r="E1920" s="4"/>
      <c r="F1920" s="4"/>
      <c r="Q1920" s="3"/>
      <c r="R1920" s="3"/>
      <c r="S1920" s="3"/>
      <c r="T1920" s="3"/>
      <c r="U1920" s="3"/>
    </row>
    <row r="1921" spans="2:21" x14ac:dyDescent="0.25">
      <c r="B1921" s="2"/>
      <c r="C1921" s="2"/>
      <c r="D1921" s="4"/>
      <c r="E1921" s="4"/>
      <c r="F1921" s="4"/>
      <c r="Q1921" s="3"/>
      <c r="R1921" s="3"/>
      <c r="S1921" s="3"/>
      <c r="T1921" s="3"/>
      <c r="U1921" s="3"/>
    </row>
    <row r="1922" spans="2:21" x14ac:dyDescent="0.25">
      <c r="B1922" s="2"/>
      <c r="C1922" s="2"/>
      <c r="D1922" s="4"/>
      <c r="E1922" s="4"/>
      <c r="F1922" s="4"/>
      <c r="Q1922" s="3"/>
      <c r="R1922" s="3"/>
      <c r="S1922" s="3"/>
      <c r="T1922" s="3"/>
      <c r="U1922" s="3"/>
    </row>
    <row r="1923" spans="2:21" x14ac:dyDescent="0.25">
      <c r="B1923" s="2"/>
      <c r="C1923" s="2"/>
      <c r="D1923" s="4"/>
      <c r="E1923" s="4"/>
      <c r="F1923" s="4"/>
      <c r="Q1923" s="3"/>
      <c r="R1923" s="3"/>
      <c r="S1923" s="3"/>
      <c r="T1923" s="3"/>
      <c r="U1923" s="3"/>
    </row>
    <row r="1924" spans="2:21" x14ac:dyDescent="0.25">
      <c r="B1924" s="2"/>
      <c r="C1924" s="2"/>
      <c r="D1924" s="4"/>
      <c r="E1924" s="4"/>
      <c r="F1924" s="4"/>
      <c r="Q1924" s="3"/>
      <c r="R1924" s="3"/>
      <c r="S1924" s="3"/>
      <c r="T1924" s="3"/>
      <c r="U1924" s="3"/>
    </row>
    <row r="1925" spans="2:21" x14ac:dyDescent="0.25">
      <c r="B1925" s="2"/>
      <c r="C1925" s="2"/>
      <c r="D1925" s="4"/>
      <c r="E1925" s="4"/>
      <c r="F1925" s="4"/>
      <c r="Q1925" s="3"/>
      <c r="R1925" s="3"/>
      <c r="S1925" s="3"/>
      <c r="T1925" s="3"/>
      <c r="U1925" s="3"/>
    </row>
    <row r="1926" spans="2:21" x14ac:dyDescent="0.25">
      <c r="B1926" s="2"/>
      <c r="C1926" s="2"/>
      <c r="D1926" s="4"/>
      <c r="E1926" s="4"/>
      <c r="F1926" s="4"/>
      <c r="Q1926" s="3"/>
      <c r="R1926" s="3"/>
      <c r="S1926" s="3"/>
      <c r="T1926" s="3"/>
      <c r="U1926" s="3"/>
    </row>
    <row r="1927" spans="2:21" x14ac:dyDescent="0.25">
      <c r="B1927" s="2"/>
      <c r="C1927" s="2"/>
      <c r="D1927" s="4"/>
      <c r="E1927" s="4"/>
      <c r="F1927" s="4"/>
      <c r="Q1927" s="3"/>
      <c r="R1927" s="3"/>
      <c r="S1927" s="3"/>
      <c r="T1927" s="3"/>
      <c r="U1927" s="3"/>
    </row>
    <row r="1928" spans="2:21" x14ac:dyDescent="0.25">
      <c r="B1928" s="2"/>
      <c r="C1928" s="2"/>
      <c r="D1928" s="4"/>
      <c r="E1928" s="4"/>
      <c r="F1928" s="4"/>
      <c r="Q1928" s="3"/>
      <c r="R1928" s="3"/>
      <c r="S1928" s="3"/>
      <c r="T1928" s="3"/>
      <c r="U1928" s="3"/>
    </row>
    <row r="1929" spans="2:21" x14ac:dyDescent="0.25">
      <c r="B1929" s="2"/>
      <c r="C1929" s="2"/>
      <c r="D1929" s="4"/>
      <c r="E1929" s="4"/>
      <c r="F1929" s="4"/>
      <c r="Q1929" s="3"/>
      <c r="R1929" s="3"/>
      <c r="S1929" s="3"/>
      <c r="T1929" s="3"/>
      <c r="U1929" s="3"/>
    </row>
    <row r="1930" spans="2:21" x14ac:dyDescent="0.25">
      <c r="B1930" s="2"/>
      <c r="C1930" s="2"/>
      <c r="D1930" s="4"/>
      <c r="E1930" s="4"/>
      <c r="F1930" s="4"/>
      <c r="Q1930" s="3"/>
      <c r="R1930" s="3"/>
      <c r="S1930" s="3"/>
      <c r="T1930" s="3"/>
      <c r="U1930" s="3"/>
    </row>
    <row r="1931" spans="2:21" x14ac:dyDescent="0.25">
      <c r="B1931" s="2"/>
      <c r="C1931" s="2"/>
      <c r="D1931" s="4"/>
      <c r="E1931" s="4"/>
      <c r="F1931" s="4"/>
      <c r="Q1931" s="3"/>
      <c r="R1931" s="3"/>
      <c r="S1931" s="3"/>
      <c r="T1931" s="3"/>
      <c r="U1931" s="3"/>
    </row>
    <row r="1932" spans="2:21" x14ac:dyDescent="0.25">
      <c r="B1932" s="2"/>
      <c r="C1932" s="2"/>
      <c r="D1932" s="4"/>
      <c r="E1932" s="4"/>
      <c r="F1932" s="4"/>
      <c r="Q1932" s="3"/>
      <c r="R1932" s="3"/>
      <c r="S1932" s="3"/>
      <c r="T1932" s="3"/>
      <c r="U1932" s="3"/>
    </row>
    <row r="1933" spans="2:21" x14ac:dyDescent="0.25">
      <c r="B1933" s="2"/>
      <c r="C1933" s="2"/>
      <c r="D1933" s="4"/>
      <c r="E1933" s="4"/>
      <c r="F1933" s="4"/>
      <c r="Q1933" s="3"/>
      <c r="R1933" s="3"/>
      <c r="S1933" s="3"/>
      <c r="T1933" s="3"/>
      <c r="U1933" s="3"/>
    </row>
    <row r="1934" spans="2:21" x14ac:dyDescent="0.25">
      <c r="B1934" s="2"/>
      <c r="C1934" s="2"/>
      <c r="D1934" s="4"/>
      <c r="E1934" s="4"/>
      <c r="F1934" s="4"/>
      <c r="Q1934" s="3"/>
      <c r="R1934" s="3"/>
      <c r="S1934" s="3"/>
      <c r="T1934" s="3"/>
      <c r="U1934" s="3"/>
    </row>
    <row r="1935" spans="2:21" x14ac:dyDescent="0.25">
      <c r="B1935" s="2"/>
      <c r="C1935" s="2"/>
      <c r="D1935" s="4"/>
      <c r="E1935" s="4"/>
      <c r="F1935" s="4"/>
      <c r="Q1935" s="3"/>
      <c r="R1935" s="3"/>
      <c r="S1935" s="3"/>
      <c r="T1935" s="3"/>
      <c r="U1935" s="3"/>
    </row>
    <row r="1936" spans="2:21" x14ac:dyDescent="0.25">
      <c r="B1936" s="2"/>
      <c r="C1936" s="2"/>
      <c r="D1936" s="4"/>
      <c r="E1936" s="4"/>
      <c r="F1936" s="4"/>
      <c r="Q1936" s="3"/>
      <c r="R1936" s="3"/>
      <c r="S1936" s="3"/>
      <c r="T1936" s="3"/>
      <c r="U1936" s="3"/>
    </row>
    <row r="1937" spans="2:21" x14ac:dyDescent="0.25">
      <c r="B1937" s="2"/>
      <c r="C1937" s="2"/>
      <c r="D1937" s="4"/>
      <c r="E1937" s="4"/>
      <c r="F1937" s="4"/>
      <c r="Q1937" s="3"/>
      <c r="R1937" s="3"/>
      <c r="S1937" s="3"/>
      <c r="T1937" s="3"/>
      <c r="U1937" s="3"/>
    </row>
    <row r="1938" spans="2:21" x14ac:dyDescent="0.25">
      <c r="B1938" s="2"/>
      <c r="C1938" s="2"/>
      <c r="D1938" s="4"/>
      <c r="E1938" s="4"/>
      <c r="F1938" s="4"/>
      <c r="Q1938" s="3"/>
      <c r="R1938" s="3"/>
      <c r="S1938" s="3"/>
      <c r="T1938" s="3"/>
      <c r="U1938" s="3"/>
    </row>
    <row r="1939" spans="2:21" x14ac:dyDescent="0.25">
      <c r="B1939" s="2"/>
      <c r="C1939" s="2"/>
      <c r="D1939" s="4"/>
      <c r="E1939" s="4"/>
      <c r="F1939" s="4"/>
      <c r="Q1939" s="3"/>
      <c r="R1939" s="3"/>
      <c r="S1939" s="3"/>
      <c r="T1939" s="3"/>
      <c r="U1939" s="3"/>
    </row>
    <row r="1940" spans="2:21" x14ac:dyDescent="0.25">
      <c r="B1940" s="2"/>
      <c r="C1940" s="2"/>
      <c r="D1940" s="4"/>
      <c r="E1940" s="4"/>
      <c r="F1940" s="4"/>
      <c r="Q1940" s="3"/>
      <c r="R1940" s="3"/>
      <c r="S1940" s="3"/>
      <c r="T1940" s="3"/>
      <c r="U1940" s="3"/>
    </row>
    <row r="1941" spans="2:21" x14ac:dyDescent="0.25">
      <c r="B1941" s="2"/>
      <c r="C1941" s="2"/>
      <c r="D1941" s="4"/>
      <c r="E1941" s="4"/>
      <c r="F1941" s="4"/>
      <c r="Q1941" s="3"/>
      <c r="R1941" s="3"/>
      <c r="S1941" s="3"/>
      <c r="T1941" s="3"/>
      <c r="U1941" s="3"/>
    </row>
    <row r="1942" spans="2:21" x14ac:dyDescent="0.25">
      <c r="B1942" s="2"/>
      <c r="C1942" s="2"/>
      <c r="D1942" s="4"/>
      <c r="E1942" s="4"/>
      <c r="F1942" s="4"/>
      <c r="Q1942" s="3"/>
      <c r="R1942" s="3"/>
      <c r="S1942" s="3"/>
      <c r="T1942" s="3"/>
      <c r="U1942" s="3"/>
    </row>
    <row r="1943" spans="2:21" x14ac:dyDescent="0.25">
      <c r="B1943" s="2"/>
      <c r="C1943" s="2"/>
      <c r="D1943" s="4"/>
      <c r="E1943" s="4"/>
      <c r="F1943" s="4"/>
      <c r="Q1943" s="3"/>
      <c r="R1943" s="3"/>
      <c r="S1943" s="3"/>
      <c r="T1943" s="3"/>
      <c r="U1943" s="3"/>
    </row>
    <row r="1944" spans="2:21" x14ac:dyDescent="0.25">
      <c r="B1944" s="2"/>
      <c r="C1944" s="2"/>
      <c r="D1944" s="4"/>
      <c r="E1944" s="4"/>
      <c r="F1944" s="4"/>
      <c r="Q1944" s="3"/>
      <c r="R1944" s="3"/>
      <c r="S1944" s="3"/>
      <c r="T1944" s="3"/>
      <c r="U1944" s="3"/>
    </row>
    <row r="1945" spans="2:21" x14ac:dyDescent="0.25">
      <c r="B1945" s="2"/>
      <c r="C1945" s="2"/>
      <c r="D1945" s="4"/>
      <c r="E1945" s="4"/>
      <c r="F1945" s="4"/>
      <c r="Q1945" s="3"/>
      <c r="R1945" s="3"/>
      <c r="S1945" s="3"/>
      <c r="T1945" s="3"/>
      <c r="U1945" s="3"/>
    </row>
    <row r="1946" spans="2:21" x14ac:dyDescent="0.25">
      <c r="B1946" s="2"/>
      <c r="C1946" s="2"/>
      <c r="D1946" s="4"/>
      <c r="E1946" s="4"/>
      <c r="F1946" s="4"/>
      <c r="Q1946" s="3"/>
      <c r="R1946" s="3"/>
      <c r="S1946" s="3"/>
      <c r="T1946" s="3"/>
      <c r="U1946" s="3"/>
    </row>
    <row r="1947" spans="2:21" x14ac:dyDescent="0.25">
      <c r="B1947" s="2"/>
      <c r="C1947" s="2"/>
      <c r="D1947" s="4"/>
      <c r="E1947" s="4"/>
      <c r="F1947" s="4"/>
      <c r="Q1947" s="3"/>
      <c r="R1947" s="3"/>
      <c r="S1947" s="3"/>
      <c r="T1947" s="3"/>
      <c r="U1947" s="3"/>
    </row>
    <row r="1948" spans="2:21" x14ac:dyDescent="0.25">
      <c r="B1948" s="2"/>
      <c r="C1948" s="2"/>
      <c r="D1948" s="4"/>
      <c r="E1948" s="4"/>
      <c r="F1948" s="4"/>
      <c r="Q1948" s="3"/>
      <c r="R1948" s="3"/>
      <c r="S1948" s="3"/>
      <c r="T1948" s="3"/>
      <c r="U1948" s="3"/>
    </row>
    <row r="1949" spans="2:21" x14ac:dyDescent="0.25">
      <c r="B1949" s="2"/>
      <c r="C1949" s="2"/>
      <c r="D1949" s="4"/>
      <c r="E1949" s="4"/>
      <c r="F1949" s="4"/>
      <c r="Q1949" s="3"/>
      <c r="R1949" s="3"/>
      <c r="S1949" s="3"/>
      <c r="T1949" s="3"/>
      <c r="U1949" s="3"/>
    </row>
    <row r="1950" spans="2:21" x14ac:dyDescent="0.25">
      <c r="B1950" s="2"/>
      <c r="C1950" s="2"/>
      <c r="D1950" s="4"/>
      <c r="E1950" s="4"/>
      <c r="F1950" s="4"/>
      <c r="Q1950" s="3"/>
      <c r="R1950" s="3"/>
      <c r="S1950" s="3"/>
      <c r="T1950" s="3"/>
      <c r="U1950" s="3"/>
    </row>
    <row r="1951" spans="2:21" x14ac:dyDescent="0.25">
      <c r="B1951" s="2"/>
      <c r="C1951" s="2"/>
      <c r="D1951" s="4"/>
      <c r="E1951" s="4"/>
      <c r="F1951" s="4"/>
      <c r="Q1951" s="3"/>
      <c r="R1951" s="3"/>
      <c r="S1951" s="3"/>
      <c r="T1951" s="3"/>
      <c r="U1951" s="3"/>
    </row>
    <row r="1952" spans="2:21" x14ac:dyDescent="0.25">
      <c r="B1952" s="2"/>
      <c r="C1952" s="2"/>
      <c r="D1952" s="4"/>
      <c r="E1952" s="4"/>
      <c r="F1952" s="4"/>
      <c r="Q1952" s="3"/>
      <c r="R1952" s="3"/>
      <c r="S1952" s="3"/>
      <c r="T1952" s="3"/>
      <c r="U1952" s="3"/>
    </row>
    <row r="1953" spans="2:21" x14ac:dyDescent="0.25">
      <c r="B1953" s="2"/>
      <c r="C1953" s="2"/>
      <c r="D1953" s="4"/>
      <c r="E1953" s="4"/>
      <c r="F1953" s="4"/>
      <c r="Q1953" s="3"/>
      <c r="R1953" s="3"/>
      <c r="S1953" s="3"/>
      <c r="T1953" s="3"/>
      <c r="U1953" s="3"/>
    </row>
    <row r="1954" spans="2:21" x14ac:dyDescent="0.25">
      <c r="B1954" s="2"/>
      <c r="C1954" s="2"/>
      <c r="D1954" s="4"/>
      <c r="E1954" s="4"/>
      <c r="F1954" s="4"/>
      <c r="Q1954" s="3"/>
      <c r="R1954" s="3"/>
      <c r="S1954" s="3"/>
      <c r="T1954" s="3"/>
      <c r="U1954" s="3"/>
    </row>
    <row r="1955" spans="2:21" x14ac:dyDescent="0.25">
      <c r="B1955" s="2"/>
      <c r="C1955" s="2"/>
      <c r="D1955" s="4"/>
      <c r="E1955" s="4"/>
      <c r="F1955" s="4"/>
      <c r="Q1955" s="3"/>
      <c r="R1955" s="3"/>
      <c r="S1955" s="3"/>
      <c r="T1955" s="3"/>
      <c r="U1955" s="3"/>
    </row>
    <row r="1956" spans="2:21" x14ac:dyDescent="0.25">
      <c r="B1956" s="2"/>
      <c r="C1956" s="2"/>
      <c r="D1956" s="4"/>
      <c r="E1956" s="4"/>
      <c r="F1956" s="4"/>
      <c r="Q1956" s="3"/>
      <c r="R1956" s="3"/>
      <c r="S1956" s="3"/>
      <c r="T1956" s="3"/>
      <c r="U1956" s="3"/>
    </row>
    <row r="1957" spans="2:21" x14ac:dyDescent="0.25">
      <c r="B1957" s="2"/>
      <c r="C1957" s="2"/>
      <c r="D1957" s="4"/>
      <c r="E1957" s="4"/>
      <c r="F1957" s="4"/>
      <c r="Q1957" s="3"/>
      <c r="R1957" s="3"/>
      <c r="S1957" s="3"/>
      <c r="T1957" s="3"/>
      <c r="U1957" s="3"/>
    </row>
    <row r="1958" spans="2:21" x14ac:dyDescent="0.25">
      <c r="B1958" s="2"/>
      <c r="C1958" s="2"/>
      <c r="D1958" s="4"/>
      <c r="E1958" s="4"/>
      <c r="F1958" s="4"/>
      <c r="Q1958" s="3"/>
      <c r="R1958" s="3"/>
      <c r="S1958" s="3"/>
      <c r="T1958" s="3"/>
      <c r="U1958" s="3"/>
    </row>
    <row r="1959" spans="2:21" x14ac:dyDescent="0.25">
      <c r="B1959" s="2"/>
      <c r="C1959" s="2"/>
      <c r="D1959" s="4"/>
      <c r="E1959" s="4"/>
      <c r="F1959" s="4"/>
      <c r="Q1959" s="3"/>
      <c r="R1959" s="3"/>
      <c r="S1959" s="3"/>
      <c r="T1959" s="3"/>
      <c r="U1959" s="3"/>
    </row>
    <row r="1960" spans="2:21" x14ac:dyDescent="0.25">
      <c r="B1960" s="2"/>
      <c r="C1960" s="2"/>
      <c r="D1960" s="4"/>
      <c r="E1960" s="4"/>
      <c r="F1960" s="4"/>
      <c r="Q1960" s="3"/>
      <c r="R1960" s="3"/>
      <c r="S1960" s="3"/>
      <c r="T1960" s="3"/>
      <c r="U1960" s="3"/>
    </row>
    <row r="1961" spans="2:21" x14ac:dyDescent="0.25">
      <c r="B1961" s="2"/>
      <c r="C1961" s="2"/>
      <c r="D1961" s="4"/>
      <c r="E1961" s="4"/>
      <c r="F1961" s="4"/>
      <c r="Q1961" s="3"/>
      <c r="R1961" s="3"/>
      <c r="S1961" s="3"/>
      <c r="T1961" s="3"/>
      <c r="U1961" s="3"/>
    </row>
    <row r="1962" spans="2:21" x14ac:dyDescent="0.25">
      <c r="B1962" s="2"/>
      <c r="C1962" s="2"/>
      <c r="D1962" s="4"/>
      <c r="E1962" s="4"/>
      <c r="F1962" s="4"/>
      <c r="Q1962" s="3"/>
      <c r="R1962" s="3"/>
      <c r="S1962" s="3"/>
      <c r="T1962" s="3"/>
      <c r="U1962" s="3"/>
    </row>
    <row r="1963" spans="2:21" x14ac:dyDescent="0.25">
      <c r="B1963" s="2"/>
      <c r="C1963" s="2"/>
      <c r="D1963" s="4"/>
      <c r="E1963" s="4"/>
      <c r="F1963" s="4"/>
      <c r="Q1963" s="3"/>
      <c r="R1963" s="3"/>
      <c r="S1963" s="3"/>
      <c r="T1963" s="3"/>
      <c r="U1963" s="3"/>
    </row>
    <row r="1964" spans="2:21" x14ac:dyDescent="0.25">
      <c r="B1964" s="2"/>
      <c r="C1964" s="2"/>
      <c r="D1964" s="4"/>
      <c r="E1964" s="4"/>
      <c r="F1964" s="4"/>
      <c r="Q1964" s="3"/>
      <c r="R1964" s="3"/>
      <c r="S1964" s="3"/>
      <c r="T1964" s="3"/>
      <c r="U1964" s="3"/>
    </row>
    <row r="1965" spans="2:21" x14ac:dyDescent="0.25">
      <c r="B1965" s="2"/>
      <c r="C1965" s="2"/>
      <c r="D1965" s="4"/>
      <c r="E1965" s="4"/>
      <c r="F1965" s="4"/>
      <c r="Q1965" s="3"/>
      <c r="R1965" s="3"/>
      <c r="S1965" s="3"/>
      <c r="T1965" s="3"/>
      <c r="U1965" s="3"/>
    </row>
    <row r="1966" spans="2:21" x14ac:dyDescent="0.25">
      <c r="B1966" s="2"/>
      <c r="C1966" s="2"/>
      <c r="D1966" s="4"/>
      <c r="E1966" s="4"/>
      <c r="F1966" s="4"/>
      <c r="Q1966" s="3"/>
      <c r="R1966" s="3"/>
      <c r="S1966" s="3"/>
      <c r="T1966" s="3"/>
      <c r="U1966" s="3"/>
    </row>
    <row r="1967" spans="2:21" x14ac:dyDescent="0.25">
      <c r="B1967" s="2"/>
      <c r="C1967" s="2"/>
      <c r="D1967" s="4"/>
      <c r="E1967" s="4"/>
      <c r="F1967" s="4"/>
      <c r="Q1967" s="3"/>
      <c r="R1967" s="3"/>
      <c r="S1967" s="3"/>
      <c r="T1967" s="3"/>
      <c r="U1967" s="3"/>
    </row>
    <row r="1968" spans="2:21" x14ac:dyDescent="0.25">
      <c r="B1968" s="2"/>
      <c r="C1968" s="2"/>
      <c r="D1968" s="4"/>
      <c r="E1968" s="4"/>
      <c r="F1968" s="4"/>
      <c r="Q1968" s="3"/>
      <c r="R1968" s="3"/>
      <c r="S1968" s="3"/>
      <c r="T1968" s="3"/>
      <c r="U1968" s="3"/>
    </row>
    <row r="1969" spans="2:21" x14ac:dyDescent="0.25">
      <c r="B1969" s="2"/>
      <c r="C1969" s="2"/>
      <c r="D1969" s="4"/>
      <c r="E1969" s="4"/>
      <c r="F1969" s="4"/>
      <c r="Q1969" s="3"/>
      <c r="R1969" s="3"/>
      <c r="S1969" s="3"/>
      <c r="T1969" s="3"/>
      <c r="U1969" s="3"/>
    </row>
    <row r="1970" spans="2:21" x14ac:dyDescent="0.25">
      <c r="B1970" s="2"/>
      <c r="C1970" s="2"/>
      <c r="D1970" s="4"/>
      <c r="E1970" s="4"/>
      <c r="F1970" s="4"/>
      <c r="Q1970" s="3"/>
      <c r="R1970" s="3"/>
      <c r="S1970" s="3"/>
      <c r="T1970" s="3"/>
      <c r="U1970" s="3"/>
    </row>
    <row r="1971" spans="2:21" x14ac:dyDescent="0.25">
      <c r="B1971" s="2"/>
      <c r="C1971" s="2"/>
      <c r="D1971" s="4"/>
      <c r="E1971" s="4"/>
      <c r="F1971" s="4"/>
      <c r="Q1971" s="3"/>
      <c r="R1971" s="3"/>
      <c r="S1971" s="3"/>
      <c r="T1971" s="3"/>
      <c r="U1971" s="3"/>
    </row>
    <row r="1972" spans="2:21" x14ac:dyDescent="0.25">
      <c r="B1972" s="2"/>
      <c r="C1972" s="2"/>
      <c r="D1972" s="4"/>
      <c r="E1972" s="4"/>
      <c r="F1972" s="4"/>
      <c r="Q1972" s="3"/>
      <c r="R1972" s="3"/>
      <c r="S1972" s="3"/>
      <c r="T1972" s="3"/>
      <c r="U1972" s="3"/>
    </row>
    <row r="1973" spans="2:21" x14ac:dyDescent="0.25">
      <c r="B1973" s="2"/>
      <c r="C1973" s="2"/>
      <c r="D1973" s="4"/>
      <c r="E1973" s="4"/>
      <c r="F1973" s="4"/>
      <c r="Q1973" s="3"/>
      <c r="R1973" s="3"/>
      <c r="S1973" s="3"/>
      <c r="T1973" s="3"/>
      <c r="U1973" s="3"/>
    </row>
    <row r="1974" spans="2:21" x14ac:dyDescent="0.25">
      <c r="B1974" s="2"/>
      <c r="C1974" s="2"/>
      <c r="D1974" s="4"/>
      <c r="E1974" s="4"/>
      <c r="F1974" s="4"/>
      <c r="Q1974" s="3"/>
      <c r="R1974" s="3"/>
      <c r="S1974" s="3"/>
      <c r="T1974" s="3"/>
      <c r="U1974" s="3"/>
    </row>
    <row r="1975" spans="2:21" x14ac:dyDescent="0.25">
      <c r="B1975" s="2"/>
      <c r="C1975" s="2"/>
      <c r="D1975" s="4"/>
      <c r="E1975" s="4"/>
      <c r="F1975" s="4"/>
      <c r="Q1975" s="3"/>
      <c r="R1975" s="3"/>
      <c r="S1975" s="3"/>
      <c r="T1975" s="3"/>
      <c r="U1975" s="3"/>
    </row>
    <row r="1976" spans="2:21" x14ac:dyDescent="0.25">
      <c r="B1976" s="2"/>
      <c r="C1976" s="2"/>
      <c r="D1976" s="4"/>
      <c r="E1976" s="4"/>
      <c r="F1976" s="4"/>
      <c r="Q1976" s="3"/>
      <c r="R1976" s="3"/>
      <c r="S1976" s="3"/>
      <c r="T1976" s="3"/>
      <c r="U1976" s="3"/>
    </row>
    <row r="1977" spans="2:21" x14ac:dyDescent="0.25">
      <c r="B1977" s="2"/>
      <c r="C1977" s="2"/>
      <c r="D1977" s="4"/>
      <c r="E1977" s="4"/>
      <c r="F1977" s="4"/>
      <c r="Q1977" s="3"/>
      <c r="R1977" s="3"/>
      <c r="S1977" s="3"/>
      <c r="T1977" s="3"/>
      <c r="U1977" s="3"/>
    </row>
    <row r="1978" spans="2:21" x14ac:dyDescent="0.25">
      <c r="B1978" s="2"/>
      <c r="C1978" s="2"/>
      <c r="D1978" s="4"/>
      <c r="E1978" s="4"/>
      <c r="F1978" s="4"/>
      <c r="Q1978" s="3"/>
      <c r="R1978" s="3"/>
      <c r="S1978" s="3"/>
      <c r="T1978" s="3"/>
      <c r="U1978" s="3"/>
    </row>
    <row r="1979" spans="2:21" x14ac:dyDescent="0.25">
      <c r="B1979" s="2"/>
      <c r="C1979" s="2"/>
      <c r="D1979" s="4"/>
      <c r="E1979" s="4"/>
      <c r="F1979" s="4"/>
      <c r="Q1979" s="3"/>
      <c r="R1979" s="3"/>
      <c r="S1979" s="3"/>
      <c r="T1979" s="3"/>
      <c r="U1979" s="3"/>
    </row>
    <row r="1980" spans="2:21" x14ac:dyDescent="0.25">
      <c r="B1980" s="2"/>
      <c r="C1980" s="2"/>
      <c r="D1980" s="4"/>
      <c r="E1980" s="4"/>
      <c r="F1980" s="4"/>
      <c r="Q1980" s="3"/>
      <c r="R1980" s="3"/>
      <c r="S1980" s="3"/>
      <c r="T1980" s="3"/>
      <c r="U1980" s="3"/>
    </row>
    <row r="1981" spans="2:21" x14ac:dyDescent="0.25">
      <c r="B1981" s="2"/>
      <c r="C1981" s="2"/>
      <c r="D1981" s="4"/>
      <c r="E1981" s="4"/>
      <c r="F1981" s="4"/>
      <c r="Q1981" s="3"/>
      <c r="R1981" s="3"/>
      <c r="S1981" s="3"/>
      <c r="T1981" s="3"/>
      <c r="U1981" s="3"/>
    </row>
    <row r="1982" spans="2:21" x14ac:dyDescent="0.25">
      <c r="B1982" s="2"/>
      <c r="C1982" s="2"/>
      <c r="D1982" s="4"/>
      <c r="E1982" s="4"/>
      <c r="F1982" s="4"/>
      <c r="Q1982" s="3"/>
      <c r="R1982" s="3"/>
      <c r="S1982" s="3"/>
      <c r="T1982" s="3"/>
      <c r="U1982" s="3"/>
    </row>
    <row r="1983" spans="2:21" x14ac:dyDescent="0.25">
      <c r="B1983" s="2"/>
      <c r="C1983" s="2"/>
      <c r="D1983" s="4"/>
      <c r="E1983" s="4"/>
      <c r="F1983" s="4"/>
      <c r="Q1983" s="3"/>
      <c r="R1983" s="3"/>
      <c r="S1983" s="3"/>
      <c r="T1983" s="3"/>
      <c r="U1983" s="3"/>
    </row>
    <row r="1984" spans="2:21" x14ac:dyDescent="0.25">
      <c r="B1984" s="2"/>
      <c r="C1984" s="2"/>
      <c r="D1984" s="4"/>
      <c r="E1984" s="4"/>
      <c r="F1984" s="4"/>
      <c r="Q1984" s="3"/>
      <c r="R1984" s="3"/>
      <c r="S1984" s="3"/>
      <c r="T1984" s="3"/>
      <c r="U1984" s="3"/>
    </row>
    <row r="1985" spans="2:21" x14ac:dyDescent="0.25">
      <c r="B1985" s="2"/>
      <c r="C1985" s="2"/>
      <c r="D1985" s="4"/>
      <c r="E1985" s="4"/>
      <c r="F1985" s="4"/>
      <c r="Q1985" s="3"/>
      <c r="R1985" s="3"/>
      <c r="S1985" s="3"/>
      <c r="T1985" s="3"/>
      <c r="U1985" s="3"/>
    </row>
    <row r="1986" spans="2:21" x14ac:dyDescent="0.25">
      <c r="B1986" s="2"/>
      <c r="C1986" s="2"/>
      <c r="D1986" s="4"/>
      <c r="E1986" s="4"/>
      <c r="F1986" s="4"/>
      <c r="Q1986" s="3"/>
      <c r="R1986" s="3"/>
      <c r="S1986" s="3"/>
      <c r="T1986" s="3"/>
      <c r="U1986" s="3"/>
    </row>
    <row r="1987" spans="2:21" x14ac:dyDescent="0.25">
      <c r="B1987" s="2"/>
      <c r="C1987" s="2"/>
      <c r="D1987" s="4"/>
      <c r="E1987" s="4"/>
      <c r="F1987" s="4"/>
      <c r="Q1987" s="3"/>
      <c r="R1987" s="3"/>
      <c r="S1987" s="3"/>
      <c r="T1987" s="3"/>
      <c r="U1987" s="3"/>
    </row>
    <row r="1988" spans="2:21" x14ac:dyDescent="0.25">
      <c r="B1988" s="2"/>
      <c r="C1988" s="2"/>
      <c r="D1988" s="4"/>
      <c r="E1988" s="4"/>
      <c r="F1988" s="4"/>
      <c r="Q1988" s="3"/>
      <c r="R1988" s="3"/>
      <c r="S1988" s="3"/>
      <c r="T1988" s="3"/>
      <c r="U1988" s="3"/>
    </row>
    <row r="1989" spans="2:21" x14ac:dyDescent="0.25">
      <c r="B1989" s="2"/>
      <c r="C1989" s="2"/>
      <c r="D1989" s="4"/>
      <c r="E1989" s="4"/>
      <c r="F1989" s="4"/>
      <c r="Q1989" s="3"/>
      <c r="R1989" s="3"/>
      <c r="S1989" s="3"/>
      <c r="T1989" s="3"/>
      <c r="U1989" s="3"/>
    </row>
    <row r="1990" spans="2:21" x14ac:dyDescent="0.25">
      <c r="B1990" s="2"/>
      <c r="C1990" s="2"/>
      <c r="D1990" s="4"/>
      <c r="E1990" s="4"/>
      <c r="F1990" s="4"/>
      <c r="Q1990" s="3"/>
      <c r="R1990" s="3"/>
      <c r="S1990" s="3"/>
      <c r="T1990" s="3"/>
      <c r="U1990" s="3"/>
    </row>
    <row r="1991" spans="2:21" x14ac:dyDescent="0.25">
      <c r="B1991" s="2"/>
      <c r="C1991" s="2"/>
      <c r="D1991" s="4"/>
      <c r="E1991" s="4"/>
      <c r="F1991" s="4"/>
      <c r="Q1991" s="3"/>
      <c r="R1991" s="3"/>
      <c r="S1991" s="3"/>
      <c r="T1991" s="3"/>
      <c r="U1991" s="3"/>
    </row>
    <row r="1992" spans="2:21" x14ac:dyDescent="0.25">
      <c r="B1992" s="2"/>
      <c r="C1992" s="2"/>
      <c r="D1992" s="4"/>
      <c r="E1992" s="4"/>
      <c r="F1992" s="4"/>
      <c r="Q1992" s="3"/>
      <c r="R1992" s="3"/>
      <c r="S1992" s="3"/>
      <c r="T1992" s="3"/>
      <c r="U1992" s="3"/>
    </row>
    <row r="1993" spans="2:21" x14ac:dyDescent="0.25">
      <c r="B1993" s="2"/>
      <c r="C1993" s="2"/>
      <c r="D1993" s="4"/>
      <c r="E1993" s="4"/>
      <c r="F1993" s="4"/>
      <c r="Q1993" s="3"/>
      <c r="R1993" s="3"/>
      <c r="S1993" s="3"/>
      <c r="T1993" s="3"/>
      <c r="U1993" s="3"/>
    </row>
    <row r="1994" spans="2:21" x14ac:dyDescent="0.25">
      <c r="B1994" s="2"/>
      <c r="C1994" s="2"/>
      <c r="D1994" s="4"/>
      <c r="E1994" s="4"/>
      <c r="F1994" s="4"/>
      <c r="Q1994" s="3"/>
      <c r="R1994" s="3"/>
      <c r="S1994" s="3"/>
      <c r="T1994" s="3"/>
      <c r="U1994" s="3"/>
    </row>
    <row r="1995" spans="2:21" x14ac:dyDescent="0.25">
      <c r="B1995" s="2"/>
      <c r="C1995" s="2"/>
      <c r="D1995" s="4"/>
      <c r="E1995" s="4"/>
      <c r="F1995" s="4"/>
      <c r="Q1995" s="3"/>
      <c r="R1995" s="3"/>
      <c r="S1995" s="3"/>
      <c r="T1995" s="3"/>
      <c r="U1995" s="3"/>
    </row>
    <row r="1996" spans="2:21" x14ac:dyDescent="0.25">
      <c r="B1996" s="2"/>
      <c r="C1996" s="2"/>
      <c r="D1996" s="4"/>
      <c r="E1996" s="4"/>
      <c r="F1996" s="4"/>
      <c r="Q1996" s="3"/>
      <c r="R1996" s="3"/>
      <c r="S1996" s="3"/>
      <c r="T1996" s="3"/>
      <c r="U1996" s="3"/>
    </row>
    <row r="1997" spans="2:21" x14ac:dyDescent="0.25">
      <c r="B1997" s="2"/>
      <c r="C1997" s="2"/>
      <c r="D1997" s="4"/>
      <c r="E1997" s="4"/>
      <c r="F1997" s="4"/>
      <c r="Q1997" s="3"/>
      <c r="R1997" s="3"/>
      <c r="S1997" s="3"/>
      <c r="T1997" s="3"/>
      <c r="U1997" s="3"/>
    </row>
    <row r="1998" spans="2:21" x14ac:dyDescent="0.25">
      <c r="B1998" s="2"/>
      <c r="C1998" s="2"/>
      <c r="D1998" s="4"/>
      <c r="E1998" s="4"/>
      <c r="F1998" s="4"/>
      <c r="Q1998" s="3"/>
      <c r="R1998" s="3"/>
      <c r="S1998" s="3"/>
      <c r="T1998" s="3"/>
      <c r="U1998" s="3"/>
    </row>
    <row r="1999" spans="2:21" x14ac:dyDescent="0.25">
      <c r="B1999" s="2"/>
      <c r="C1999" s="2"/>
      <c r="D1999" s="4"/>
      <c r="E1999" s="4"/>
      <c r="F1999" s="4"/>
      <c r="Q1999" s="3"/>
      <c r="R1999" s="3"/>
      <c r="S1999" s="3"/>
      <c r="T1999" s="3"/>
      <c r="U1999" s="3"/>
    </row>
    <row r="2000" spans="2:21" x14ac:dyDescent="0.25">
      <c r="B2000" s="2"/>
      <c r="C2000" s="2"/>
      <c r="D2000" s="4"/>
      <c r="E2000" s="4"/>
      <c r="F2000" s="4"/>
      <c r="Q2000" s="3"/>
      <c r="R2000" s="3"/>
      <c r="S2000" s="3"/>
      <c r="T2000" s="3"/>
      <c r="U2000" s="3"/>
    </row>
    <row r="2001" spans="2:21" x14ac:dyDescent="0.25">
      <c r="B2001" s="2"/>
      <c r="C2001" s="2"/>
      <c r="D2001" s="4"/>
      <c r="E2001" s="4"/>
      <c r="F2001" s="4"/>
      <c r="Q2001" s="3"/>
      <c r="R2001" s="3"/>
      <c r="S2001" s="3"/>
      <c r="T2001" s="3"/>
      <c r="U2001" s="3"/>
    </row>
    <row r="2002" spans="2:21" x14ac:dyDescent="0.25">
      <c r="B2002" s="2"/>
      <c r="C2002" s="2"/>
      <c r="D2002" s="4"/>
      <c r="E2002" s="4"/>
      <c r="F2002" s="4"/>
      <c r="Q2002" s="3"/>
      <c r="R2002" s="3"/>
      <c r="S2002" s="3"/>
      <c r="T2002" s="3"/>
      <c r="U2002" s="3"/>
    </row>
    <row r="2003" spans="2:21" x14ac:dyDescent="0.25">
      <c r="B2003" s="2"/>
      <c r="C2003" s="2"/>
      <c r="D2003" s="4"/>
      <c r="E2003" s="4"/>
      <c r="F2003" s="4"/>
      <c r="Q2003" s="3"/>
      <c r="R2003" s="3"/>
      <c r="S2003" s="3"/>
      <c r="T2003" s="3"/>
      <c r="U2003" s="3"/>
    </row>
    <row r="2004" spans="2:21" x14ac:dyDescent="0.25">
      <c r="B2004" s="2"/>
      <c r="C2004" s="2"/>
      <c r="D2004" s="4"/>
      <c r="E2004" s="4"/>
      <c r="F2004" s="4"/>
      <c r="Q2004" s="3"/>
      <c r="R2004" s="3"/>
      <c r="S2004" s="3"/>
      <c r="T2004" s="3"/>
      <c r="U2004" s="3"/>
    </row>
    <row r="2005" spans="2:21" x14ac:dyDescent="0.25">
      <c r="B2005" s="2"/>
      <c r="C2005" s="2"/>
      <c r="D2005" s="4"/>
      <c r="E2005" s="4"/>
      <c r="F2005" s="4"/>
      <c r="Q2005" s="3"/>
      <c r="R2005" s="3"/>
      <c r="S2005" s="3"/>
      <c r="T2005" s="3"/>
      <c r="U2005" s="3"/>
    </row>
    <row r="2006" spans="2:21" x14ac:dyDescent="0.25">
      <c r="B2006" s="2"/>
      <c r="C2006" s="2"/>
      <c r="D2006" s="4"/>
      <c r="E2006" s="4"/>
      <c r="F2006" s="4"/>
      <c r="Q2006" s="3"/>
      <c r="R2006" s="3"/>
      <c r="S2006" s="3"/>
      <c r="T2006" s="3"/>
      <c r="U2006" s="3"/>
    </row>
    <row r="2007" spans="2:21" x14ac:dyDescent="0.25">
      <c r="B2007" s="2"/>
      <c r="C2007" s="2"/>
      <c r="D2007" s="4"/>
      <c r="E2007" s="4"/>
      <c r="F2007" s="4"/>
      <c r="Q2007" s="3"/>
      <c r="R2007" s="3"/>
      <c r="S2007" s="3"/>
      <c r="T2007" s="3"/>
      <c r="U2007" s="3"/>
    </row>
    <row r="2008" spans="2:21" x14ac:dyDescent="0.25">
      <c r="B2008" s="2"/>
      <c r="C2008" s="2"/>
      <c r="D2008" s="4"/>
      <c r="E2008" s="4"/>
      <c r="F2008" s="4"/>
      <c r="Q2008" s="3"/>
      <c r="R2008" s="3"/>
      <c r="S2008" s="3"/>
      <c r="T2008" s="3"/>
      <c r="U2008" s="3"/>
    </row>
    <row r="2009" spans="2:21" x14ac:dyDescent="0.25">
      <c r="B2009" s="2"/>
      <c r="C2009" s="2"/>
      <c r="D2009" s="4"/>
      <c r="E2009" s="4"/>
      <c r="F2009" s="4"/>
      <c r="Q2009" s="3"/>
      <c r="R2009" s="3"/>
      <c r="S2009" s="3"/>
      <c r="T2009" s="3"/>
      <c r="U2009" s="3"/>
    </row>
    <row r="2010" spans="2:21" x14ac:dyDescent="0.25">
      <c r="B2010" s="2"/>
      <c r="C2010" s="2"/>
      <c r="D2010" s="4"/>
      <c r="E2010" s="4"/>
      <c r="F2010" s="4"/>
      <c r="Q2010" s="3"/>
      <c r="R2010" s="3"/>
      <c r="S2010" s="3"/>
      <c r="T2010" s="3"/>
      <c r="U2010" s="3"/>
    </row>
    <row r="2011" spans="2:21" x14ac:dyDescent="0.25">
      <c r="B2011" s="2"/>
      <c r="C2011" s="2"/>
      <c r="D2011" s="4"/>
      <c r="E2011" s="4"/>
      <c r="F2011" s="4"/>
      <c r="Q2011" s="3"/>
      <c r="R2011" s="3"/>
      <c r="S2011" s="3"/>
      <c r="T2011" s="3"/>
      <c r="U2011" s="3"/>
    </row>
    <row r="2012" spans="2:21" x14ac:dyDescent="0.25">
      <c r="B2012" s="2"/>
      <c r="C2012" s="2"/>
      <c r="D2012" s="4"/>
      <c r="E2012" s="4"/>
      <c r="F2012" s="4"/>
      <c r="Q2012" s="3"/>
      <c r="R2012" s="3"/>
      <c r="S2012" s="3"/>
      <c r="T2012" s="3"/>
      <c r="U2012" s="3"/>
    </row>
    <row r="2013" spans="2:21" x14ac:dyDescent="0.25">
      <c r="B2013" s="2"/>
      <c r="C2013" s="2"/>
      <c r="D2013" s="4"/>
      <c r="E2013" s="4"/>
      <c r="F2013" s="4"/>
      <c r="Q2013" s="3"/>
      <c r="R2013" s="3"/>
      <c r="S2013" s="3"/>
      <c r="T2013" s="3"/>
      <c r="U2013" s="3"/>
    </row>
    <row r="2014" spans="2:21" x14ac:dyDescent="0.25">
      <c r="B2014" s="2"/>
      <c r="C2014" s="2"/>
      <c r="D2014" s="4"/>
      <c r="E2014" s="4"/>
      <c r="F2014" s="4"/>
      <c r="Q2014" s="3"/>
      <c r="R2014" s="3"/>
      <c r="S2014" s="3"/>
      <c r="T2014" s="3"/>
      <c r="U2014" s="3"/>
    </row>
    <row r="2015" spans="2:21" x14ac:dyDescent="0.25">
      <c r="B2015" s="2"/>
      <c r="C2015" s="2"/>
      <c r="D2015" s="4"/>
      <c r="E2015" s="4"/>
      <c r="F2015" s="4"/>
      <c r="Q2015" s="3"/>
      <c r="R2015" s="3"/>
      <c r="S2015" s="3"/>
      <c r="T2015" s="3"/>
      <c r="U2015" s="3"/>
    </row>
    <row r="2016" spans="2:21" x14ac:dyDescent="0.25">
      <c r="B2016" s="2"/>
      <c r="C2016" s="2"/>
      <c r="D2016" s="4"/>
      <c r="E2016" s="4"/>
      <c r="F2016" s="4"/>
      <c r="Q2016" s="3"/>
      <c r="R2016" s="3"/>
      <c r="S2016" s="3"/>
      <c r="T2016" s="3"/>
      <c r="U2016" s="3"/>
    </row>
    <row r="2017" spans="2:21" x14ac:dyDescent="0.25">
      <c r="B2017" s="2"/>
      <c r="C2017" s="2"/>
      <c r="D2017" s="4"/>
      <c r="E2017" s="4"/>
      <c r="F2017" s="4"/>
      <c r="Q2017" s="3"/>
      <c r="R2017" s="3"/>
      <c r="S2017" s="3"/>
      <c r="T2017" s="3"/>
      <c r="U2017" s="3"/>
    </row>
    <row r="2018" spans="2:21" x14ac:dyDescent="0.25">
      <c r="B2018" s="2"/>
      <c r="C2018" s="2"/>
      <c r="D2018" s="4"/>
      <c r="E2018" s="4"/>
      <c r="F2018" s="4"/>
      <c r="Q2018" s="3"/>
      <c r="R2018" s="3"/>
      <c r="S2018" s="3"/>
      <c r="T2018" s="3"/>
      <c r="U2018" s="3"/>
    </row>
    <row r="2019" spans="2:21" x14ac:dyDescent="0.25">
      <c r="B2019" s="2"/>
      <c r="C2019" s="2"/>
      <c r="D2019" s="4"/>
      <c r="E2019" s="4"/>
      <c r="F2019" s="4"/>
      <c r="Q2019" s="3"/>
      <c r="R2019" s="3"/>
      <c r="S2019" s="3"/>
      <c r="T2019" s="3"/>
      <c r="U2019" s="3"/>
    </row>
    <row r="2020" spans="2:21" x14ac:dyDescent="0.25">
      <c r="B2020" s="2"/>
      <c r="C2020" s="2"/>
      <c r="D2020" s="4"/>
      <c r="E2020" s="4"/>
      <c r="F2020" s="4"/>
      <c r="Q2020" s="3"/>
      <c r="R2020" s="3"/>
      <c r="S2020" s="3"/>
      <c r="T2020" s="3"/>
      <c r="U2020" s="3"/>
    </row>
    <row r="2021" spans="2:21" x14ac:dyDescent="0.25">
      <c r="B2021" s="2"/>
      <c r="C2021" s="2"/>
      <c r="D2021" s="4"/>
      <c r="E2021" s="4"/>
      <c r="F2021" s="4"/>
      <c r="Q2021" s="3"/>
      <c r="R2021" s="3"/>
      <c r="S2021" s="3"/>
      <c r="T2021" s="3"/>
      <c r="U2021" s="3"/>
    </row>
    <row r="2022" spans="2:21" x14ac:dyDescent="0.25">
      <c r="B2022" s="2"/>
      <c r="C2022" s="2"/>
      <c r="D2022" s="4"/>
      <c r="E2022" s="4"/>
      <c r="F2022" s="4"/>
      <c r="Q2022" s="3"/>
      <c r="R2022" s="3"/>
      <c r="S2022" s="3"/>
      <c r="T2022" s="3"/>
      <c r="U2022" s="3"/>
    </row>
    <row r="2023" spans="2:21" x14ac:dyDescent="0.25">
      <c r="B2023" s="2"/>
      <c r="C2023" s="2"/>
      <c r="D2023" s="4"/>
      <c r="E2023" s="4"/>
      <c r="F2023" s="4"/>
      <c r="Q2023" s="3"/>
      <c r="R2023" s="3"/>
      <c r="S2023" s="3"/>
      <c r="T2023" s="3"/>
      <c r="U2023" s="3"/>
    </row>
    <row r="2024" spans="2:21" x14ac:dyDescent="0.25">
      <c r="B2024" s="2"/>
      <c r="C2024" s="2"/>
      <c r="D2024" s="4"/>
      <c r="E2024" s="4"/>
      <c r="F2024" s="4"/>
      <c r="Q2024" s="3"/>
      <c r="R2024" s="3"/>
      <c r="S2024" s="3"/>
      <c r="T2024" s="3"/>
      <c r="U2024" s="3"/>
    </row>
    <row r="2025" spans="2:21" x14ac:dyDescent="0.25">
      <c r="B2025" s="2"/>
      <c r="C2025" s="2"/>
      <c r="D2025" s="4"/>
      <c r="E2025" s="4"/>
      <c r="F2025" s="4"/>
      <c r="Q2025" s="3"/>
      <c r="R2025" s="3"/>
      <c r="S2025" s="3"/>
      <c r="T2025" s="3"/>
      <c r="U2025" s="3"/>
    </row>
    <row r="2026" spans="2:21" x14ac:dyDescent="0.25">
      <c r="B2026" s="2"/>
      <c r="C2026" s="2"/>
      <c r="D2026" s="4"/>
      <c r="E2026" s="4"/>
      <c r="F2026" s="4"/>
      <c r="Q2026" s="3"/>
      <c r="R2026" s="3"/>
      <c r="S2026" s="3"/>
      <c r="T2026" s="3"/>
      <c r="U2026" s="3"/>
    </row>
    <row r="2027" spans="2:21" x14ac:dyDescent="0.25">
      <c r="B2027" s="2"/>
      <c r="C2027" s="2"/>
      <c r="D2027" s="4"/>
      <c r="E2027" s="4"/>
      <c r="F2027" s="4"/>
      <c r="Q2027" s="3"/>
      <c r="R2027" s="3"/>
      <c r="S2027" s="3"/>
      <c r="T2027" s="3"/>
      <c r="U2027" s="3"/>
    </row>
    <row r="2028" spans="2:21" x14ac:dyDescent="0.25">
      <c r="B2028" s="2"/>
      <c r="C2028" s="2"/>
      <c r="D2028" s="4"/>
      <c r="E2028" s="4"/>
      <c r="F2028" s="4"/>
      <c r="Q2028" s="3"/>
      <c r="R2028" s="3"/>
      <c r="S2028" s="3"/>
      <c r="T2028" s="3"/>
      <c r="U2028" s="3"/>
    </row>
    <row r="2029" spans="2:21" x14ac:dyDescent="0.25">
      <c r="B2029" s="2"/>
      <c r="C2029" s="2"/>
      <c r="D2029" s="4"/>
      <c r="E2029" s="4"/>
      <c r="F2029" s="4"/>
      <c r="Q2029" s="3"/>
      <c r="R2029" s="3"/>
      <c r="S2029" s="3"/>
      <c r="T2029" s="3"/>
      <c r="U2029" s="3"/>
    </row>
    <row r="2030" spans="2:21" x14ac:dyDescent="0.25">
      <c r="B2030" s="2"/>
      <c r="C2030" s="2"/>
      <c r="D2030" s="4"/>
      <c r="E2030" s="4"/>
      <c r="F2030" s="4"/>
      <c r="Q2030" s="3"/>
      <c r="R2030" s="3"/>
      <c r="S2030" s="3"/>
      <c r="T2030" s="3"/>
      <c r="U2030" s="3"/>
    </row>
    <row r="2031" spans="2:21" x14ac:dyDescent="0.25">
      <c r="B2031" s="2"/>
      <c r="C2031" s="2"/>
      <c r="D2031" s="4"/>
      <c r="E2031" s="4"/>
      <c r="F2031" s="4"/>
      <c r="Q2031" s="3"/>
      <c r="R2031" s="3"/>
      <c r="S2031" s="3"/>
      <c r="T2031" s="3"/>
      <c r="U2031" s="3"/>
    </row>
    <row r="2032" spans="2:21" x14ac:dyDescent="0.25">
      <c r="B2032" s="2"/>
      <c r="C2032" s="2"/>
      <c r="D2032" s="4"/>
      <c r="E2032" s="4"/>
      <c r="F2032" s="4"/>
      <c r="Q2032" s="3"/>
      <c r="R2032" s="3"/>
      <c r="S2032" s="3"/>
      <c r="T2032" s="3"/>
      <c r="U2032" s="3"/>
    </row>
    <row r="2033" spans="2:21" x14ac:dyDescent="0.25">
      <c r="B2033" s="2"/>
      <c r="C2033" s="2"/>
      <c r="D2033" s="4"/>
      <c r="E2033" s="4"/>
      <c r="F2033" s="4"/>
      <c r="Q2033" s="3"/>
      <c r="R2033" s="3"/>
      <c r="S2033" s="3"/>
      <c r="T2033" s="3"/>
      <c r="U2033" s="3"/>
    </row>
    <row r="2034" spans="2:21" x14ac:dyDescent="0.25">
      <c r="B2034" s="2"/>
      <c r="C2034" s="2"/>
      <c r="D2034" s="4"/>
      <c r="E2034" s="4"/>
      <c r="F2034" s="4"/>
      <c r="Q2034" s="3"/>
      <c r="R2034" s="3"/>
      <c r="S2034" s="3"/>
      <c r="T2034" s="3"/>
      <c r="U2034" s="3"/>
    </row>
    <row r="2035" spans="2:21" x14ac:dyDescent="0.25">
      <c r="B2035" s="2"/>
      <c r="C2035" s="2"/>
      <c r="D2035" s="4"/>
      <c r="E2035" s="4"/>
      <c r="F2035" s="4"/>
      <c r="Q2035" s="3"/>
      <c r="R2035" s="3"/>
      <c r="S2035" s="3"/>
      <c r="T2035" s="3"/>
      <c r="U2035" s="3"/>
    </row>
    <row r="2036" spans="2:21" x14ac:dyDescent="0.25">
      <c r="B2036" s="2"/>
      <c r="C2036" s="2"/>
      <c r="D2036" s="4"/>
      <c r="E2036" s="4"/>
      <c r="F2036" s="4"/>
      <c r="Q2036" s="3"/>
      <c r="R2036" s="3"/>
      <c r="S2036" s="3"/>
      <c r="T2036" s="3"/>
      <c r="U2036" s="3"/>
    </row>
    <row r="2037" spans="2:21" x14ac:dyDescent="0.25">
      <c r="B2037" s="2"/>
      <c r="C2037" s="2"/>
      <c r="D2037" s="4"/>
      <c r="E2037" s="4"/>
      <c r="F2037" s="4"/>
      <c r="Q2037" s="3"/>
      <c r="R2037" s="3"/>
      <c r="S2037" s="3"/>
      <c r="T2037" s="3"/>
      <c r="U2037" s="3"/>
    </row>
    <row r="2038" spans="2:21" x14ac:dyDescent="0.25">
      <c r="B2038" s="2"/>
      <c r="C2038" s="2"/>
      <c r="D2038" s="4"/>
      <c r="E2038" s="4"/>
      <c r="F2038" s="4"/>
      <c r="Q2038" s="3"/>
      <c r="R2038" s="3"/>
      <c r="S2038" s="3"/>
      <c r="T2038" s="3"/>
      <c r="U2038" s="3"/>
    </row>
    <row r="2039" spans="2:21" x14ac:dyDescent="0.25">
      <c r="B2039" s="2"/>
      <c r="C2039" s="2"/>
      <c r="D2039" s="4"/>
      <c r="E2039" s="4"/>
      <c r="F2039" s="4"/>
      <c r="Q2039" s="3"/>
      <c r="R2039" s="3"/>
      <c r="S2039" s="3"/>
      <c r="T2039" s="3"/>
      <c r="U2039" s="3"/>
    </row>
    <row r="2040" spans="2:21" x14ac:dyDescent="0.25">
      <c r="B2040" s="2"/>
      <c r="C2040" s="2"/>
      <c r="D2040" s="4"/>
      <c r="E2040" s="4"/>
      <c r="F2040" s="4"/>
      <c r="Q2040" s="3"/>
      <c r="R2040" s="3"/>
      <c r="S2040" s="3"/>
      <c r="T2040" s="3"/>
      <c r="U2040" s="3"/>
    </row>
    <row r="2041" spans="2:21" x14ac:dyDescent="0.25">
      <c r="B2041" s="2"/>
      <c r="C2041" s="2"/>
      <c r="D2041" s="4"/>
      <c r="E2041" s="4"/>
      <c r="F2041" s="4"/>
      <c r="Q2041" s="3"/>
      <c r="R2041" s="3"/>
      <c r="S2041" s="3"/>
      <c r="T2041" s="3"/>
      <c r="U2041" s="3"/>
    </row>
    <row r="2042" spans="2:21" x14ac:dyDescent="0.25">
      <c r="B2042" s="2"/>
      <c r="C2042" s="2"/>
      <c r="D2042" s="4"/>
      <c r="E2042" s="4"/>
      <c r="F2042" s="4"/>
      <c r="Q2042" s="3"/>
      <c r="R2042" s="3"/>
      <c r="S2042" s="3"/>
      <c r="T2042" s="3"/>
      <c r="U2042" s="3"/>
    </row>
    <row r="2043" spans="2:21" x14ac:dyDescent="0.25">
      <c r="B2043" s="2"/>
      <c r="C2043" s="2"/>
      <c r="D2043" s="4"/>
      <c r="E2043" s="4"/>
      <c r="F2043" s="4"/>
      <c r="Q2043" s="3"/>
      <c r="R2043" s="3"/>
      <c r="S2043" s="3"/>
      <c r="T2043" s="3"/>
      <c r="U2043" s="3"/>
    </row>
    <row r="2044" spans="2:21" x14ac:dyDescent="0.25">
      <c r="B2044" s="2"/>
      <c r="C2044" s="2"/>
      <c r="D2044" s="4"/>
      <c r="E2044" s="4"/>
      <c r="F2044" s="4"/>
      <c r="Q2044" s="3"/>
      <c r="R2044" s="3"/>
      <c r="S2044" s="3"/>
      <c r="T2044" s="3"/>
      <c r="U2044" s="3"/>
    </row>
    <row r="2045" spans="2:21" x14ac:dyDescent="0.25">
      <c r="B2045" s="2"/>
      <c r="C2045" s="2"/>
      <c r="D2045" s="4"/>
      <c r="E2045" s="4"/>
      <c r="F2045" s="4"/>
      <c r="Q2045" s="3"/>
      <c r="R2045" s="3"/>
      <c r="S2045" s="3"/>
      <c r="T2045" s="3"/>
      <c r="U2045" s="3"/>
    </row>
    <row r="2046" spans="2:21" x14ac:dyDescent="0.25">
      <c r="B2046" s="2"/>
      <c r="C2046" s="2"/>
      <c r="D2046" s="4"/>
      <c r="E2046" s="4"/>
      <c r="F2046" s="4"/>
      <c r="Q2046" s="3"/>
      <c r="R2046" s="3"/>
      <c r="S2046" s="3"/>
      <c r="T2046" s="3"/>
      <c r="U2046" s="3"/>
    </row>
    <row r="2047" spans="2:21" x14ac:dyDescent="0.25">
      <c r="B2047" s="2"/>
      <c r="C2047" s="2"/>
      <c r="D2047" s="4"/>
      <c r="E2047" s="4"/>
      <c r="F2047" s="4"/>
      <c r="Q2047" s="3"/>
      <c r="R2047" s="3"/>
      <c r="S2047" s="3"/>
      <c r="T2047" s="3"/>
      <c r="U2047" s="3"/>
    </row>
    <row r="2048" spans="2:21" x14ac:dyDescent="0.25">
      <c r="B2048" s="2"/>
      <c r="C2048" s="2"/>
      <c r="D2048" s="4"/>
      <c r="E2048" s="4"/>
      <c r="F2048" s="4"/>
      <c r="Q2048" s="3"/>
      <c r="R2048" s="3"/>
      <c r="S2048" s="3"/>
      <c r="T2048" s="3"/>
      <c r="U2048" s="3"/>
    </row>
    <row r="2049" spans="2:21" x14ac:dyDescent="0.25">
      <c r="B2049" s="2"/>
      <c r="C2049" s="2"/>
      <c r="D2049" s="4"/>
      <c r="E2049" s="4"/>
      <c r="F2049" s="4"/>
      <c r="Q2049" s="3"/>
      <c r="R2049" s="3"/>
      <c r="S2049" s="3"/>
      <c r="T2049" s="3"/>
      <c r="U2049" s="3"/>
    </row>
    <row r="2050" spans="2:21" x14ac:dyDescent="0.25">
      <c r="B2050" s="2"/>
      <c r="C2050" s="2"/>
      <c r="D2050" s="4"/>
      <c r="E2050" s="4"/>
      <c r="F2050" s="4"/>
      <c r="Q2050" s="3"/>
      <c r="R2050" s="3"/>
      <c r="S2050" s="3"/>
      <c r="T2050" s="3"/>
      <c r="U2050" s="3"/>
    </row>
    <row r="2051" spans="2:21" x14ac:dyDescent="0.25">
      <c r="B2051" s="2"/>
      <c r="C2051" s="2"/>
      <c r="D2051" s="4"/>
      <c r="E2051" s="4"/>
      <c r="F2051" s="4"/>
      <c r="Q2051" s="3"/>
      <c r="R2051" s="3"/>
      <c r="S2051" s="3"/>
      <c r="T2051" s="3"/>
      <c r="U2051" s="3"/>
    </row>
    <row r="2052" spans="2:21" x14ac:dyDescent="0.25">
      <c r="B2052" s="2"/>
      <c r="C2052" s="2"/>
      <c r="D2052" s="4"/>
      <c r="E2052" s="4"/>
      <c r="F2052" s="4"/>
      <c r="Q2052" s="3"/>
      <c r="R2052" s="3"/>
      <c r="S2052" s="3"/>
      <c r="T2052" s="3"/>
      <c r="U2052" s="3"/>
    </row>
    <row r="2053" spans="2:21" x14ac:dyDescent="0.25">
      <c r="B2053" s="2"/>
      <c r="C2053" s="2"/>
      <c r="D2053" s="4"/>
      <c r="E2053" s="4"/>
      <c r="F2053" s="4"/>
      <c r="Q2053" s="3"/>
      <c r="R2053" s="3"/>
      <c r="S2053" s="3"/>
      <c r="T2053" s="3"/>
      <c r="U2053" s="3"/>
    </row>
    <row r="2054" spans="2:21" x14ac:dyDescent="0.25">
      <c r="B2054" s="2"/>
      <c r="C2054" s="2"/>
      <c r="D2054" s="4"/>
      <c r="E2054" s="4"/>
      <c r="F2054" s="4"/>
      <c r="Q2054" s="3"/>
      <c r="R2054" s="3"/>
      <c r="S2054" s="3"/>
      <c r="T2054" s="3"/>
      <c r="U2054" s="3"/>
    </row>
    <row r="2055" spans="2:21" x14ac:dyDescent="0.25">
      <c r="B2055" s="2"/>
      <c r="C2055" s="2"/>
      <c r="D2055" s="4"/>
      <c r="E2055" s="4"/>
      <c r="F2055" s="4"/>
      <c r="Q2055" s="3"/>
      <c r="R2055" s="3"/>
      <c r="S2055" s="3"/>
      <c r="T2055" s="3"/>
      <c r="U2055" s="3"/>
    </row>
    <row r="2056" spans="2:21" x14ac:dyDescent="0.25">
      <c r="B2056" s="2"/>
      <c r="C2056" s="2"/>
      <c r="D2056" s="4"/>
      <c r="E2056" s="4"/>
      <c r="F2056" s="4"/>
      <c r="Q2056" s="3"/>
      <c r="R2056" s="3"/>
      <c r="S2056" s="3"/>
      <c r="T2056" s="3"/>
      <c r="U2056" s="3"/>
    </row>
    <row r="2057" spans="2:21" x14ac:dyDescent="0.25">
      <c r="B2057" s="2"/>
      <c r="C2057" s="2"/>
      <c r="D2057" s="4"/>
      <c r="E2057" s="4"/>
      <c r="F2057" s="4"/>
      <c r="Q2057" s="3"/>
      <c r="R2057" s="3"/>
      <c r="S2057" s="3"/>
      <c r="T2057" s="3"/>
      <c r="U2057" s="3"/>
    </row>
    <row r="2058" spans="2:21" x14ac:dyDescent="0.25">
      <c r="B2058" s="2"/>
      <c r="C2058" s="2"/>
      <c r="D2058" s="4"/>
      <c r="E2058" s="4"/>
      <c r="F2058" s="4"/>
      <c r="Q2058" s="3"/>
      <c r="R2058" s="3"/>
      <c r="S2058" s="3"/>
      <c r="T2058" s="3"/>
      <c r="U2058" s="3"/>
    </row>
    <row r="2059" spans="2:21" x14ac:dyDescent="0.25">
      <c r="B2059" s="2"/>
      <c r="C2059" s="2"/>
      <c r="D2059" s="4"/>
      <c r="E2059" s="4"/>
      <c r="F2059" s="4"/>
      <c r="Q2059" s="3"/>
      <c r="R2059" s="3"/>
      <c r="S2059" s="3"/>
      <c r="T2059" s="3"/>
      <c r="U2059" s="3"/>
    </row>
    <row r="2060" spans="2:21" x14ac:dyDescent="0.25">
      <c r="B2060" s="2"/>
      <c r="C2060" s="2"/>
      <c r="D2060" s="4"/>
      <c r="E2060" s="4"/>
      <c r="F2060" s="4"/>
      <c r="Q2060" s="3"/>
      <c r="R2060" s="3"/>
      <c r="S2060" s="3"/>
      <c r="T2060" s="3"/>
      <c r="U2060" s="3"/>
    </row>
    <row r="2061" spans="2:21" x14ac:dyDescent="0.25">
      <c r="B2061" s="2"/>
      <c r="C2061" s="2"/>
      <c r="D2061" s="4"/>
      <c r="E2061" s="4"/>
      <c r="F2061" s="4"/>
      <c r="Q2061" s="3"/>
      <c r="R2061" s="3"/>
      <c r="S2061" s="3"/>
      <c r="T2061" s="3"/>
      <c r="U2061" s="3"/>
    </row>
    <row r="2062" spans="2:21" x14ac:dyDescent="0.25">
      <c r="B2062" s="2"/>
      <c r="C2062" s="2"/>
      <c r="D2062" s="4"/>
      <c r="E2062" s="4"/>
      <c r="F2062" s="4"/>
      <c r="Q2062" s="3"/>
      <c r="R2062" s="3"/>
      <c r="S2062" s="3"/>
      <c r="T2062" s="3"/>
      <c r="U2062" s="3"/>
    </row>
    <row r="2063" spans="2:21" x14ac:dyDescent="0.25">
      <c r="B2063" s="2"/>
      <c r="C2063" s="2"/>
      <c r="D2063" s="4"/>
      <c r="E2063" s="4"/>
      <c r="F2063" s="4"/>
      <c r="Q2063" s="3"/>
      <c r="R2063" s="3"/>
      <c r="S2063" s="3"/>
      <c r="T2063" s="3"/>
      <c r="U2063" s="3"/>
    </row>
    <row r="2064" spans="2:21" x14ac:dyDescent="0.25">
      <c r="B2064" s="2"/>
      <c r="C2064" s="2"/>
      <c r="D2064" s="4"/>
      <c r="E2064" s="4"/>
      <c r="F2064" s="4"/>
      <c r="Q2064" s="3"/>
      <c r="R2064" s="3"/>
      <c r="S2064" s="3"/>
      <c r="T2064" s="3"/>
      <c r="U2064" s="3"/>
    </row>
    <row r="2065" spans="2:21" x14ac:dyDescent="0.25">
      <c r="B2065" s="2"/>
      <c r="C2065" s="2"/>
      <c r="D2065" s="4"/>
      <c r="E2065" s="4"/>
      <c r="F2065" s="4"/>
      <c r="Q2065" s="3"/>
      <c r="R2065" s="3"/>
      <c r="S2065" s="3"/>
      <c r="T2065" s="3"/>
      <c r="U2065" s="3"/>
    </row>
    <row r="2066" spans="2:21" x14ac:dyDescent="0.25">
      <c r="B2066" s="2"/>
      <c r="C2066" s="2"/>
      <c r="D2066" s="4"/>
      <c r="E2066" s="4"/>
      <c r="F2066" s="4"/>
      <c r="Q2066" s="3"/>
      <c r="R2066" s="3"/>
      <c r="S2066" s="3"/>
      <c r="T2066" s="3"/>
      <c r="U2066" s="3"/>
    </row>
    <row r="2067" spans="2:21" x14ac:dyDescent="0.25">
      <c r="B2067" s="2"/>
      <c r="C2067" s="2"/>
      <c r="D2067" s="4"/>
      <c r="E2067" s="4"/>
      <c r="F2067" s="4"/>
      <c r="Q2067" s="3"/>
      <c r="R2067" s="3"/>
      <c r="S2067" s="3"/>
      <c r="T2067" s="3"/>
      <c r="U2067" s="3"/>
    </row>
    <row r="2068" spans="2:21" x14ac:dyDescent="0.25">
      <c r="B2068" s="2"/>
      <c r="C2068" s="2"/>
      <c r="D2068" s="4"/>
      <c r="E2068" s="4"/>
      <c r="F2068" s="4"/>
      <c r="Q2068" s="3"/>
      <c r="R2068" s="3"/>
      <c r="S2068" s="3"/>
      <c r="T2068" s="3"/>
      <c r="U2068" s="3"/>
    </row>
    <row r="2069" spans="2:21" x14ac:dyDescent="0.25">
      <c r="B2069" s="2"/>
      <c r="C2069" s="2"/>
      <c r="D2069" s="4"/>
      <c r="E2069" s="4"/>
      <c r="F2069" s="4"/>
      <c r="Q2069" s="3"/>
      <c r="R2069" s="3"/>
      <c r="S2069" s="3"/>
      <c r="T2069" s="3"/>
      <c r="U2069" s="3"/>
    </row>
    <row r="2070" spans="2:21" x14ac:dyDescent="0.25">
      <c r="B2070" s="2"/>
      <c r="C2070" s="2"/>
      <c r="D2070" s="4"/>
      <c r="E2070" s="4"/>
      <c r="F2070" s="4"/>
      <c r="Q2070" s="3"/>
      <c r="R2070" s="3"/>
      <c r="S2070" s="3"/>
      <c r="T2070" s="3"/>
      <c r="U2070" s="3"/>
    </row>
    <row r="2071" spans="2:21" x14ac:dyDescent="0.25">
      <c r="B2071" s="2"/>
      <c r="C2071" s="2"/>
      <c r="D2071" s="4"/>
      <c r="E2071" s="4"/>
      <c r="F2071" s="4"/>
      <c r="Q2071" s="3"/>
      <c r="R2071" s="3"/>
      <c r="S2071" s="3"/>
      <c r="T2071" s="3"/>
      <c r="U2071" s="3"/>
    </row>
    <row r="2072" spans="2:21" x14ac:dyDescent="0.25">
      <c r="B2072" s="2"/>
      <c r="C2072" s="2"/>
      <c r="D2072" s="4"/>
      <c r="E2072" s="4"/>
      <c r="F2072" s="4"/>
      <c r="Q2072" s="3"/>
      <c r="R2072" s="3"/>
      <c r="S2072" s="3"/>
      <c r="T2072" s="3"/>
      <c r="U2072" s="3"/>
    </row>
    <row r="2073" spans="2:21" x14ac:dyDescent="0.25">
      <c r="B2073" s="2"/>
      <c r="C2073" s="2"/>
      <c r="D2073" s="4"/>
      <c r="E2073" s="4"/>
      <c r="F2073" s="4"/>
      <c r="Q2073" s="3"/>
      <c r="R2073" s="3"/>
      <c r="S2073" s="3"/>
      <c r="T2073" s="3"/>
      <c r="U2073" s="3"/>
    </row>
    <row r="2074" spans="2:21" x14ac:dyDescent="0.25">
      <c r="B2074" s="2"/>
      <c r="C2074" s="2"/>
      <c r="D2074" s="4"/>
      <c r="E2074" s="4"/>
      <c r="F2074" s="4"/>
      <c r="Q2074" s="3"/>
      <c r="R2074" s="3"/>
      <c r="S2074" s="3"/>
      <c r="T2074" s="3"/>
      <c r="U2074" s="3"/>
    </row>
    <row r="2075" spans="2:21" x14ac:dyDescent="0.25">
      <c r="B2075" s="2"/>
      <c r="C2075" s="2"/>
      <c r="D2075" s="4"/>
      <c r="E2075" s="4"/>
      <c r="F2075" s="4"/>
      <c r="Q2075" s="3"/>
      <c r="R2075" s="3"/>
      <c r="S2075" s="3"/>
      <c r="T2075" s="3"/>
      <c r="U2075" s="3"/>
    </row>
    <row r="2076" spans="2:21" x14ac:dyDescent="0.25">
      <c r="B2076" s="2"/>
      <c r="C2076" s="2"/>
      <c r="D2076" s="4"/>
      <c r="E2076" s="4"/>
      <c r="F2076" s="4"/>
      <c r="Q2076" s="3"/>
      <c r="R2076" s="3"/>
      <c r="S2076" s="3"/>
      <c r="T2076" s="3"/>
      <c r="U2076" s="3"/>
    </row>
    <row r="2077" spans="2:21" x14ac:dyDescent="0.25">
      <c r="B2077" s="2"/>
      <c r="C2077" s="2"/>
      <c r="D2077" s="4"/>
      <c r="E2077" s="4"/>
      <c r="F2077" s="4"/>
      <c r="Q2077" s="3"/>
      <c r="R2077" s="3"/>
      <c r="S2077" s="3"/>
      <c r="T2077" s="3"/>
      <c r="U2077" s="3"/>
    </row>
    <row r="2078" spans="2:21" x14ac:dyDescent="0.25">
      <c r="B2078" s="2"/>
      <c r="C2078" s="2"/>
      <c r="D2078" s="4"/>
      <c r="E2078" s="4"/>
      <c r="F2078" s="4"/>
      <c r="Q2078" s="3"/>
      <c r="R2078" s="3"/>
      <c r="S2078" s="3"/>
      <c r="T2078" s="3"/>
      <c r="U2078" s="3"/>
    </row>
    <row r="2079" spans="2:21" x14ac:dyDescent="0.25">
      <c r="B2079" s="2"/>
      <c r="C2079" s="2"/>
      <c r="D2079" s="4"/>
      <c r="E2079" s="4"/>
      <c r="F2079" s="4"/>
      <c r="Q2079" s="3"/>
      <c r="R2079" s="3"/>
      <c r="S2079" s="3"/>
      <c r="T2079" s="3"/>
      <c r="U2079" s="3"/>
    </row>
    <row r="2080" spans="2:21" x14ac:dyDescent="0.25">
      <c r="B2080" s="2"/>
      <c r="C2080" s="2"/>
      <c r="D2080" s="4"/>
      <c r="E2080" s="4"/>
      <c r="F2080" s="4"/>
      <c r="Q2080" s="3"/>
      <c r="R2080" s="3"/>
      <c r="S2080" s="3"/>
      <c r="T2080" s="3"/>
      <c r="U2080" s="3"/>
    </row>
    <row r="2081" spans="2:21" x14ac:dyDescent="0.25">
      <c r="B2081" s="2"/>
      <c r="C2081" s="2"/>
      <c r="D2081" s="4"/>
      <c r="E2081" s="4"/>
      <c r="F2081" s="4"/>
      <c r="Q2081" s="3"/>
      <c r="R2081" s="3"/>
      <c r="S2081" s="3"/>
      <c r="T2081" s="3"/>
      <c r="U2081" s="3"/>
    </row>
    <row r="2082" spans="2:21" x14ac:dyDescent="0.25">
      <c r="B2082" s="2"/>
      <c r="C2082" s="2"/>
      <c r="D2082" s="4"/>
      <c r="E2082" s="4"/>
      <c r="F2082" s="4"/>
      <c r="Q2082" s="3"/>
      <c r="R2082" s="3"/>
      <c r="S2082" s="3"/>
      <c r="T2082" s="3"/>
      <c r="U2082" s="3"/>
    </row>
    <row r="2083" spans="2:21" x14ac:dyDescent="0.25">
      <c r="B2083" s="2"/>
      <c r="C2083" s="2"/>
      <c r="D2083" s="4"/>
      <c r="E2083" s="4"/>
      <c r="F2083" s="4"/>
      <c r="Q2083" s="3"/>
      <c r="R2083" s="3"/>
      <c r="S2083" s="3"/>
      <c r="T2083" s="3"/>
      <c r="U2083" s="3"/>
    </row>
    <row r="2084" spans="2:21" x14ac:dyDescent="0.25">
      <c r="B2084" s="2"/>
      <c r="C2084" s="2"/>
      <c r="D2084" s="4"/>
      <c r="E2084" s="4"/>
      <c r="F2084" s="4"/>
      <c r="Q2084" s="3"/>
      <c r="R2084" s="3"/>
      <c r="S2084" s="3"/>
      <c r="T2084" s="3"/>
      <c r="U2084" s="3"/>
    </row>
    <row r="2085" spans="2:21" x14ac:dyDescent="0.25">
      <c r="B2085" s="2"/>
      <c r="C2085" s="2"/>
      <c r="D2085" s="4"/>
      <c r="E2085" s="4"/>
      <c r="F2085" s="4"/>
      <c r="Q2085" s="3"/>
      <c r="R2085" s="3"/>
      <c r="S2085" s="3"/>
      <c r="T2085" s="3"/>
      <c r="U2085" s="3"/>
    </row>
    <row r="2086" spans="2:21" x14ac:dyDescent="0.25">
      <c r="B2086" s="2"/>
      <c r="C2086" s="2"/>
      <c r="D2086" s="4"/>
      <c r="E2086" s="4"/>
      <c r="F2086" s="4"/>
      <c r="Q2086" s="3"/>
      <c r="R2086" s="3"/>
      <c r="S2086" s="3"/>
      <c r="T2086" s="3"/>
      <c r="U2086" s="3"/>
    </row>
    <row r="2087" spans="2:21" x14ac:dyDescent="0.25">
      <c r="B2087" s="2"/>
      <c r="C2087" s="2"/>
      <c r="D2087" s="4"/>
      <c r="E2087" s="4"/>
      <c r="F2087" s="4"/>
      <c r="Q2087" s="3"/>
      <c r="R2087" s="3"/>
      <c r="S2087" s="3"/>
      <c r="T2087" s="3"/>
      <c r="U2087" s="3"/>
    </row>
    <row r="2088" spans="2:21" x14ac:dyDescent="0.25">
      <c r="B2088" s="2"/>
      <c r="C2088" s="2"/>
      <c r="D2088" s="4"/>
      <c r="E2088" s="4"/>
      <c r="F2088" s="4"/>
      <c r="Q2088" s="3"/>
      <c r="R2088" s="3"/>
      <c r="S2088" s="3"/>
      <c r="T2088" s="3"/>
      <c r="U2088" s="3"/>
    </row>
    <row r="2089" spans="2:21" x14ac:dyDescent="0.25">
      <c r="B2089" s="2"/>
      <c r="C2089" s="2"/>
      <c r="D2089" s="4"/>
      <c r="E2089" s="4"/>
      <c r="F2089" s="4"/>
      <c r="Q2089" s="3"/>
      <c r="R2089" s="3"/>
      <c r="S2089" s="3"/>
      <c r="T2089" s="3"/>
      <c r="U2089" s="3"/>
    </row>
    <row r="2090" spans="2:21" x14ac:dyDescent="0.25">
      <c r="B2090" s="2"/>
      <c r="C2090" s="2"/>
      <c r="D2090" s="4"/>
      <c r="E2090" s="4"/>
      <c r="F2090" s="4"/>
      <c r="Q2090" s="3"/>
      <c r="R2090" s="3"/>
      <c r="S2090" s="3"/>
      <c r="T2090" s="3"/>
      <c r="U2090" s="3"/>
    </row>
    <row r="2091" spans="2:21" x14ac:dyDescent="0.25">
      <c r="B2091" s="2"/>
      <c r="C2091" s="2"/>
      <c r="D2091" s="4"/>
      <c r="E2091" s="4"/>
      <c r="F2091" s="4"/>
      <c r="Q2091" s="3"/>
      <c r="R2091" s="3"/>
      <c r="S2091" s="3"/>
      <c r="T2091" s="3"/>
      <c r="U2091" s="3"/>
    </row>
    <row r="2092" spans="2:21" x14ac:dyDescent="0.25">
      <c r="B2092" s="2"/>
      <c r="C2092" s="2"/>
      <c r="D2092" s="4"/>
      <c r="E2092" s="4"/>
      <c r="F2092" s="4"/>
      <c r="Q2092" s="3"/>
      <c r="R2092" s="3"/>
      <c r="S2092" s="3"/>
      <c r="T2092" s="3"/>
      <c r="U2092" s="3"/>
    </row>
    <row r="2093" spans="2:21" x14ac:dyDescent="0.25">
      <c r="B2093" s="2"/>
      <c r="C2093" s="2"/>
      <c r="D2093" s="4"/>
      <c r="E2093" s="4"/>
      <c r="F2093" s="4"/>
      <c r="Q2093" s="3"/>
      <c r="R2093" s="3"/>
      <c r="S2093" s="3"/>
      <c r="T2093" s="3"/>
      <c r="U2093" s="3"/>
    </row>
    <row r="2094" spans="2:21" x14ac:dyDescent="0.25">
      <c r="B2094" s="2"/>
      <c r="C2094" s="2"/>
      <c r="D2094" s="4"/>
      <c r="E2094" s="4"/>
      <c r="F2094" s="4"/>
      <c r="Q2094" s="3"/>
      <c r="R2094" s="3"/>
      <c r="S2094" s="3"/>
      <c r="T2094" s="3"/>
      <c r="U2094" s="3"/>
    </row>
    <row r="2095" spans="2:21" x14ac:dyDescent="0.25">
      <c r="B2095" s="2"/>
      <c r="C2095" s="2"/>
      <c r="D2095" s="4"/>
      <c r="E2095" s="4"/>
      <c r="F2095" s="4"/>
      <c r="Q2095" s="3"/>
      <c r="R2095" s="3"/>
      <c r="S2095" s="3"/>
      <c r="T2095" s="3"/>
      <c r="U2095" s="3"/>
    </row>
    <row r="2096" spans="2:21" x14ac:dyDescent="0.25">
      <c r="B2096" s="2"/>
      <c r="C2096" s="2"/>
      <c r="D2096" s="4"/>
      <c r="E2096" s="4"/>
      <c r="F2096" s="4"/>
      <c r="Q2096" s="3"/>
      <c r="R2096" s="3"/>
      <c r="S2096" s="3"/>
      <c r="T2096" s="3"/>
      <c r="U2096" s="3"/>
    </row>
    <row r="2097" spans="2:21" x14ac:dyDescent="0.25">
      <c r="B2097" s="2"/>
      <c r="C2097" s="2"/>
      <c r="D2097" s="4"/>
      <c r="E2097" s="4"/>
      <c r="F2097" s="4"/>
      <c r="Q2097" s="3"/>
      <c r="R2097" s="3"/>
      <c r="S2097" s="3"/>
      <c r="T2097" s="3"/>
      <c r="U2097" s="3"/>
    </row>
    <row r="2098" spans="2:21" x14ac:dyDescent="0.25">
      <c r="B2098" s="2"/>
      <c r="C2098" s="2"/>
      <c r="D2098" s="4"/>
      <c r="E2098" s="4"/>
      <c r="F2098" s="4"/>
      <c r="Q2098" s="3"/>
      <c r="R2098" s="3"/>
      <c r="S2098" s="3"/>
      <c r="T2098" s="3"/>
      <c r="U2098" s="3"/>
    </row>
    <row r="2099" spans="2:21" x14ac:dyDescent="0.25">
      <c r="B2099" s="2"/>
      <c r="C2099" s="2"/>
      <c r="D2099" s="4"/>
      <c r="E2099" s="4"/>
      <c r="F2099" s="4"/>
      <c r="Q2099" s="3"/>
      <c r="R2099" s="3"/>
      <c r="S2099" s="3"/>
      <c r="T2099" s="3"/>
      <c r="U2099" s="3"/>
    </row>
    <row r="2100" spans="2:21" x14ac:dyDescent="0.25">
      <c r="B2100" s="2"/>
      <c r="C2100" s="2"/>
      <c r="D2100" s="4"/>
      <c r="E2100" s="4"/>
      <c r="F2100" s="4"/>
      <c r="Q2100" s="3"/>
      <c r="R2100" s="3"/>
      <c r="S2100" s="3"/>
      <c r="T2100" s="3"/>
      <c r="U2100" s="3"/>
    </row>
    <row r="2101" spans="2:21" x14ac:dyDescent="0.25">
      <c r="B2101" s="2"/>
      <c r="C2101" s="2"/>
      <c r="D2101" s="4"/>
      <c r="E2101" s="4"/>
      <c r="F2101" s="4"/>
      <c r="Q2101" s="3"/>
      <c r="R2101" s="3"/>
      <c r="S2101" s="3"/>
      <c r="T2101" s="3"/>
      <c r="U2101" s="3"/>
    </row>
    <row r="2102" spans="2:21" x14ac:dyDescent="0.25">
      <c r="B2102" s="2"/>
      <c r="C2102" s="2"/>
      <c r="D2102" s="4"/>
      <c r="E2102" s="4"/>
      <c r="F2102" s="4"/>
      <c r="Q2102" s="3"/>
      <c r="R2102" s="3"/>
      <c r="S2102" s="3"/>
      <c r="T2102" s="3"/>
      <c r="U2102" s="3"/>
    </row>
    <row r="2103" spans="2:21" x14ac:dyDescent="0.25">
      <c r="B2103" s="2"/>
      <c r="C2103" s="2"/>
      <c r="D2103" s="4"/>
      <c r="E2103" s="4"/>
      <c r="F2103" s="4"/>
      <c r="Q2103" s="3"/>
      <c r="R2103" s="3"/>
      <c r="S2103" s="3"/>
      <c r="T2103" s="3"/>
      <c r="U2103" s="3"/>
    </row>
    <row r="2104" spans="2:21" x14ac:dyDescent="0.25">
      <c r="B2104" s="2"/>
      <c r="C2104" s="2"/>
      <c r="D2104" s="4"/>
      <c r="E2104" s="4"/>
      <c r="F2104" s="4"/>
      <c r="Q2104" s="3"/>
      <c r="R2104" s="3"/>
      <c r="S2104" s="3"/>
      <c r="T2104" s="3"/>
      <c r="U2104" s="3"/>
    </row>
    <row r="2105" spans="2:21" x14ac:dyDescent="0.25">
      <c r="B2105" s="2"/>
      <c r="C2105" s="2"/>
      <c r="D2105" s="4"/>
      <c r="E2105" s="4"/>
      <c r="F2105" s="4"/>
      <c r="Q2105" s="3"/>
      <c r="R2105" s="3"/>
      <c r="S2105" s="3"/>
      <c r="T2105" s="3"/>
      <c r="U2105" s="3"/>
    </row>
    <row r="2106" spans="2:21" x14ac:dyDescent="0.25">
      <c r="B2106" s="2"/>
      <c r="C2106" s="2"/>
      <c r="D2106" s="4"/>
      <c r="E2106" s="4"/>
      <c r="F2106" s="4"/>
      <c r="Q2106" s="3"/>
      <c r="R2106" s="3"/>
      <c r="S2106" s="3"/>
      <c r="T2106" s="3"/>
      <c r="U2106" s="3"/>
    </row>
    <row r="2107" spans="2:21" x14ac:dyDescent="0.25">
      <c r="B2107" s="2"/>
      <c r="C2107" s="2"/>
      <c r="D2107" s="4"/>
      <c r="E2107" s="4"/>
      <c r="F2107" s="4"/>
      <c r="Q2107" s="3"/>
      <c r="R2107" s="3"/>
      <c r="S2107" s="3"/>
      <c r="T2107" s="3"/>
      <c r="U2107" s="3"/>
    </row>
    <row r="2108" spans="2:21" x14ac:dyDescent="0.25">
      <c r="B2108" s="2"/>
      <c r="C2108" s="2"/>
      <c r="D2108" s="4"/>
      <c r="E2108" s="4"/>
      <c r="F2108" s="4"/>
      <c r="Q2108" s="3"/>
      <c r="R2108" s="3"/>
      <c r="S2108" s="3"/>
      <c r="T2108" s="3"/>
      <c r="U2108" s="3"/>
    </row>
    <row r="2109" spans="2:21" x14ac:dyDescent="0.25">
      <c r="B2109" s="2"/>
      <c r="C2109" s="2"/>
      <c r="D2109" s="4"/>
      <c r="E2109" s="4"/>
      <c r="F2109" s="4"/>
      <c r="Q2109" s="3"/>
      <c r="R2109" s="3"/>
      <c r="S2109" s="3"/>
      <c r="T2109" s="3"/>
      <c r="U2109" s="3"/>
    </row>
    <row r="2110" spans="2:21" x14ac:dyDescent="0.25">
      <c r="B2110" s="2"/>
      <c r="C2110" s="2"/>
      <c r="D2110" s="4"/>
      <c r="E2110" s="4"/>
      <c r="F2110" s="4"/>
      <c r="Q2110" s="3"/>
      <c r="R2110" s="3"/>
      <c r="S2110" s="3"/>
      <c r="T2110" s="3"/>
      <c r="U2110" s="3"/>
    </row>
    <row r="2111" spans="2:21" x14ac:dyDescent="0.25">
      <c r="B2111" s="2"/>
      <c r="C2111" s="2"/>
      <c r="D2111" s="4"/>
      <c r="E2111" s="4"/>
      <c r="F2111" s="4"/>
      <c r="Q2111" s="3"/>
      <c r="R2111" s="3"/>
      <c r="S2111" s="3"/>
      <c r="T2111" s="3"/>
      <c r="U2111" s="3"/>
    </row>
    <row r="2112" spans="2:21" x14ac:dyDescent="0.25">
      <c r="B2112" s="2"/>
      <c r="C2112" s="2"/>
      <c r="D2112" s="4"/>
      <c r="E2112" s="4"/>
      <c r="F2112" s="4"/>
      <c r="Q2112" s="3"/>
      <c r="R2112" s="3"/>
      <c r="S2112" s="3"/>
      <c r="T2112" s="3"/>
      <c r="U2112" s="3"/>
    </row>
    <row r="2113" spans="2:21" x14ac:dyDescent="0.25">
      <c r="B2113" s="2"/>
      <c r="C2113" s="2"/>
      <c r="D2113" s="4"/>
      <c r="E2113" s="4"/>
      <c r="F2113" s="4"/>
      <c r="Q2113" s="3"/>
      <c r="R2113" s="3"/>
      <c r="S2113" s="3"/>
      <c r="T2113" s="3"/>
      <c r="U2113" s="3"/>
    </row>
    <row r="2114" spans="2:21" x14ac:dyDescent="0.25">
      <c r="B2114" s="2"/>
      <c r="C2114" s="2"/>
      <c r="D2114" s="4"/>
      <c r="E2114" s="4"/>
      <c r="F2114" s="4"/>
      <c r="Q2114" s="3"/>
      <c r="R2114" s="3"/>
      <c r="S2114" s="3"/>
      <c r="T2114" s="3"/>
      <c r="U2114" s="3"/>
    </row>
    <row r="2115" spans="2:21" x14ac:dyDescent="0.25">
      <c r="B2115" s="2"/>
      <c r="C2115" s="2"/>
      <c r="D2115" s="4"/>
      <c r="E2115" s="4"/>
      <c r="F2115" s="4"/>
      <c r="Q2115" s="3"/>
      <c r="R2115" s="3"/>
      <c r="S2115" s="3"/>
      <c r="T2115" s="3"/>
      <c r="U2115" s="3"/>
    </row>
    <row r="2116" spans="2:21" x14ac:dyDescent="0.25">
      <c r="B2116" s="2"/>
      <c r="C2116" s="2"/>
      <c r="D2116" s="4"/>
      <c r="E2116" s="4"/>
      <c r="F2116" s="4"/>
      <c r="Q2116" s="3"/>
      <c r="R2116" s="3"/>
      <c r="S2116" s="3"/>
      <c r="T2116" s="3"/>
      <c r="U2116" s="3"/>
    </row>
    <row r="2117" spans="2:21" x14ac:dyDescent="0.25">
      <c r="B2117" s="2"/>
      <c r="C2117" s="2"/>
      <c r="D2117" s="4"/>
      <c r="E2117" s="4"/>
      <c r="F2117" s="4"/>
      <c r="Q2117" s="3"/>
      <c r="R2117" s="3"/>
      <c r="S2117" s="3"/>
      <c r="T2117" s="3"/>
      <c r="U2117" s="3"/>
    </row>
    <row r="2118" spans="2:21" x14ac:dyDescent="0.25">
      <c r="B2118" s="2"/>
      <c r="C2118" s="2"/>
      <c r="D2118" s="4"/>
      <c r="E2118" s="4"/>
      <c r="F2118" s="4"/>
      <c r="Q2118" s="3"/>
      <c r="R2118" s="3"/>
      <c r="S2118" s="3"/>
      <c r="T2118" s="3"/>
      <c r="U2118" s="3"/>
    </row>
    <row r="2119" spans="2:21" x14ac:dyDescent="0.25">
      <c r="B2119" s="2"/>
      <c r="C2119" s="2"/>
      <c r="D2119" s="4"/>
      <c r="E2119" s="4"/>
      <c r="F2119" s="4"/>
      <c r="Q2119" s="3"/>
      <c r="R2119" s="3"/>
      <c r="S2119" s="3"/>
      <c r="T2119" s="3"/>
      <c r="U2119" s="3"/>
    </row>
    <row r="2120" spans="2:21" x14ac:dyDescent="0.25">
      <c r="B2120" s="2"/>
      <c r="C2120" s="2"/>
      <c r="D2120" s="4"/>
      <c r="E2120" s="4"/>
      <c r="F2120" s="4"/>
      <c r="Q2120" s="3"/>
      <c r="R2120" s="3"/>
      <c r="S2120" s="3"/>
      <c r="T2120" s="3"/>
      <c r="U2120" s="3"/>
    </row>
    <row r="2121" spans="2:21" x14ac:dyDescent="0.25">
      <c r="B2121" s="2"/>
      <c r="C2121" s="2"/>
      <c r="D2121" s="4"/>
      <c r="E2121" s="4"/>
      <c r="F2121" s="4"/>
      <c r="Q2121" s="3"/>
      <c r="R2121" s="3"/>
      <c r="S2121" s="3"/>
      <c r="T2121" s="3"/>
      <c r="U2121" s="3"/>
    </row>
    <row r="2122" spans="2:21" x14ac:dyDescent="0.25">
      <c r="B2122" s="2"/>
      <c r="C2122" s="2"/>
      <c r="D2122" s="4"/>
      <c r="E2122" s="4"/>
      <c r="F2122" s="4"/>
      <c r="Q2122" s="3"/>
      <c r="R2122" s="3"/>
      <c r="S2122" s="3"/>
      <c r="T2122" s="3"/>
      <c r="U2122" s="3"/>
    </row>
    <row r="2123" spans="2:21" x14ac:dyDescent="0.25">
      <c r="B2123" s="2"/>
      <c r="C2123" s="2"/>
      <c r="D2123" s="4"/>
      <c r="E2123" s="4"/>
      <c r="F2123" s="4"/>
      <c r="Q2123" s="3"/>
      <c r="R2123" s="3"/>
      <c r="S2123" s="3"/>
      <c r="T2123" s="3"/>
      <c r="U2123" s="3"/>
    </row>
    <row r="2124" spans="2:21" x14ac:dyDescent="0.25">
      <c r="B2124" s="2"/>
      <c r="C2124" s="2"/>
      <c r="D2124" s="4"/>
      <c r="E2124" s="4"/>
      <c r="F2124" s="4"/>
      <c r="Q2124" s="3"/>
      <c r="R2124" s="3"/>
      <c r="S2124" s="3"/>
      <c r="T2124" s="3"/>
      <c r="U2124" s="3"/>
    </row>
    <row r="2125" spans="2:21" x14ac:dyDescent="0.25">
      <c r="B2125" s="2"/>
      <c r="C2125" s="2"/>
      <c r="D2125" s="4"/>
      <c r="E2125" s="4"/>
      <c r="F2125" s="4"/>
      <c r="Q2125" s="3"/>
      <c r="R2125" s="3"/>
      <c r="S2125" s="3"/>
      <c r="T2125" s="3"/>
      <c r="U2125" s="3"/>
    </row>
    <row r="2126" spans="2:21" x14ac:dyDescent="0.25">
      <c r="B2126" s="2"/>
      <c r="C2126" s="2"/>
      <c r="D2126" s="4"/>
      <c r="E2126" s="4"/>
      <c r="F2126" s="4"/>
      <c r="Q2126" s="3"/>
      <c r="R2126" s="3"/>
      <c r="S2126" s="3"/>
      <c r="T2126" s="3"/>
      <c r="U2126" s="3"/>
    </row>
    <row r="2127" spans="2:21" x14ac:dyDescent="0.25">
      <c r="B2127" s="2"/>
      <c r="C2127" s="2"/>
      <c r="D2127" s="4"/>
      <c r="E2127" s="4"/>
      <c r="F2127" s="4"/>
      <c r="Q2127" s="3"/>
      <c r="R2127" s="3"/>
      <c r="S2127" s="3"/>
      <c r="T2127" s="3"/>
      <c r="U2127" s="3"/>
    </row>
    <row r="2128" spans="2:21" x14ac:dyDescent="0.25">
      <c r="B2128" s="2"/>
      <c r="C2128" s="2"/>
      <c r="D2128" s="4"/>
      <c r="E2128" s="4"/>
      <c r="F2128" s="4"/>
      <c r="Q2128" s="3"/>
      <c r="R2128" s="3"/>
      <c r="S2128" s="3"/>
      <c r="T2128" s="3"/>
      <c r="U2128" s="3"/>
    </row>
    <row r="2129" spans="2:21" x14ac:dyDescent="0.25">
      <c r="B2129" s="2"/>
      <c r="C2129" s="2"/>
      <c r="D2129" s="4"/>
      <c r="E2129" s="4"/>
      <c r="F2129" s="4"/>
      <c r="Q2129" s="3"/>
      <c r="R2129" s="3"/>
      <c r="S2129" s="3"/>
      <c r="T2129" s="3"/>
      <c r="U2129" s="3"/>
    </row>
    <row r="2130" spans="2:21" x14ac:dyDescent="0.25">
      <c r="B2130" s="2"/>
      <c r="C2130" s="2"/>
      <c r="D2130" s="4"/>
      <c r="E2130" s="4"/>
      <c r="F2130" s="4"/>
      <c r="Q2130" s="3"/>
      <c r="R2130" s="3"/>
      <c r="S2130" s="3"/>
      <c r="T2130" s="3"/>
      <c r="U2130" s="3"/>
    </row>
    <row r="2131" spans="2:21" x14ac:dyDescent="0.25">
      <c r="B2131" s="2"/>
      <c r="C2131" s="2"/>
      <c r="D2131" s="4"/>
      <c r="E2131" s="4"/>
      <c r="F2131" s="4"/>
      <c r="Q2131" s="3"/>
      <c r="R2131" s="3"/>
      <c r="S2131" s="3"/>
      <c r="T2131" s="3"/>
      <c r="U2131" s="3"/>
    </row>
    <row r="2132" spans="2:21" x14ac:dyDescent="0.25">
      <c r="B2132" s="2"/>
      <c r="C2132" s="2"/>
      <c r="D2132" s="4"/>
      <c r="E2132" s="4"/>
      <c r="F2132" s="4"/>
      <c r="Q2132" s="3"/>
      <c r="R2132" s="3"/>
      <c r="S2132" s="3"/>
      <c r="T2132" s="3"/>
      <c r="U2132" s="3"/>
    </row>
    <row r="2133" spans="2:21" x14ac:dyDescent="0.25">
      <c r="B2133" s="2"/>
      <c r="C2133" s="2"/>
      <c r="D2133" s="4"/>
      <c r="E2133" s="4"/>
      <c r="F2133" s="4"/>
      <c r="Q2133" s="3"/>
      <c r="R2133" s="3"/>
      <c r="S2133" s="3"/>
      <c r="T2133" s="3"/>
      <c r="U2133" s="3"/>
    </row>
    <row r="2134" spans="2:21" x14ac:dyDescent="0.25">
      <c r="B2134" s="2"/>
      <c r="C2134" s="2"/>
      <c r="D2134" s="4"/>
      <c r="E2134" s="4"/>
      <c r="F2134" s="4"/>
      <c r="Q2134" s="3"/>
      <c r="R2134" s="3"/>
      <c r="S2134" s="3"/>
      <c r="T2134" s="3"/>
      <c r="U2134" s="3"/>
    </row>
    <row r="2135" spans="2:21" x14ac:dyDescent="0.25">
      <c r="B2135" s="2"/>
      <c r="C2135" s="2"/>
      <c r="D2135" s="4"/>
      <c r="E2135" s="4"/>
      <c r="F2135" s="4"/>
      <c r="Q2135" s="3"/>
      <c r="R2135" s="3"/>
      <c r="S2135" s="3"/>
      <c r="T2135" s="3"/>
      <c r="U2135" s="3"/>
    </row>
    <row r="2136" spans="2:21" x14ac:dyDescent="0.25">
      <c r="B2136" s="2"/>
      <c r="C2136" s="2"/>
      <c r="D2136" s="4"/>
      <c r="E2136" s="4"/>
      <c r="F2136" s="4"/>
      <c r="Q2136" s="3"/>
      <c r="R2136" s="3"/>
      <c r="S2136" s="3"/>
      <c r="T2136" s="3"/>
      <c r="U2136" s="3"/>
    </row>
    <row r="2137" spans="2:21" x14ac:dyDescent="0.25">
      <c r="B2137" s="2"/>
      <c r="C2137" s="2"/>
      <c r="D2137" s="4"/>
      <c r="E2137" s="4"/>
      <c r="F2137" s="4"/>
      <c r="Q2137" s="3"/>
      <c r="R2137" s="3"/>
      <c r="S2137" s="3"/>
      <c r="T2137" s="3"/>
      <c r="U2137" s="3"/>
    </row>
    <row r="2138" spans="2:21" x14ac:dyDescent="0.25">
      <c r="B2138" s="2"/>
      <c r="C2138" s="2"/>
      <c r="D2138" s="4"/>
      <c r="E2138" s="4"/>
      <c r="F2138" s="4"/>
      <c r="Q2138" s="3"/>
      <c r="R2138" s="3"/>
      <c r="S2138" s="3"/>
      <c r="T2138" s="3"/>
      <c r="U2138" s="3"/>
    </row>
    <row r="2139" spans="2:21" x14ac:dyDescent="0.25">
      <c r="B2139" s="2"/>
      <c r="C2139" s="2"/>
      <c r="D2139" s="4"/>
      <c r="E2139" s="4"/>
      <c r="F2139" s="4"/>
      <c r="Q2139" s="3"/>
      <c r="R2139" s="3"/>
      <c r="S2139" s="3"/>
      <c r="T2139" s="3"/>
      <c r="U2139" s="3"/>
    </row>
    <row r="2140" spans="2:21" x14ac:dyDescent="0.25">
      <c r="B2140" s="2"/>
      <c r="C2140" s="2"/>
      <c r="D2140" s="4"/>
      <c r="E2140" s="4"/>
      <c r="F2140" s="4"/>
      <c r="Q2140" s="3"/>
      <c r="R2140" s="3"/>
      <c r="S2140" s="3"/>
      <c r="T2140" s="3"/>
      <c r="U2140" s="3"/>
    </row>
    <row r="2141" spans="2:21" x14ac:dyDescent="0.25">
      <c r="B2141" s="2"/>
      <c r="C2141" s="2"/>
      <c r="D2141" s="4"/>
      <c r="E2141" s="4"/>
      <c r="F2141" s="4"/>
      <c r="Q2141" s="3"/>
      <c r="R2141" s="3"/>
      <c r="S2141" s="3"/>
      <c r="T2141" s="3"/>
      <c r="U2141" s="3"/>
    </row>
    <row r="2142" spans="2:21" x14ac:dyDescent="0.25">
      <c r="B2142" s="2"/>
      <c r="C2142" s="2"/>
      <c r="D2142" s="4"/>
      <c r="E2142" s="4"/>
      <c r="F2142" s="4"/>
      <c r="Q2142" s="3"/>
      <c r="R2142" s="3"/>
      <c r="S2142" s="3"/>
      <c r="T2142" s="3"/>
      <c r="U2142" s="3"/>
    </row>
    <row r="2143" spans="2:21" x14ac:dyDescent="0.25">
      <c r="B2143" s="2"/>
      <c r="C2143" s="2"/>
      <c r="D2143" s="4"/>
      <c r="E2143" s="4"/>
      <c r="F2143" s="4"/>
      <c r="Q2143" s="3"/>
      <c r="R2143" s="3"/>
      <c r="S2143" s="3"/>
      <c r="T2143" s="3"/>
      <c r="U2143" s="3"/>
    </row>
    <row r="2144" spans="2:21" x14ac:dyDescent="0.25">
      <c r="B2144" s="2"/>
      <c r="C2144" s="2"/>
      <c r="D2144" s="4"/>
      <c r="E2144" s="4"/>
      <c r="F2144" s="4"/>
      <c r="Q2144" s="3"/>
      <c r="R2144" s="3"/>
      <c r="S2144" s="3"/>
      <c r="T2144" s="3"/>
      <c r="U2144" s="3"/>
    </row>
    <row r="2145" spans="2:21" x14ac:dyDescent="0.25">
      <c r="B2145" s="2"/>
      <c r="C2145" s="2"/>
      <c r="D2145" s="4"/>
      <c r="E2145" s="4"/>
      <c r="F2145" s="4"/>
      <c r="Q2145" s="3"/>
      <c r="R2145" s="3"/>
      <c r="S2145" s="3"/>
      <c r="T2145" s="3"/>
      <c r="U2145" s="3"/>
    </row>
    <row r="2146" spans="2:21" x14ac:dyDescent="0.25">
      <c r="B2146" s="2"/>
      <c r="C2146" s="2"/>
      <c r="D2146" s="4"/>
      <c r="E2146" s="4"/>
      <c r="F2146" s="4"/>
      <c r="Q2146" s="3"/>
      <c r="R2146" s="3"/>
      <c r="S2146" s="3"/>
      <c r="T2146" s="3"/>
      <c r="U2146" s="3"/>
    </row>
    <row r="2147" spans="2:21" x14ac:dyDescent="0.25">
      <c r="B2147" s="2"/>
      <c r="C2147" s="2"/>
      <c r="D2147" s="4"/>
      <c r="E2147" s="4"/>
      <c r="F2147" s="4"/>
      <c r="Q2147" s="3"/>
      <c r="R2147" s="3"/>
      <c r="S2147" s="3"/>
      <c r="T2147" s="3"/>
      <c r="U2147" s="3"/>
    </row>
    <row r="2148" spans="2:21" x14ac:dyDescent="0.25">
      <c r="B2148" s="2"/>
      <c r="C2148" s="2"/>
      <c r="D2148" s="4"/>
      <c r="E2148" s="4"/>
      <c r="F2148" s="4"/>
      <c r="Q2148" s="3"/>
      <c r="R2148" s="3"/>
      <c r="S2148" s="3"/>
      <c r="T2148" s="3"/>
      <c r="U2148" s="3"/>
    </row>
    <row r="2149" spans="2:21" x14ac:dyDescent="0.25">
      <c r="B2149" s="2"/>
      <c r="C2149" s="2"/>
      <c r="D2149" s="4"/>
      <c r="E2149" s="4"/>
      <c r="F2149" s="4"/>
      <c r="Q2149" s="3"/>
      <c r="R2149" s="3"/>
      <c r="S2149" s="3"/>
      <c r="T2149" s="3"/>
      <c r="U2149" s="3"/>
    </row>
    <row r="2150" spans="2:21" x14ac:dyDescent="0.25">
      <c r="B2150" s="2"/>
      <c r="C2150" s="2"/>
      <c r="D2150" s="4"/>
      <c r="E2150" s="4"/>
      <c r="F2150" s="4"/>
      <c r="Q2150" s="3"/>
      <c r="R2150" s="3"/>
      <c r="S2150" s="3"/>
      <c r="T2150" s="3"/>
      <c r="U2150" s="3"/>
    </row>
    <row r="2151" spans="2:21" x14ac:dyDescent="0.25">
      <c r="B2151" s="2"/>
      <c r="C2151" s="2"/>
      <c r="D2151" s="4"/>
      <c r="E2151" s="4"/>
      <c r="F2151" s="4"/>
      <c r="Q2151" s="3"/>
      <c r="R2151" s="3"/>
      <c r="S2151" s="3"/>
      <c r="T2151" s="3"/>
      <c r="U2151" s="3"/>
    </row>
    <row r="2152" spans="2:21" x14ac:dyDescent="0.25">
      <c r="B2152" s="2"/>
      <c r="C2152" s="2"/>
      <c r="D2152" s="4"/>
      <c r="E2152" s="4"/>
      <c r="F2152" s="4"/>
      <c r="Q2152" s="3"/>
      <c r="R2152" s="3"/>
      <c r="S2152" s="3"/>
      <c r="T2152" s="3"/>
      <c r="U2152" s="3"/>
    </row>
    <row r="2153" spans="2:21" x14ac:dyDescent="0.25">
      <c r="B2153" s="2"/>
      <c r="C2153" s="2"/>
      <c r="D2153" s="4"/>
      <c r="E2153" s="4"/>
      <c r="F2153" s="4"/>
      <c r="Q2153" s="3"/>
      <c r="R2153" s="3"/>
      <c r="S2153" s="3"/>
      <c r="T2153" s="3"/>
      <c r="U2153" s="3"/>
    </row>
    <row r="2154" spans="2:21" x14ac:dyDescent="0.25">
      <c r="B2154" s="2"/>
      <c r="C2154" s="2"/>
      <c r="D2154" s="4"/>
      <c r="E2154" s="4"/>
      <c r="F2154" s="4"/>
      <c r="Q2154" s="3"/>
      <c r="R2154" s="3"/>
      <c r="S2154" s="3"/>
      <c r="T2154" s="3"/>
      <c r="U2154" s="3"/>
    </row>
    <row r="2155" spans="2:21" x14ac:dyDescent="0.25">
      <c r="B2155" s="2"/>
      <c r="C2155" s="2"/>
      <c r="D2155" s="4"/>
      <c r="E2155" s="4"/>
      <c r="F2155" s="4"/>
      <c r="Q2155" s="3"/>
      <c r="R2155" s="3"/>
      <c r="S2155" s="3"/>
      <c r="T2155" s="3"/>
      <c r="U2155" s="3"/>
    </row>
    <row r="2156" spans="2:21" x14ac:dyDescent="0.25">
      <c r="B2156" s="2"/>
      <c r="C2156" s="2"/>
      <c r="D2156" s="4"/>
      <c r="E2156" s="4"/>
      <c r="F2156" s="4"/>
      <c r="Q2156" s="3"/>
      <c r="R2156" s="3"/>
      <c r="S2156" s="3"/>
      <c r="T2156" s="3"/>
      <c r="U2156" s="3"/>
    </row>
    <row r="2157" spans="2:21" x14ac:dyDescent="0.25">
      <c r="B2157" s="2"/>
      <c r="C2157" s="2"/>
      <c r="D2157" s="4"/>
      <c r="E2157" s="4"/>
      <c r="F2157" s="4"/>
      <c r="Q2157" s="3"/>
      <c r="R2157" s="3"/>
      <c r="S2157" s="3"/>
      <c r="T2157" s="3"/>
      <c r="U2157" s="3"/>
    </row>
    <row r="2158" spans="2:21" x14ac:dyDescent="0.25">
      <c r="B2158" s="2"/>
      <c r="C2158" s="2"/>
      <c r="D2158" s="4"/>
      <c r="E2158" s="4"/>
      <c r="F2158" s="4"/>
      <c r="Q2158" s="3"/>
      <c r="R2158" s="3"/>
      <c r="S2158" s="3"/>
      <c r="T2158" s="3"/>
      <c r="U2158" s="3"/>
    </row>
    <row r="2159" spans="2:21" x14ac:dyDescent="0.25">
      <c r="B2159" s="2"/>
      <c r="C2159" s="2"/>
      <c r="D2159" s="4"/>
      <c r="E2159" s="4"/>
      <c r="F2159" s="4"/>
      <c r="Q2159" s="3"/>
      <c r="R2159" s="3"/>
      <c r="S2159" s="3"/>
      <c r="T2159" s="3"/>
      <c r="U2159" s="3"/>
    </row>
    <row r="2160" spans="2:21" x14ac:dyDescent="0.25">
      <c r="B2160" s="2"/>
      <c r="C2160" s="2"/>
      <c r="D2160" s="4"/>
      <c r="E2160" s="4"/>
      <c r="F2160" s="4"/>
      <c r="Q2160" s="3"/>
      <c r="R2160" s="3"/>
      <c r="S2160" s="3"/>
      <c r="T2160" s="3"/>
      <c r="U2160" s="3"/>
    </row>
    <row r="2161" spans="2:21" x14ac:dyDescent="0.25">
      <c r="B2161" s="2"/>
      <c r="C2161" s="2"/>
      <c r="D2161" s="4"/>
      <c r="E2161" s="4"/>
      <c r="F2161" s="4"/>
      <c r="Q2161" s="3"/>
      <c r="R2161" s="3"/>
      <c r="S2161" s="3"/>
      <c r="T2161" s="3"/>
      <c r="U2161" s="3"/>
    </row>
    <row r="2162" spans="2:21" x14ac:dyDescent="0.25">
      <c r="B2162" s="2"/>
      <c r="C2162" s="2"/>
      <c r="D2162" s="4"/>
      <c r="E2162" s="4"/>
      <c r="F2162" s="4"/>
      <c r="Q2162" s="3"/>
      <c r="R2162" s="3"/>
      <c r="S2162" s="3"/>
      <c r="T2162" s="3"/>
      <c r="U2162" s="3"/>
    </row>
    <row r="2163" spans="2:21" x14ac:dyDescent="0.25">
      <c r="B2163" s="2"/>
      <c r="C2163" s="2"/>
      <c r="D2163" s="4"/>
      <c r="E2163" s="4"/>
      <c r="F2163" s="4"/>
      <c r="Q2163" s="3"/>
      <c r="R2163" s="3"/>
      <c r="S2163" s="3"/>
      <c r="T2163" s="3"/>
      <c r="U2163" s="3"/>
    </row>
    <row r="2164" spans="2:21" x14ac:dyDescent="0.25">
      <c r="B2164" s="2"/>
      <c r="C2164" s="2"/>
      <c r="D2164" s="4"/>
      <c r="E2164" s="4"/>
      <c r="F2164" s="4"/>
      <c r="Q2164" s="3"/>
      <c r="R2164" s="3"/>
      <c r="S2164" s="3"/>
      <c r="T2164" s="3"/>
      <c r="U2164" s="3"/>
    </row>
    <row r="2165" spans="2:21" x14ac:dyDescent="0.25">
      <c r="B2165" s="2"/>
      <c r="C2165" s="2"/>
      <c r="D2165" s="4"/>
      <c r="E2165" s="4"/>
      <c r="F2165" s="4"/>
      <c r="Q2165" s="3"/>
      <c r="R2165" s="3"/>
      <c r="S2165" s="3"/>
      <c r="T2165" s="3"/>
      <c r="U2165" s="3"/>
    </row>
    <row r="2166" spans="2:21" x14ac:dyDescent="0.25">
      <c r="B2166" s="2"/>
      <c r="C2166" s="2"/>
      <c r="D2166" s="4"/>
      <c r="E2166" s="4"/>
      <c r="F2166" s="4"/>
      <c r="Q2166" s="3"/>
      <c r="R2166" s="3"/>
      <c r="S2166" s="3"/>
      <c r="T2166" s="3"/>
      <c r="U2166" s="3"/>
    </row>
    <row r="2167" spans="2:21" x14ac:dyDescent="0.25">
      <c r="B2167" s="2"/>
      <c r="C2167" s="2"/>
      <c r="D2167" s="4"/>
      <c r="E2167" s="4"/>
      <c r="F2167" s="4"/>
      <c r="Q2167" s="3"/>
      <c r="R2167" s="3"/>
      <c r="S2167" s="3"/>
      <c r="T2167" s="3"/>
      <c r="U2167" s="3"/>
    </row>
    <row r="2168" spans="2:21" x14ac:dyDescent="0.25">
      <c r="B2168" s="2"/>
      <c r="C2168" s="2"/>
      <c r="D2168" s="4"/>
      <c r="E2168" s="4"/>
      <c r="F2168" s="4"/>
      <c r="Q2168" s="3"/>
      <c r="R2168" s="3"/>
      <c r="S2168" s="3"/>
      <c r="T2168" s="3"/>
      <c r="U2168" s="3"/>
    </row>
    <row r="2169" spans="2:21" x14ac:dyDescent="0.25">
      <c r="B2169" s="2"/>
      <c r="C2169" s="2"/>
      <c r="D2169" s="4"/>
      <c r="E2169" s="4"/>
      <c r="F2169" s="4"/>
      <c r="Q2169" s="3"/>
      <c r="R2169" s="3"/>
      <c r="S2169" s="3"/>
      <c r="T2169" s="3"/>
      <c r="U2169" s="3"/>
    </row>
    <row r="2170" spans="2:21" x14ac:dyDescent="0.25">
      <c r="B2170" s="2"/>
      <c r="C2170" s="2"/>
      <c r="D2170" s="4"/>
      <c r="E2170" s="4"/>
      <c r="F2170" s="4"/>
      <c r="Q2170" s="3"/>
      <c r="R2170" s="3"/>
      <c r="S2170" s="3"/>
      <c r="T2170" s="3"/>
      <c r="U2170" s="3"/>
    </row>
    <row r="2171" spans="2:21" x14ac:dyDescent="0.25">
      <c r="B2171" s="2"/>
      <c r="C2171" s="2"/>
      <c r="D2171" s="4"/>
      <c r="E2171" s="4"/>
      <c r="F2171" s="4"/>
      <c r="Q2171" s="3"/>
      <c r="R2171" s="3"/>
      <c r="S2171" s="3"/>
      <c r="T2171" s="3"/>
      <c r="U2171" s="3"/>
    </row>
    <row r="2172" spans="2:21" x14ac:dyDescent="0.25">
      <c r="B2172" s="2"/>
      <c r="C2172" s="2"/>
      <c r="D2172" s="4"/>
      <c r="E2172" s="4"/>
      <c r="F2172" s="4"/>
      <c r="Q2172" s="3"/>
      <c r="R2172" s="3"/>
      <c r="S2172" s="3"/>
      <c r="T2172" s="3"/>
      <c r="U2172" s="3"/>
    </row>
    <row r="2173" spans="2:21" x14ac:dyDescent="0.25">
      <c r="B2173" s="2"/>
      <c r="C2173" s="2"/>
      <c r="D2173" s="4"/>
      <c r="E2173" s="4"/>
      <c r="F2173" s="4"/>
      <c r="Q2173" s="3"/>
      <c r="R2173" s="3"/>
      <c r="S2173" s="3"/>
      <c r="T2173" s="3"/>
      <c r="U2173" s="3"/>
    </row>
    <row r="2174" spans="2:21" x14ac:dyDescent="0.25">
      <c r="B2174" s="2"/>
      <c r="C2174" s="2"/>
      <c r="D2174" s="4"/>
      <c r="E2174" s="4"/>
      <c r="F2174" s="4"/>
      <c r="Q2174" s="3"/>
      <c r="R2174" s="3"/>
      <c r="S2174" s="3"/>
      <c r="T2174" s="3"/>
      <c r="U2174" s="3"/>
    </row>
    <row r="2175" spans="2:21" x14ac:dyDescent="0.25">
      <c r="B2175" s="2"/>
      <c r="C2175" s="2"/>
      <c r="D2175" s="4"/>
      <c r="E2175" s="4"/>
      <c r="F2175" s="4"/>
      <c r="Q2175" s="3"/>
      <c r="R2175" s="3"/>
      <c r="S2175" s="3"/>
      <c r="T2175" s="3"/>
      <c r="U2175" s="3"/>
    </row>
    <row r="2176" spans="2:21" x14ac:dyDescent="0.25">
      <c r="B2176" s="2"/>
      <c r="C2176" s="2"/>
      <c r="D2176" s="4"/>
      <c r="E2176" s="4"/>
      <c r="F2176" s="4"/>
      <c r="Q2176" s="3"/>
      <c r="R2176" s="3"/>
      <c r="S2176" s="3"/>
      <c r="T2176" s="3"/>
      <c r="U2176" s="3"/>
    </row>
    <row r="2177" spans="2:21" x14ac:dyDescent="0.25">
      <c r="B2177" s="2"/>
      <c r="C2177" s="2"/>
      <c r="D2177" s="4"/>
      <c r="E2177" s="4"/>
      <c r="F2177" s="4"/>
      <c r="Q2177" s="3"/>
      <c r="R2177" s="3"/>
      <c r="S2177" s="3"/>
      <c r="T2177" s="3"/>
      <c r="U2177" s="3"/>
    </row>
    <row r="2178" spans="2:21" x14ac:dyDescent="0.25">
      <c r="B2178" s="2"/>
      <c r="C2178" s="2"/>
      <c r="D2178" s="4"/>
      <c r="E2178" s="4"/>
      <c r="F2178" s="4"/>
      <c r="Q2178" s="3"/>
      <c r="R2178" s="3"/>
      <c r="S2178" s="3"/>
      <c r="T2178" s="3"/>
      <c r="U2178" s="3"/>
    </row>
    <row r="2179" spans="2:21" x14ac:dyDescent="0.25">
      <c r="B2179" s="2"/>
      <c r="C2179" s="2"/>
      <c r="D2179" s="4"/>
      <c r="E2179" s="4"/>
      <c r="F2179" s="4"/>
      <c r="Q2179" s="3"/>
      <c r="R2179" s="3"/>
      <c r="S2179" s="3"/>
      <c r="T2179" s="3"/>
      <c r="U2179" s="3"/>
    </row>
    <row r="2180" spans="2:21" x14ac:dyDescent="0.25">
      <c r="B2180" s="2"/>
      <c r="C2180" s="2"/>
      <c r="D2180" s="4"/>
      <c r="E2180" s="4"/>
      <c r="F2180" s="4"/>
      <c r="Q2180" s="3"/>
      <c r="R2180" s="3"/>
      <c r="S2180" s="3"/>
      <c r="T2180" s="3"/>
      <c r="U2180" s="3"/>
    </row>
    <row r="2181" spans="2:21" x14ac:dyDescent="0.25">
      <c r="B2181" s="2"/>
      <c r="C2181" s="2"/>
      <c r="D2181" s="4"/>
      <c r="E2181" s="4"/>
      <c r="F2181" s="4"/>
      <c r="Q2181" s="3"/>
      <c r="R2181" s="3"/>
      <c r="S2181" s="3"/>
      <c r="T2181" s="3"/>
      <c r="U2181" s="3"/>
    </row>
    <row r="2182" spans="2:21" x14ac:dyDescent="0.25">
      <c r="B2182" s="2"/>
      <c r="C2182" s="2"/>
      <c r="D2182" s="4"/>
      <c r="E2182" s="4"/>
      <c r="F2182" s="4"/>
      <c r="Q2182" s="3"/>
      <c r="R2182" s="3"/>
      <c r="S2182" s="3"/>
      <c r="T2182" s="3"/>
      <c r="U2182" s="3"/>
    </row>
    <row r="2183" spans="2:21" x14ac:dyDescent="0.25">
      <c r="B2183" s="2"/>
      <c r="C2183" s="2"/>
      <c r="D2183" s="4"/>
      <c r="E2183" s="4"/>
      <c r="F2183" s="4"/>
      <c r="Q2183" s="3"/>
      <c r="R2183" s="3"/>
      <c r="S2183" s="3"/>
      <c r="T2183" s="3"/>
      <c r="U2183" s="3"/>
    </row>
    <row r="2184" spans="2:21" x14ac:dyDescent="0.25">
      <c r="B2184" s="2"/>
      <c r="C2184" s="2"/>
      <c r="D2184" s="4"/>
      <c r="E2184" s="4"/>
      <c r="F2184" s="4"/>
      <c r="Q2184" s="3"/>
      <c r="R2184" s="3"/>
      <c r="S2184" s="3"/>
      <c r="T2184" s="3"/>
      <c r="U2184" s="3"/>
    </row>
    <row r="2185" spans="2:21" x14ac:dyDescent="0.25">
      <c r="B2185" s="2"/>
      <c r="C2185" s="2"/>
      <c r="D2185" s="4"/>
      <c r="E2185" s="4"/>
      <c r="F2185" s="4"/>
      <c r="Q2185" s="3"/>
      <c r="R2185" s="3"/>
      <c r="S2185" s="3"/>
      <c r="T2185" s="3"/>
      <c r="U2185" s="3"/>
    </row>
    <row r="2186" spans="2:21" x14ac:dyDescent="0.25">
      <c r="B2186" s="2"/>
      <c r="C2186" s="2"/>
      <c r="D2186" s="4"/>
      <c r="E2186" s="4"/>
      <c r="F2186" s="4"/>
      <c r="Q2186" s="3"/>
      <c r="R2186" s="3"/>
      <c r="S2186" s="3"/>
      <c r="T2186" s="3"/>
      <c r="U2186" s="3"/>
    </row>
    <row r="2187" spans="2:21" x14ac:dyDescent="0.25">
      <c r="B2187" s="2"/>
      <c r="C2187" s="2"/>
      <c r="D2187" s="4"/>
      <c r="E2187" s="4"/>
      <c r="F2187" s="4"/>
      <c r="Q2187" s="3"/>
      <c r="R2187" s="3"/>
      <c r="S2187" s="3"/>
      <c r="T2187" s="3"/>
      <c r="U2187" s="3"/>
    </row>
    <row r="2188" spans="2:21" x14ac:dyDescent="0.25">
      <c r="B2188" s="2"/>
      <c r="C2188" s="2"/>
      <c r="D2188" s="4"/>
      <c r="E2188" s="4"/>
      <c r="F2188" s="4"/>
      <c r="Q2188" s="3"/>
      <c r="R2188" s="3"/>
      <c r="S2188" s="3"/>
      <c r="T2188" s="3"/>
      <c r="U2188" s="3"/>
    </row>
    <row r="2189" spans="2:21" x14ac:dyDescent="0.25">
      <c r="B2189" s="2"/>
      <c r="C2189" s="2"/>
      <c r="D2189" s="4"/>
      <c r="E2189" s="4"/>
      <c r="F2189" s="4"/>
      <c r="Q2189" s="3"/>
      <c r="R2189" s="3"/>
      <c r="S2189" s="3"/>
      <c r="T2189" s="3"/>
      <c r="U2189" s="3"/>
    </row>
    <row r="2190" spans="2:21" x14ac:dyDescent="0.25">
      <c r="B2190" s="2"/>
      <c r="C2190" s="2"/>
      <c r="D2190" s="4"/>
      <c r="E2190" s="4"/>
      <c r="F2190" s="4"/>
      <c r="Q2190" s="3"/>
      <c r="R2190" s="3"/>
      <c r="S2190" s="3"/>
      <c r="T2190" s="3"/>
      <c r="U2190" s="3"/>
    </row>
    <row r="2191" spans="2:21" x14ac:dyDescent="0.25">
      <c r="B2191" s="2"/>
      <c r="C2191" s="2"/>
      <c r="D2191" s="4"/>
      <c r="E2191" s="4"/>
      <c r="F2191" s="4"/>
      <c r="Q2191" s="3"/>
      <c r="R2191" s="3"/>
      <c r="S2191" s="3"/>
      <c r="T2191" s="3"/>
      <c r="U2191" s="3"/>
    </row>
    <row r="2192" spans="2:21" x14ac:dyDescent="0.25">
      <c r="B2192" s="2"/>
      <c r="C2192" s="2"/>
      <c r="D2192" s="4"/>
      <c r="E2192" s="4"/>
      <c r="F2192" s="4"/>
      <c r="Q2192" s="3"/>
      <c r="R2192" s="3"/>
      <c r="S2192" s="3"/>
      <c r="T2192" s="3"/>
      <c r="U2192" s="3"/>
    </row>
    <row r="2193" spans="2:21" x14ac:dyDescent="0.25">
      <c r="B2193" s="2"/>
      <c r="C2193" s="2"/>
      <c r="D2193" s="4"/>
      <c r="E2193" s="4"/>
      <c r="F2193" s="4"/>
      <c r="Q2193" s="3"/>
      <c r="R2193" s="3"/>
      <c r="S2193" s="3"/>
      <c r="T2193" s="3"/>
      <c r="U2193" s="3"/>
    </row>
    <row r="2194" spans="2:21" x14ac:dyDescent="0.25">
      <c r="B2194" s="2"/>
      <c r="C2194" s="2"/>
      <c r="D2194" s="4"/>
      <c r="E2194" s="4"/>
      <c r="F2194" s="4"/>
      <c r="Q2194" s="3"/>
      <c r="R2194" s="3"/>
      <c r="S2194" s="3"/>
      <c r="T2194" s="3"/>
      <c r="U2194" s="3"/>
    </row>
    <row r="2195" spans="2:21" x14ac:dyDescent="0.25">
      <c r="B2195" s="2"/>
      <c r="C2195" s="2"/>
      <c r="D2195" s="4"/>
      <c r="E2195" s="4"/>
      <c r="F2195" s="4"/>
      <c r="Q2195" s="3"/>
      <c r="R2195" s="3"/>
      <c r="S2195" s="3"/>
      <c r="T2195" s="3"/>
      <c r="U2195" s="3"/>
    </row>
    <row r="2196" spans="2:21" x14ac:dyDescent="0.25">
      <c r="B2196" s="2"/>
      <c r="C2196" s="2"/>
      <c r="D2196" s="4"/>
      <c r="E2196" s="4"/>
      <c r="F2196" s="4"/>
      <c r="Q2196" s="3"/>
      <c r="R2196" s="3"/>
      <c r="S2196" s="3"/>
      <c r="T2196" s="3"/>
      <c r="U2196" s="3"/>
    </row>
    <row r="2197" spans="2:21" x14ac:dyDescent="0.25">
      <c r="B2197" s="2"/>
      <c r="C2197" s="2"/>
      <c r="D2197" s="4"/>
      <c r="E2197" s="4"/>
      <c r="F2197" s="4"/>
      <c r="Q2197" s="3"/>
      <c r="R2197" s="3"/>
      <c r="S2197" s="3"/>
      <c r="T2197" s="3"/>
      <c r="U2197" s="3"/>
    </row>
    <row r="2198" spans="2:21" x14ac:dyDescent="0.25">
      <c r="B2198" s="2"/>
      <c r="C2198" s="2"/>
      <c r="D2198" s="4"/>
      <c r="E2198" s="4"/>
      <c r="F2198" s="4"/>
      <c r="Q2198" s="3"/>
      <c r="R2198" s="3"/>
      <c r="S2198" s="3"/>
      <c r="T2198" s="3"/>
      <c r="U2198" s="3"/>
    </row>
    <row r="2199" spans="2:21" x14ac:dyDescent="0.25">
      <c r="B2199" s="2"/>
      <c r="C2199" s="2"/>
      <c r="D2199" s="4"/>
      <c r="E2199" s="4"/>
      <c r="F2199" s="4"/>
      <c r="Q2199" s="3"/>
      <c r="R2199" s="3"/>
      <c r="S2199" s="3"/>
      <c r="T2199" s="3"/>
      <c r="U2199" s="3"/>
    </row>
    <row r="2200" spans="2:21" x14ac:dyDescent="0.25">
      <c r="B2200" s="2"/>
      <c r="C2200" s="2"/>
      <c r="D2200" s="4"/>
      <c r="E2200" s="4"/>
      <c r="F2200" s="4"/>
      <c r="Q2200" s="3"/>
      <c r="R2200" s="3"/>
      <c r="S2200" s="3"/>
      <c r="T2200" s="3"/>
      <c r="U2200" s="3"/>
    </row>
    <row r="2201" spans="2:21" x14ac:dyDescent="0.25">
      <c r="B2201" s="2"/>
      <c r="C2201" s="2"/>
      <c r="D2201" s="4"/>
      <c r="E2201" s="4"/>
      <c r="F2201" s="4"/>
      <c r="Q2201" s="3"/>
      <c r="R2201" s="3"/>
      <c r="S2201" s="3"/>
      <c r="T2201" s="3"/>
      <c r="U2201" s="3"/>
    </row>
    <row r="2202" spans="2:21" x14ac:dyDescent="0.25">
      <c r="B2202" s="2"/>
      <c r="C2202" s="2"/>
      <c r="D2202" s="4"/>
      <c r="E2202" s="4"/>
      <c r="F2202" s="4"/>
      <c r="Q2202" s="3"/>
      <c r="R2202" s="3"/>
      <c r="S2202" s="3"/>
      <c r="T2202" s="3"/>
      <c r="U2202" s="3"/>
    </row>
    <row r="2203" spans="2:21" x14ac:dyDescent="0.25">
      <c r="B2203" s="2"/>
      <c r="C2203" s="2"/>
      <c r="D2203" s="4"/>
      <c r="E2203" s="4"/>
      <c r="F2203" s="4"/>
      <c r="Q2203" s="3"/>
      <c r="R2203" s="3"/>
      <c r="S2203" s="3"/>
      <c r="T2203" s="3"/>
      <c r="U2203" s="3"/>
    </row>
    <row r="2204" spans="2:21" x14ac:dyDescent="0.25">
      <c r="B2204" s="2"/>
      <c r="C2204" s="2"/>
      <c r="D2204" s="4"/>
      <c r="E2204" s="4"/>
      <c r="F2204" s="4"/>
      <c r="Q2204" s="3"/>
      <c r="R2204" s="3"/>
      <c r="S2204" s="3"/>
      <c r="T2204" s="3"/>
      <c r="U2204" s="3"/>
    </row>
    <row r="2205" spans="2:21" x14ac:dyDescent="0.25">
      <c r="B2205" s="2"/>
      <c r="C2205" s="2"/>
      <c r="D2205" s="4"/>
      <c r="E2205" s="4"/>
      <c r="F2205" s="4"/>
      <c r="Q2205" s="3"/>
      <c r="R2205" s="3"/>
      <c r="S2205" s="3"/>
      <c r="T2205" s="3"/>
      <c r="U2205" s="3"/>
    </row>
    <row r="2206" spans="2:21" x14ac:dyDescent="0.25">
      <c r="B2206" s="2"/>
      <c r="C2206" s="2"/>
      <c r="D2206" s="4"/>
      <c r="E2206" s="4"/>
      <c r="F2206" s="4"/>
      <c r="Q2206" s="3"/>
      <c r="R2206" s="3"/>
      <c r="S2206" s="3"/>
      <c r="T2206" s="3"/>
      <c r="U2206" s="3"/>
    </row>
    <row r="2207" spans="2:21" x14ac:dyDescent="0.25">
      <c r="B2207" s="2"/>
      <c r="C2207" s="2"/>
      <c r="D2207" s="4"/>
      <c r="E2207" s="4"/>
      <c r="F2207" s="4"/>
      <c r="Q2207" s="3"/>
      <c r="R2207" s="3"/>
      <c r="S2207" s="3"/>
      <c r="T2207" s="3"/>
      <c r="U2207" s="3"/>
    </row>
    <row r="2208" spans="2:21" x14ac:dyDescent="0.25">
      <c r="B2208" s="2"/>
      <c r="C2208" s="2"/>
      <c r="D2208" s="4"/>
      <c r="E2208" s="4"/>
      <c r="F2208" s="4"/>
      <c r="Q2208" s="3"/>
      <c r="R2208" s="3"/>
      <c r="S2208" s="3"/>
      <c r="T2208" s="3"/>
      <c r="U2208" s="3"/>
    </row>
    <row r="2209" spans="2:21" x14ac:dyDescent="0.25">
      <c r="B2209" s="2"/>
      <c r="C2209" s="2"/>
      <c r="D2209" s="4"/>
      <c r="E2209" s="4"/>
      <c r="F2209" s="4"/>
      <c r="Q2209" s="3"/>
      <c r="R2209" s="3"/>
      <c r="S2209" s="3"/>
      <c r="T2209" s="3"/>
      <c r="U2209" s="3"/>
    </row>
    <row r="2210" spans="2:21" x14ac:dyDescent="0.25">
      <c r="B2210" s="2"/>
      <c r="C2210" s="2"/>
      <c r="D2210" s="4"/>
      <c r="E2210" s="4"/>
      <c r="F2210" s="4"/>
      <c r="Q2210" s="3"/>
      <c r="R2210" s="3"/>
      <c r="S2210" s="3"/>
      <c r="T2210" s="3"/>
      <c r="U2210" s="3"/>
    </row>
    <row r="2211" spans="2:21" x14ac:dyDescent="0.25">
      <c r="B2211" s="2"/>
      <c r="C2211" s="2"/>
      <c r="D2211" s="4"/>
      <c r="E2211" s="4"/>
      <c r="F2211" s="4"/>
      <c r="Q2211" s="3"/>
      <c r="R2211" s="3"/>
      <c r="S2211" s="3"/>
      <c r="T2211" s="3"/>
      <c r="U2211" s="3"/>
    </row>
    <row r="2212" spans="2:21" x14ac:dyDescent="0.25">
      <c r="B2212" s="2"/>
      <c r="C2212" s="2"/>
      <c r="D2212" s="4"/>
      <c r="E2212" s="4"/>
      <c r="F2212" s="4"/>
      <c r="Q2212" s="3"/>
      <c r="R2212" s="3"/>
      <c r="S2212" s="3"/>
      <c r="T2212" s="3"/>
      <c r="U2212" s="3"/>
    </row>
    <row r="2213" spans="2:21" x14ac:dyDescent="0.25">
      <c r="B2213" s="2"/>
      <c r="C2213" s="2"/>
      <c r="D2213" s="4"/>
      <c r="E2213" s="4"/>
      <c r="F2213" s="4"/>
      <c r="Q2213" s="3"/>
      <c r="R2213" s="3"/>
      <c r="S2213" s="3"/>
      <c r="T2213" s="3"/>
      <c r="U2213" s="3"/>
    </row>
    <row r="2214" spans="2:21" x14ac:dyDescent="0.25">
      <c r="B2214" s="2"/>
      <c r="C2214" s="2"/>
      <c r="D2214" s="4"/>
      <c r="E2214" s="4"/>
      <c r="F2214" s="4"/>
      <c r="Q2214" s="3"/>
      <c r="R2214" s="3"/>
      <c r="S2214" s="3"/>
      <c r="T2214" s="3"/>
      <c r="U2214" s="3"/>
    </row>
    <row r="2215" spans="2:21" x14ac:dyDescent="0.25">
      <c r="B2215" s="2"/>
      <c r="C2215" s="2"/>
      <c r="D2215" s="4"/>
      <c r="E2215" s="4"/>
      <c r="F2215" s="4"/>
      <c r="Q2215" s="3"/>
      <c r="R2215" s="3"/>
      <c r="S2215" s="3"/>
      <c r="T2215" s="3"/>
      <c r="U2215" s="3"/>
    </row>
    <row r="2216" spans="2:21" x14ac:dyDescent="0.25">
      <c r="B2216" s="2"/>
      <c r="C2216" s="2"/>
      <c r="D2216" s="4"/>
      <c r="E2216" s="4"/>
      <c r="F2216" s="4"/>
      <c r="Q2216" s="3"/>
      <c r="R2216" s="3"/>
      <c r="S2216" s="3"/>
      <c r="T2216" s="3"/>
      <c r="U2216" s="3"/>
    </row>
    <row r="2217" spans="2:21" x14ac:dyDescent="0.25">
      <c r="B2217" s="2"/>
      <c r="C2217" s="2"/>
      <c r="D2217" s="4"/>
      <c r="E2217" s="4"/>
      <c r="F2217" s="4"/>
      <c r="Q2217" s="3"/>
      <c r="R2217" s="3"/>
      <c r="S2217" s="3"/>
      <c r="T2217" s="3"/>
      <c r="U2217" s="3"/>
    </row>
    <row r="2218" spans="2:21" x14ac:dyDescent="0.25">
      <c r="B2218" s="2"/>
      <c r="C2218" s="2"/>
      <c r="D2218" s="4"/>
      <c r="E2218" s="4"/>
      <c r="F2218" s="4"/>
      <c r="Q2218" s="3"/>
      <c r="R2218" s="3"/>
      <c r="S2218" s="3"/>
      <c r="T2218" s="3"/>
      <c r="U2218" s="3"/>
    </row>
    <row r="2219" spans="2:21" x14ac:dyDescent="0.25">
      <c r="B2219" s="2"/>
      <c r="C2219" s="2"/>
      <c r="D2219" s="4"/>
      <c r="E2219" s="4"/>
      <c r="F2219" s="4"/>
      <c r="Q2219" s="3"/>
      <c r="R2219" s="3"/>
      <c r="S2219" s="3"/>
      <c r="T2219" s="3"/>
      <c r="U2219" s="3"/>
    </row>
    <row r="2220" spans="2:21" x14ac:dyDescent="0.25">
      <c r="B2220" s="2"/>
      <c r="C2220" s="2"/>
      <c r="D2220" s="4"/>
      <c r="E2220" s="4"/>
      <c r="F2220" s="4"/>
      <c r="Q2220" s="3"/>
      <c r="R2220" s="3"/>
      <c r="S2220" s="3"/>
      <c r="T2220" s="3"/>
      <c r="U2220" s="3"/>
    </row>
    <row r="2221" spans="2:21" x14ac:dyDescent="0.25">
      <c r="B2221" s="2"/>
      <c r="C2221" s="2"/>
      <c r="D2221" s="4"/>
      <c r="E2221" s="4"/>
      <c r="F2221" s="4"/>
      <c r="Q2221" s="3"/>
      <c r="R2221" s="3"/>
      <c r="S2221" s="3"/>
      <c r="T2221" s="3"/>
      <c r="U2221" s="3"/>
    </row>
    <row r="2222" spans="2:21" x14ac:dyDescent="0.25">
      <c r="B2222" s="2"/>
      <c r="C2222" s="2"/>
      <c r="D2222" s="4"/>
      <c r="E2222" s="4"/>
      <c r="F2222" s="4"/>
      <c r="Q2222" s="3"/>
      <c r="R2222" s="3"/>
      <c r="S2222" s="3"/>
      <c r="T2222" s="3"/>
      <c r="U2222" s="3"/>
    </row>
    <row r="2223" spans="2:21" x14ac:dyDescent="0.25">
      <c r="B2223" s="2"/>
      <c r="C2223" s="2"/>
      <c r="D2223" s="4"/>
      <c r="E2223" s="4"/>
      <c r="F2223" s="4"/>
      <c r="Q2223" s="3"/>
      <c r="R2223" s="3"/>
      <c r="S2223" s="3"/>
      <c r="T2223" s="3"/>
      <c r="U2223" s="3"/>
    </row>
    <row r="2224" spans="2:21" x14ac:dyDescent="0.25">
      <c r="B2224" s="2"/>
      <c r="C2224" s="2"/>
      <c r="D2224" s="4"/>
      <c r="E2224" s="4"/>
      <c r="F2224" s="4"/>
      <c r="Q2224" s="3"/>
      <c r="R2224" s="3"/>
      <c r="S2224" s="3"/>
      <c r="T2224" s="3"/>
      <c r="U2224" s="3"/>
    </row>
    <row r="2225" spans="2:21" x14ac:dyDescent="0.25">
      <c r="B2225" s="2"/>
      <c r="C2225" s="2"/>
      <c r="D2225" s="4"/>
      <c r="E2225" s="4"/>
      <c r="F2225" s="4"/>
      <c r="Q2225" s="3"/>
      <c r="R2225" s="3"/>
      <c r="S2225" s="3"/>
      <c r="T2225" s="3"/>
      <c r="U2225" s="3"/>
    </row>
    <row r="2226" spans="2:21" x14ac:dyDescent="0.25">
      <c r="B2226" s="2"/>
      <c r="C2226" s="2"/>
      <c r="D2226" s="4"/>
      <c r="E2226" s="4"/>
      <c r="F2226" s="4"/>
      <c r="Q2226" s="3"/>
      <c r="R2226" s="3"/>
      <c r="S2226" s="3"/>
      <c r="T2226" s="3"/>
      <c r="U2226" s="3"/>
    </row>
    <row r="2227" spans="2:21" x14ac:dyDescent="0.25">
      <c r="B2227" s="2"/>
      <c r="C2227" s="2"/>
      <c r="D2227" s="4"/>
      <c r="E2227" s="4"/>
      <c r="F2227" s="4"/>
      <c r="Q2227" s="3"/>
      <c r="R2227" s="3"/>
      <c r="S2227" s="3"/>
      <c r="T2227" s="3"/>
      <c r="U2227" s="3"/>
    </row>
    <row r="2228" spans="2:21" x14ac:dyDescent="0.25">
      <c r="B2228" s="2"/>
      <c r="C2228" s="2"/>
      <c r="D2228" s="4"/>
      <c r="E2228" s="4"/>
      <c r="F2228" s="4"/>
      <c r="Q2228" s="3"/>
      <c r="R2228" s="3"/>
      <c r="S2228" s="3"/>
      <c r="T2228" s="3"/>
      <c r="U2228" s="3"/>
    </row>
    <row r="2229" spans="2:21" x14ac:dyDescent="0.25">
      <c r="B2229" s="2"/>
      <c r="C2229" s="2"/>
      <c r="D2229" s="4"/>
      <c r="E2229" s="4"/>
      <c r="F2229" s="4"/>
      <c r="Q2229" s="3"/>
      <c r="R2229" s="3"/>
      <c r="S2229" s="3"/>
      <c r="T2229" s="3"/>
      <c r="U2229" s="3"/>
    </row>
    <row r="2230" spans="2:21" x14ac:dyDescent="0.25">
      <c r="B2230" s="2"/>
      <c r="C2230" s="2"/>
      <c r="D2230" s="4"/>
      <c r="E2230" s="4"/>
      <c r="F2230" s="4"/>
      <c r="Q2230" s="3"/>
      <c r="R2230" s="3"/>
      <c r="S2230" s="3"/>
      <c r="T2230" s="3"/>
      <c r="U2230" s="3"/>
    </row>
    <row r="2231" spans="2:21" x14ac:dyDescent="0.25">
      <c r="B2231" s="2"/>
      <c r="C2231" s="2"/>
      <c r="D2231" s="4"/>
      <c r="E2231" s="4"/>
      <c r="F2231" s="4"/>
      <c r="Q2231" s="3"/>
      <c r="R2231" s="3"/>
      <c r="S2231" s="3"/>
      <c r="T2231" s="3"/>
      <c r="U2231" s="3"/>
    </row>
    <row r="2232" spans="2:21" x14ac:dyDescent="0.25">
      <c r="B2232" s="2"/>
      <c r="C2232" s="2"/>
      <c r="D2232" s="4"/>
      <c r="E2232" s="4"/>
      <c r="F2232" s="4"/>
      <c r="Q2232" s="3"/>
      <c r="R2232" s="3"/>
      <c r="S2232" s="3"/>
      <c r="T2232" s="3"/>
      <c r="U2232" s="3"/>
    </row>
    <row r="2233" spans="2:21" x14ac:dyDescent="0.25">
      <c r="B2233" s="2"/>
      <c r="C2233" s="2"/>
      <c r="D2233" s="4"/>
      <c r="E2233" s="4"/>
      <c r="F2233" s="4"/>
      <c r="Q2233" s="3"/>
      <c r="R2233" s="3"/>
      <c r="S2233" s="3"/>
      <c r="T2233" s="3"/>
      <c r="U2233" s="3"/>
    </row>
    <row r="2234" spans="2:21" x14ac:dyDescent="0.25">
      <c r="B2234" s="2"/>
      <c r="C2234" s="2"/>
      <c r="D2234" s="4"/>
      <c r="E2234" s="4"/>
      <c r="F2234" s="4"/>
      <c r="Q2234" s="3"/>
      <c r="R2234" s="3"/>
      <c r="S2234" s="3"/>
      <c r="T2234" s="3"/>
      <c r="U2234" s="3"/>
    </row>
    <row r="2235" spans="2:21" x14ac:dyDescent="0.25">
      <c r="B2235" s="2"/>
      <c r="C2235" s="2"/>
      <c r="D2235" s="4"/>
      <c r="E2235" s="4"/>
      <c r="F2235" s="4"/>
      <c r="Q2235" s="3"/>
      <c r="R2235" s="3"/>
      <c r="S2235" s="3"/>
      <c r="T2235" s="3"/>
      <c r="U2235" s="3"/>
    </row>
    <row r="2236" spans="2:21" x14ac:dyDescent="0.25">
      <c r="B2236" s="2"/>
      <c r="C2236" s="2"/>
      <c r="D2236" s="4"/>
      <c r="E2236" s="4"/>
      <c r="F2236" s="4"/>
      <c r="Q2236" s="3"/>
      <c r="R2236" s="3"/>
      <c r="S2236" s="3"/>
      <c r="T2236" s="3"/>
      <c r="U2236" s="3"/>
    </row>
    <row r="2237" spans="2:21" x14ac:dyDescent="0.25">
      <c r="B2237" s="2"/>
      <c r="C2237" s="2"/>
      <c r="D2237" s="4"/>
      <c r="E2237" s="4"/>
      <c r="F2237" s="4"/>
      <c r="Q2237" s="3"/>
      <c r="R2237" s="3"/>
      <c r="S2237" s="3"/>
      <c r="T2237" s="3"/>
      <c r="U2237" s="3"/>
    </row>
    <row r="2238" spans="2:21" x14ac:dyDescent="0.25">
      <c r="B2238" s="2"/>
      <c r="C2238" s="2"/>
      <c r="D2238" s="4"/>
      <c r="E2238" s="4"/>
      <c r="F2238" s="4"/>
      <c r="Q2238" s="3"/>
      <c r="R2238" s="3"/>
      <c r="S2238" s="3"/>
      <c r="T2238" s="3"/>
      <c r="U2238" s="3"/>
    </row>
    <row r="2239" spans="2:21" x14ac:dyDescent="0.25">
      <c r="B2239" s="2"/>
      <c r="C2239" s="2"/>
      <c r="D2239" s="4"/>
      <c r="E2239" s="4"/>
      <c r="F2239" s="4"/>
      <c r="Q2239" s="3"/>
      <c r="R2239" s="3"/>
      <c r="S2239" s="3"/>
      <c r="T2239" s="3"/>
      <c r="U2239" s="3"/>
    </row>
    <row r="2240" spans="2:21" x14ac:dyDescent="0.25">
      <c r="B2240" s="2"/>
      <c r="C2240" s="2"/>
      <c r="D2240" s="4"/>
      <c r="E2240" s="4"/>
      <c r="F2240" s="4"/>
      <c r="Q2240" s="3"/>
      <c r="R2240" s="3"/>
      <c r="S2240" s="3"/>
      <c r="T2240" s="3"/>
      <c r="U2240" s="3"/>
    </row>
    <row r="2241" spans="2:21" x14ac:dyDescent="0.25">
      <c r="B2241" s="2"/>
      <c r="C2241" s="2"/>
      <c r="D2241" s="4"/>
      <c r="E2241" s="4"/>
      <c r="F2241" s="4"/>
      <c r="Q2241" s="3"/>
      <c r="R2241" s="3"/>
      <c r="S2241" s="3"/>
      <c r="T2241" s="3"/>
      <c r="U2241" s="3"/>
    </row>
    <row r="2242" spans="2:21" x14ac:dyDescent="0.25">
      <c r="B2242" s="2"/>
      <c r="C2242" s="2"/>
      <c r="D2242" s="4"/>
      <c r="E2242" s="4"/>
      <c r="F2242" s="4"/>
      <c r="Q2242" s="3"/>
      <c r="R2242" s="3"/>
      <c r="S2242" s="3"/>
      <c r="T2242" s="3"/>
      <c r="U2242" s="3"/>
    </row>
    <row r="2243" spans="2:21" x14ac:dyDescent="0.25">
      <c r="B2243" s="2"/>
      <c r="C2243" s="2"/>
      <c r="D2243" s="4"/>
      <c r="E2243" s="4"/>
      <c r="F2243" s="4"/>
      <c r="Q2243" s="3"/>
      <c r="R2243" s="3"/>
      <c r="S2243" s="3"/>
      <c r="T2243" s="3"/>
      <c r="U2243" s="3"/>
    </row>
    <row r="2244" spans="2:21" x14ac:dyDescent="0.25">
      <c r="B2244" s="2"/>
      <c r="C2244" s="2"/>
      <c r="D2244" s="4"/>
      <c r="E2244" s="4"/>
      <c r="F2244" s="4"/>
      <c r="Q2244" s="3"/>
      <c r="R2244" s="3"/>
      <c r="S2244" s="3"/>
      <c r="T2244" s="3"/>
      <c r="U2244" s="3"/>
    </row>
    <row r="2245" spans="2:21" x14ac:dyDescent="0.25">
      <c r="B2245" s="2"/>
      <c r="C2245" s="2"/>
      <c r="D2245" s="4"/>
      <c r="E2245" s="4"/>
      <c r="F2245" s="4"/>
      <c r="Q2245" s="3"/>
      <c r="R2245" s="3"/>
      <c r="S2245" s="3"/>
      <c r="T2245" s="3"/>
      <c r="U2245" s="3"/>
    </row>
    <row r="2246" spans="2:21" x14ac:dyDescent="0.25">
      <c r="B2246" s="2"/>
      <c r="C2246" s="2"/>
      <c r="D2246" s="4"/>
      <c r="E2246" s="4"/>
      <c r="F2246" s="4"/>
      <c r="Q2246" s="3"/>
      <c r="R2246" s="3"/>
      <c r="S2246" s="3"/>
      <c r="T2246" s="3"/>
      <c r="U2246" s="3"/>
    </row>
    <row r="2247" spans="2:21" x14ac:dyDescent="0.25">
      <c r="B2247" s="2"/>
      <c r="C2247" s="2"/>
      <c r="D2247" s="4"/>
      <c r="E2247" s="4"/>
      <c r="F2247" s="4"/>
      <c r="Q2247" s="3"/>
      <c r="R2247" s="3"/>
      <c r="S2247" s="3"/>
      <c r="T2247" s="3"/>
      <c r="U2247" s="3"/>
    </row>
    <row r="2248" spans="2:21" x14ac:dyDescent="0.25">
      <c r="B2248" s="2"/>
      <c r="C2248" s="2"/>
      <c r="D2248" s="4"/>
      <c r="E2248" s="4"/>
      <c r="F2248" s="4"/>
      <c r="Q2248" s="3"/>
      <c r="R2248" s="3"/>
      <c r="S2248" s="3"/>
      <c r="T2248" s="3"/>
      <c r="U2248" s="3"/>
    </row>
    <row r="2249" spans="2:21" x14ac:dyDescent="0.25">
      <c r="B2249" s="2"/>
      <c r="C2249" s="2"/>
      <c r="D2249" s="4"/>
      <c r="E2249" s="4"/>
      <c r="F2249" s="4"/>
      <c r="Q2249" s="3"/>
      <c r="R2249" s="3"/>
      <c r="S2249" s="3"/>
      <c r="T2249" s="3"/>
      <c r="U2249" s="3"/>
    </row>
    <row r="2250" spans="2:21" x14ac:dyDescent="0.25">
      <c r="B2250" s="2"/>
      <c r="C2250" s="2"/>
      <c r="D2250" s="4"/>
      <c r="E2250" s="4"/>
      <c r="F2250" s="4"/>
      <c r="Q2250" s="3"/>
      <c r="R2250" s="3"/>
      <c r="S2250" s="3"/>
      <c r="T2250" s="3"/>
      <c r="U2250" s="3"/>
    </row>
    <row r="2251" spans="2:21" x14ac:dyDescent="0.25">
      <c r="B2251" s="2"/>
      <c r="C2251" s="2"/>
      <c r="D2251" s="4"/>
      <c r="E2251" s="4"/>
      <c r="F2251" s="4"/>
      <c r="Q2251" s="3"/>
      <c r="R2251" s="3"/>
      <c r="S2251" s="3"/>
      <c r="T2251" s="3"/>
      <c r="U2251" s="3"/>
    </row>
    <row r="2252" spans="2:21" x14ac:dyDescent="0.25">
      <c r="B2252" s="2"/>
      <c r="C2252" s="2"/>
      <c r="D2252" s="4"/>
      <c r="E2252" s="4"/>
      <c r="F2252" s="4"/>
      <c r="Q2252" s="3"/>
      <c r="R2252" s="3"/>
      <c r="S2252" s="3"/>
      <c r="T2252" s="3"/>
      <c r="U2252" s="3"/>
    </row>
    <row r="2253" spans="2:21" x14ac:dyDescent="0.25">
      <c r="B2253" s="2"/>
      <c r="C2253" s="2"/>
      <c r="D2253" s="4"/>
      <c r="E2253" s="4"/>
      <c r="F2253" s="4"/>
      <c r="Q2253" s="3"/>
      <c r="R2253" s="3"/>
      <c r="S2253" s="3"/>
      <c r="T2253" s="3"/>
      <c r="U2253" s="3"/>
    </row>
    <row r="2254" spans="2:21" x14ac:dyDescent="0.25">
      <c r="B2254" s="2"/>
      <c r="C2254" s="2"/>
      <c r="D2254" s="4"/>
      <c r="E2254" s="4"/>
      <c r="F2254" s="4"/>
      <c r="Q2254" s="3"/>
      <c r="R2254" s="3"/>
      <c r="S2254" s="3"/>
      <c r="T2254" s="3"/>
      <c r="U2254" s="3"/>
    </row>
    <row r="2255" spans="2:21" x14ac:dyDescent="0.25">
      <c r="B2255" s="2"/>
      <c r="C2255" s="2"/>
      <c r="D2255" s="4"/>
      <c r="E2255" s="4"/>
      <c r="F2255" s="4"/>
      <c r="Q2255" s="3"/>
      <c r="R2255" s="3"/>
      <c r="S2255" s="3"/>
      <c r="T2255" s="3"/>
      <c r="U2255" s="3"/>
    </row>
    <row r="2256" spans="2:21" x14ac:dyDescent="0.25">
      <c r="B2256" s="2"/>
      <c r="C2256" s="2"/>
      <c r="D2256" s="4"/>
      <c r="E2256" s="4"/>
      <c r="F2256" s="4"/>
      <c r="Q2256" s="3"/>
      <c r="R2256" s="3"/>
      <c r="S2256" s="3"/>
      <c r="T2256" s="3"/>
      <c r="U2256" s="3"/>
    </row>
    <row r="2257" spans="2:21" x14ac:dyDescent="0.25">
      <c r="B2257" s="2"/>
      <c r="C2257" s="2"/>
      <c r="D2257" s="4"/>
      <c r="E2257" s="4"/>
      <c r="F2257" s="4"/>
      <c r="Q2257" s="3"/>
      <c r="R2257" s="3"/>
      <c r="S2257" s="3"/>
      <c r="T2257" s="3"/>
      <c r="U2257" s="3"/>
    </row>
    <row r="2258" spans="2:21" x14ac:dyDescent="0.25">
      <c r="B2258" s="2"/>
      <c r="C2258" s="2"/>
      <c r="D2258" s="4"/>
      <c r="E2258" s="4"/>
      <c r="F2258" s="4"/>
      <c r="Q2258" s="3"/>
      <c r="R2258" s="3"/>
      <c r="S2258" s="3"/>
      <c r="T2258" s="3"/>
      <c r="U2258" s="3"/>
    </row>
    <row r="2259" spans="2:21" x14ac:dyDescent="0.25">
      <c r="B2259" s="2"/>
      <c r="C2259" s="2"/>
      <c r="D2259" s="4"/>
      <c r="E2259" s="4"/>
      <c r="F2259" s="4"/>
      <c r="Q2259" s="3"/>
      <c r="R2259" s="3"/>
      <c r="S2259" s="3"/>
      <c r="T2259" s="3"/>
      <c r="U2259" s="3"/>
    </row>
    <row r="2260" spans="2:21" x14ac:dyDescent="0.25">
      <c r="B2260" s="2"/>
      <c r="C2260" s="2"/>
      <c r="D2260" s="4"/>
      <c r="E2260" s="4"/>
      <c r="F2260" s="4"/>
      <c r="Q2260" s="3"/>
      <c r="R2260" s="3"/>
      <c r="S2260" s="3"/>
      <c r="T2260" s="3"/>
      <c r="U2260" s="3"/>
    </row>
    <row r="2261" spans="2:21" x14ac:dyDescent="0.25">
      <c r="B2261" s="2"/>
      <c r="C2261" s="2"/>
      <c r="D2261" s="4"/>
      <c r="E2261" s="4"/>
      <c r="F2261" s="4"/>
      <c r="Q2261" s="3"/>
      <c r="R2261" s="3"/>
      <c r="S2261" s="3"/>
      <c r="T2261" s="3"/>
      <c r="U2261" s="3"/>
    </row>
    <row r="2262" spans="2:21" x14ac:dyDescent="0.25">
      <c r="B2262" s="2"/>
      <c r="C2262" s="2"/>
      <c r="D2262" s="4"/>
      <c r="E2262" s="4"/>
      <c r="F2262" s="4"/>
      <c r="Q2262" s="3"/>
      <c r="R2262" s="3"/>
      <c r="S2262" s="3"/>
      <c r="T2262" s="3"/>
      <c r="U2262" s="3"/>
    </row>
    <row r="2263" spans="2:21" x14ac:dyDescent="0.25">
      <c r="B2263" s="2"/>
      <c r="C2263" s="2"/>
      <c r="D2263" s="4"/>
      <c r="E2263" s="4"/>
      <c r="F2263" s="4"/>
      <c r="Q2263" s="3"/>
      <c r="R2263" s="3"/>
      <c r="S2263" s="3"/>
      <c r="T2263" s="3"/>
      <c r="U2263" s="3"/>
    </row>
    <row r="2264" spans="2:21" x14ac:dyDescent="0.25">
      <c r="B2264" s="2"/>
      <c r="C2264" s="2"/>
      <c r="D2264" s="4"/>
      <c r="E2264" s="4"/>
      <c r="F2264" s="4"/>
      <c r="Q2264" s="3"/>
      <c r="R2264" s="3"/>
      <c r="S2264" s="3"/>
      <c r="T2264" s="3"/>
      <c r="U2264" s="3"/>
    </row>
    <row r="2265" spans="2:21" x14ac:dyDescent="0.25">
      <c r="B2265" s="2"/>
      <c r="C2265" s="2"/>
      <c r="D2265" s="4"/>
      <c r="E2265" s="4"/>
      <c r="F2265" s="4"/>
      <c r="Q2265" s="3"/>
      <c r="R2265" s="3"/>
      <c r="S2265" s="3"/>
      <c r="T2265" s="3"/>
      <c r="U2265" s="3"/>
    </row>
    <row r="2266" spans="2:21" x14ac:dyDescent="0.25">
      <c r="B2266" s="2"/>
      <c r="C2266" s="2"/>
      <c r="D2266" s="4"/>
      <c r="E2266" s="4"/>
      <c r="F2266" s="4"/>
      <c r="Q2266" s="3"/>
      <c r="R2266" s="3"/>
      <c r="S2266" s="3"/>
      <c r="T2266" s="3"/>
      <c r="U2266" s="3"/>
    </row>
    <row r="2267" spans="2:21" x14ac:dyDescent="0.25">
      <c r="B2267" s="2"/>
      <c r="C2267" s="2"/>
      <c r="D2267" s="4"/>
      <c r="E2267" s="4"/>
      <c r="F2267" s="4"/>
      <c r="Q2267" s="3"/>
      <c r="R2267" s="3"/>
      <c r="S2267" s="3"/>
      <c r="T2267" s="3"/>
      <c r="U2267" s="3"/>
    </row>
    <row r="2268" spans="2:21" x14ac:dyDescent="0.25">
      <c r="B2268" s="2"/>
      <c r="C2268" s="2"/>
      <c r="D2268" s="4"/>
      <c r="E2268" s="4"/>
      <c r="F2268" s="4"/>
      <c r="Q2268" s="3"/>
      <c r="R2268" s="3"/>
      <c r="S2268" s="3"/>
      <c r="T2268" s="3"/>
      <c r="U2268" s="3"/>
    </row>
    <row r="2269" spans="2:21" x14ac:dyDescent="0.25">
      <c r="B2269" s="2"/>
      <c r="C2269" s="2"/>
      <c r="D2269" s="4"/>
      <c r="E2269" s="4"/>
      <c r="F2269" s="4"/>
      <c r="Q2269" s="3"/>
      <c r="R2269" s="3"/>
      <c r="S2269" s="3"/>
      <c r="T2269" s="3"/>
      <c r="U2269" s="3"/>
    </row>
    <row r="2270" spans="2:21" x14ac:dyDescent="0.25">
      <c r="B2270" s="2"/>
      <c r="C2270" s="2"/>
      <c r="D2270" s="4"/>
      <c r="E2270" s="4"/>
      <c r="F2270" s="4"/>
      <c r="Q2270" s="3"/>
      <c r="R2270" s="3"/>
      <c r="S2270" s="3"/>
      <c r="T2270" s="3"/>
      <c r="U2270" s="3"/>
    </row>
    <row r="2271" spans="2:21" x14ac:dyDescent="0.25">
      <c r="B2271" s="2"/>
      <c r="C2271" s="2"/>
      <c r="D2271" s="4"/>
      <c r="E2271" s="4"/>
      <c r="F2271" s="4"/>
      <c r="Q2271" s="3"/>
      <c r="R2271" s="3"/>
      <c r="S2271" s="3"/>
      <c r="T2271" s="3"/>
      <c r="U2271" s="3"/>
    </row>
    <row r="2272" spans="2:21" x14ac:dyDescent="0.25">
      <c r="B2272" s="2"/>
      <c r="C2272" s="2"/>
      <c r="D2272" s="4"/>
      <c r="E2272" s="4"/>
      <c r="F2272" s="4"/>
      <c r="Q2272" s="3"/>
      <c r="R2272" s="3"/>
      <c r="S2272" s="3"/>
      <c r="T2272" s="3"/>
      <c r="U2272" s="3"/>
    </row>
    <row r="2273" spans="2:21" x14ac:dyDescent="0.25">
      <c r="B2273" s="2"/>
      <c r="C2273" s="2"/>
      <c r="D2273" s="4"/>
      <c r="E2273" s="4"/>
      <c r="F2273" s="4"/>
      <c r="Q2273" s="3"/>
      <c r="R2273" s="3"/>
      <c r="S2273" s="3"/>
      <c r="T2273" s="3"/>
      <c r="U2273" s="3"/>
    </row>
    <row r="2274" spans="2:21" x14ac:dyDescent="0.25">
      <c r="B2274" s="2"/>
      <c r="C2274" s="2"/>
      <c r="D2274" s="4"/>
      <c r="E2274" s="4"/>
      <c r="F2274" s="4"/>
      <c r="Q2274" s="3"/>
      <c r="R2274" s="3"/>
      <c r="S2274" s="3"/>
      <c r="T2274" s="3"/>
      <c r="U2274" s="3"/>
    </row>
    <row r="2275" spans="2:21" x14ac:dyDescent="0.25">
      <c r="B2275" s="2"/>
      <c r="C2275" s="2"/>
      <c r="D2275" s="4"/>
      <c r="E2275" s="4"/>
      <c r="F2275" s="4"/>
      <c r="Q2275" s="3"/>
      <c r="R2275" s="3"/>
      <c r="S2275" s="3"/>
      <c r="T2275" s="3"/>
      <c r="U2275" s="3"/>
    </row>
    <row r="2276" spans="2:21" x14ac:dyDescent="0.25">
      <c r="B2276" s="2"/>
      <c r="C2276" s="2"/>
      <c r="D2276" s="4"/>
      <c r="E2276" s="4"/>
      <c r="F2276" s="4"/>
      <c r="Q2276" s="3"/>
      <c r="R2276" s="3"/>
      <c r="S2276" s="3"/>
      <c r="T2276" s="3"/>
      <c r="U2276" s="3"/>
    </row>
    <row r="2277" spans="2:21" x14ac:dyDescent="0.25">
      <c r="B2277" s="2"/>
      <c r="C2277" s="2"/>
      <c r="D2277" s="4"/>
      <c r="E2277" s="4"/>
      <c r="F2277" s="4"/>
      <c r="Q2277" s="3"/>
      <c r="R2277" s="3"/>
      <c r="S2277" s="3"/>
      <c r="T2277" s="3"/>
      <c r="U2277" s="3"/>
    </row>
    <row r="2278" spans="2:21" x14ac:dyDescent="0.25">
      <c r="B2278" s="2"/>
      <c r="C2278" s="2"/>
      <c r="D2278" s="4"/>
      <c r="E2278" s="4"/>
      <c r="F2278" s="4"/>
      <c r="Q2278" s="3"/>
      <c r="R2278" s="3"/>
      <c r="S2278" s="3"/>
      <c r="T2278" s="3"/>
      <c r="U2278" s="3"/>
    </row>
    <row r="2279" spans="2:21" x14ac:dyDescent="0.25">
      <c r="B2279" s="2"/>
      <c r="C2279" s="2"/>
      <c r="D2279" s="4"/>
      <c r="E2279" s="4"/>
      <c r="F2279" s="4"/>
      <c r="Q2279" s="3"/>
      <c r="R2279" s="3"/>
      <c r="S2279" s="3"/>
      <c r="T2279" s="3"/>
      <c r="U2279" s="3"/>
    </row>
    <row r="2280" spans="2:21" x14ac:dyDescent="0.25">
      <c r="B2280" s="2"/>
      <c r="C2280" s="2"/>
      <c r="D2280" s="4"/>
      <c r="E2280" s="4"/>
      <c r="F2280" s="4"/>
      <c r="Q2280" s="3"/>
      <c r="R2280" s="3"/>
      <c r="S2280" s="3"/>
      <c r="T2280" s="3"/>
      <c r="U2280" s="3"/>
    </row>
    <row r="2281" spans="2:21" x14ac:dyDescent="0.25">
      <c r="B2281" s="2"/>
      <c r="C2281" s="2"/>
      <c r="D2281" s="4"/>
      <c r="E2281" s="4"/>
      <c r="F2281" s="4"/>
      <c r="Q2281" s="3"/>
      <c r="R2281" s="3"/>
      <c r="S2281" s="3"/>
      <c r="T2281" s="3"/>
      <c r="U2281" s="3"/>
    </row>
    <row r="2282" spans="2:21" x14ac:dyDescent="0.25">
      <c r="B2282" s="2"/>
      <c r="C2282" s="2"/>
      <c r="D2282" s="4"/>
      <c r="E2282" s="4"/>
      <c r="F2282" s="4"/>
      <c r="Q2282" s="3"/>
      <c r="R2282" s="3"/>
      <c r="S2282" s="3"/>
      <c r="T2282" s="3"/>
      <c r="U2282" s="3"/>
    </row>
    <row r="2283" spans="2:21" x14ac:dyDescent="0.25">
      <c r="B2283" s="2"/>
      <c r="C2283" s="2"/>
      <c r="D2283" s="4"/>
      <c r="E2283" s="4"/>
      <c r="F2283" s="4"/>
      <c r="Q2283" s="3"/>
      <c r="R2283" s="3"/>
      <c r="S2283" s="3"/>
      <c r="T2283" s="3"/>
      <c r="U2283" s="3"/>
    </row>
    <row r="2284" spans="2:21" x14ac:dyDescent="0.25">
      <c r="B2284" s="2"/>
      <c r="C2284" s="2"/>
      <c r="D2284" s="4"/>
      <c r="E2284" s="4"/>
      <c r="F2284" s="4"/>
      <c r="Q2284" s="3"/>
      <c r="R2284" s="3"/>
      <c r="S2284" s="3"/>
      <c r="T2284" s="3"/>
      <c r="U2284" s="3"/>
    </row>
    <row r="2285" spans="2:21" x14ac:dyDescent="0.25">
      <c r="B2285" s="2"/>
      <c r="C2285" s="2"/>
      <c r="D2285" s="4"/>
      <c r="E2285" s="4"/>
      <c r="F2285" s="4"/>
      <c r="Q2285" s="3"/>
      <c r="R2285" s="3"/>
      <c r="S2285" s="3"/>
      <c r="T2285" s="3"/>
      <c r="U2285" s="3"/>
    </row>
    <row r="2286" spans="2:21" x14ac:dyDescent="0.25">
      <c r="B2286" s="2"/>
      <c r="C2286" s="2"/>
      <c r="D2286" s="4"/>
      <c r="E2286" s="4"/>
      <c r="F2286" s="4"/>
      <c r="Q2286" s="3"/>
      <c r="R2286" s="3"/>
      <c r="S2286" s="3"/>
      <c r="T2286" s="3"/>
      <c r="U2286" s="3"/>
    </row>
    <row r="2287" spans="2:21" x14ac:dyDescent="0.25">
      <c r="B2287" s="2"/>
      <c r="C2287" s="2"/>
      <c r="D2287" s="4"/>
      <c r="E2287" s="4"/>
      <c r="F2287" s="4"/>
      <c r="Q2287" s="3"/>
      <c r="R2287" s="3"/>
      <c r="S2287" s="3"/>
      <c r="T2287" s="3"/>
      <c r="U2287" s="3"/>
    </row>
    <row r="2288" spans="2:21" x14ac:dyDescent="0.25">
      <c r="B2288" s="2"/>
      <c r="C2288" s="2"/>
      <c r="D2288" s="4"/>
      <c r="E2288" s="4"/>
      <c r="F2288" s="4"/>
      <c r="Q2288" s="3"/>
      <c r="R2288" s="3"/>
      <c r="S2288" s="3"/>
      <c r="T2288" s="3"/>
      <c r="U2288" s="3"/>
    </row>
    <row r="2289" spans="2:21" x14ac:dyDescent="0.25">
      <c r="B2289" s="2"/>
      <c r="C2289" s="2"/>
      <c r="D2289" s="4"/>
      <c r="E2289" s="4"/>
      <c r="F2289" s="4"/>
      <c r="Q2289" s="3"/>
      <c r="R2289" s="3"/>
      <c r="S2289" s="3"/>
      <c r="T2289" s="3"/>
      <c r="U2289" s="3"/>
    </row>
    <row r="2290" spans="2:21" x14ac:dyDescent="0.25">
      <c r="B2290" s="2"/>
      <c r="C2290" s="2"/>
      <c r="D2290" s="4"/>
      <c r="E2290" s="4"/>
      <c r="F2290" s="4"/>
      <c r="Q2290" s="3"/>
      <c r="R2290" s="3"/>
      <c r="S2290" s="3"/>
      <c r="T2290" s="3"/>
      <c r="U2290" s="3"/>
    </row>
    <row r="2291" spans="2:21" x14ac:dyDescent="0.25">
      <c r="B2291" s="2"/>
      <c r="C2291" s="2"/>
      <c r="D2291" s="4"/>
      <c r="E2291" s="4"/>
      <c r="F2291" s="4"/>
      <c r="Q2291" s="3"/>
      <c r="R2291" s="3"/>
      <c r="S2291" s="3"/>
      <c r="T2291" s="3"/>
      <c r="U2291" s="3"/>
    </row>
    <row r="2292" spans="2:21" x14ac:dyDescent="0.25">
      <c r="B2292" s="2"/>
      <c r="C2292" s="2"/>
      <c r="D2292" s="4"/>
      <c r="E2292" s="4"/>
      <c r="F2292" s="4"/>
      <c r="Q2292" s="3"/>
      <c r="R2292" s="3"/>
      <c r="S2292" s="3"/>
      <c r="T2292" s="3"/>
      <c r="U2292" s="3"/>
    </row>
    <row r="2293" spans="2:21" x14ac:dyDescent="0.25">
      <c r="B2293" s="2"/>
      <c r="C2293" s="2"/>
      <c r="D2293" s="4"/>
      <c r="E2293" s="4"/>
      <c r="F2293" s="4"/>
      <c r="Q2293" s="3"/>
      <c r="R2293" s="3"/>
      <c r="S2293" s="3"/>
      <c r="T2293" s="3"/>
      <c r="U2293" s="3"/>
    </row>
    <row r="2294" spans="2:21" x14ac:dyDescent="0.25">
      <c r="B2294" s="2"/>
      <c r="C2294" s="2"/>
      <c r="D2294" s="4"/>
      <c r="E2294" s="4"/>
      <c r="F2294" s="4"/>
      <c r="Q2294" s="3"/>
      <c r="R2294" s="3"/>
      <c r="S2294" s="3"/>
      <c r="T2294" s="3"/>
      <c r="U2294" s="3"/>
    </row>
    <row r="2295" spans="2:21" x14ac:dyDescent="0.25">
      <c r="B2295" s="2"/>
      <c r="C2295" s="2"/>
      <c r="D2295" s="4"/>
      <c r="E2295" s="4"/>
      <c r="F2295" s="4"/>
      <c r="Q2295" s="3"/>
      <c r="R2295" s="3"/>
      <c r="S2295" s="3"/>
      <c r="T2295" s="3"/>
      <c r="U2295" s="3"/>
    </row>
    <row r="2296" spans="2:21" x14ac:dyDescent="0.25">
      <c r="B2296" s="2"/>
      <c r="C2296" s="2"/>
      <c r="D2296" s="4"/>
      <c r="E2296" s="4"/>
      <c r="F2296" s="4"/>
      <c r="Q2296" s="3"/>
      <c r="R2296" s="3"/>
      <c r="S2296" s="3"/>
      <c r="T2296" s="3"/>
      <c r="U2296" s="3"/>
    </row>
    <row r="2297" spans="2:21" x14ac:dyDescent="0.25">
      <c r="B2297" s="2"/>
      <c r="C2297" s="2"/>
      <c r="D2297" s="4"/>
      <c r="E2297" s="4"/>
      <c r="F2297" s="4"/>
      <c r="Q2297" s="3"/>
      <c r="R2297" s="3"/>
      <c r="S2297" s="3"/>
      <c r="T2297" s="3"/>
      <c r="U2297" s="3"/>
    </row>
    <row r="2298" spans="2:21" x14ac:dyDescent="0.25">
      <c r="B2298" s="2"/>
      <c r="C2298" s="2"/>
      <c r="D2298" s="4"/>
      <c r="E2298" s="4"/>
      <c r="F2298" s="4"/>
      <c r="Q2298" s="3"/>
      <c r="R2298" s="3"/>
      <c r="S2298" s="3"/>
      <c r="T2298" s="3"/>
      <c r="U2298" s="3"/>
    </row>
    <row r="2299" spans="2:21" x14ac:dyDescent="0.25">
      <c r="B2299" s="2"/>
      <c r="C2299" s="2"/>
      <c r="D2299" s="4"/>
      <c r="E2299" s="4"/>
      <c r="F2299" s="4"/>
      <c r="Q2299" s="3"/>
      <c r="R2299" s="3"/>
      <c r="S2299" s="3"/>
      <c r="T2299" s="3"/>
      <c r="U2299" s="3"/>
    </row>
    <row r="2300" spans="2:21" x14ac:dyDescent="0.25">
      <c r="B2300" s="2"/>
      <c r="C2300" s="2"/>
      <c r="D2300" s="4"/>
      <c r="E2300" s="4"/>
      <c r="F2300" s="4"/>
      <c r="Q2300" s="3"/>
      <c r="R2300" s="3"/>
      <c r="S2300" s="3"/>
      <c r="T2300" s="3"/>
      <c r="U2300" s="3"/>
    </row>
    <row r="2301" spans="2:21" x14ac:dyDescent="0.25">
      <c r="B2301" s="2"/>
      <c r="C2301" s="2"/>
      <c r="D2301" s="4"/>
      <c r="E2301" s="4"/>
      <c r="F2301" s="4"/>
      <c r="Q2301" s="3"/>
      <c r="R2301" s="3"/>
      <c r="S2301" s="3"/>
      <c r="T2301" s="3"/>
      <c r="U2301" s="3"/>
    </row>
    <row r="2302" spans="2:21" x14ac:dyDescent="0.25">
      <c r="B2302" s="2"/>
      <c r="C2302" s="2"/>
      <c r="D2302" s="4"/>
      <c r="E2302" s="4"/>
      <c r="F2302" s="4"/>
      <c r="Q2302" s="3"/>
      <c r="R2302" s="3"/>
      <c r="S2302" s="3"/>
      <c r="T2302" s="3"/>
      <c r="U2302" s="3"/>
    </row>
    <row r="2303" spans="2:21" x14ac:dyDescent="0.25">
      <c r="B2303" s="2"/>
      <c r="C2303" s="2"/>
      <c r="D2303" s="4"/>
      <c r="E2303" s="4"/>
      <c r="F2303" s="4"/>
      <c r="Q2303" s="3"/>
      <c r="R2303" s="3"/>
      <c r="S2303" s="3"/>
      <c r="T2303" s="3"/>
      <c r="U2303" s="3"/>
    </row>
    <row r="2304" spans="2:21" x14ac:dyDescent="0.25">
      <c r="B2304" s="2"/>
      <c r="C2304" s="2"/>
      <c r="D2304" s="4"/>
      <c r="E2304" s="4"/>
      <c r="F2304" s="4"/>
      <c r="Q2304" s="3"/>
      <c r="R2304" s="3"/>
      <c r="S2304" s="3"/>
      <c r="T2304" s="3"/>
      <c r="U2304" s="3"/>
    </row>
    <row r="2305" spans="2:21" x14ac:dyDescent="0.25">
      <c r="B2305" s="2"/>
      <c r="C2305" s="2"/>
      <c r="D2305" s="4"/>
      <c r="E2305" s="4"/>
      <c r="F2305" s="4"/>
      <c r="Q2305" s="3"/>
      <c r="R2305" s="3"/>
      <c r="S2305" s="3"/>
      <c r="T2305" s="3"/>
      <c r="U2305" s="3"/>
    </row>
    <row r="2306" spans="2:21" x14ac:dyDescent="0.25">
      <c r="B2306" s="2"/>
      <c r="C2306" s="2"/>
      <c r="D2306" s="4"/>
      <c r="E2306" s="4"/>
      <c r="F2306" s="4"/>
      <c r="Q2306" s="3"/>
      <c r="R2306" s="3"/>
      <c r="S2306" s="3"/>
      <c r="T2306" s="3"/>
      <c r="U2306" s="3"/>
    </row>
    <row r="2307" spans="2:21" x14ac:dyDescent="0.25">
      <c r="B2307" s="2"/>
      <c r="C2307" s="2"/>
      <c r="D2307" s="4"/>
      <c r="E2307" s="4"/>
      <c r="F2307" s="4"/>
      <c r="Q2307" s="3"/>
      <c r="R2307" s="3"/>
      <c r="S2307" s="3"/>
      <c r="T2307" s="3"/>
      <c r="U2307" s="3"/>
    </row>
    <row r="2308" spans="2:21" x14ac:dyDescent="0.25">
      <c r="B2308" s="2"/>
      <c r="C2308" s="2"/>
      <c r="D2308" s="4"/>
      <c r="E2308" s="4"/>
      <c r="F2308" s="4"/>
      <c r="Q2308" s="3"/>
      <c r="R2308" s="3"/>
      <c r="S2308" s="3"/>
      <c r="T2308" s="3"/>
      <c r="U2308" s="3"/>
    </row>
    <row r="2309" spans="2:21" x14ac:dyDescent="0.25">
      <c r="B2309" s="2"/>
      <c r="C2309" s="2"/>
      <c r="D2309" s="4"/>
      <c r="E2309" s="4"/>
      <c r="F2309" s="4"/>
      <c r="Q2309" s="3"/>
      <c r="R2309" s="3"/>
      <c r="S2309" s="3"/>
      <c r="T2309" s="3"/>
      <c r="U2309" s="3"/>
    </row>
    <row r="2310" spans="2:21" x14ac:dyDescent="0.25">
      <c r="B2310" s="2"/>
      <c r="C2310" s="2"/>
      <c r="D2310" s="4"/>
      <c r="E2310" s="4"/>
      <c r="F2310" s="4"/>
      <c r="Q2310" s="3"/>
      <c r="R2310" s="3"/>
      <c r="S2310" s="3"/>
      <c r="T2310" s="3"/>
      <c r="U2310" s="3"/>
    </row>
    <row r="2311" spans="2:21" x14ac:dyDescent="0.25">
      <c r="B2311" s="2"/>
      <c r="C2311" s="2"/>
      <c r="D2311" s="4"/>
      <c r="E2311" s="4"/>
      <c r="F2311" s="4"/>
      <c r="Q2311" s="3"/>
      <c r="R2311" s="3"/>
      <c r="S2311" s="3"/>
      <c r="T2311" s="3"/>
      <c r="U2311" s="3"/>
    </row>
    <row r="2312" spans="2:21" x14ac:dyDescent="0.25">
      <c r="B2312" s="2"/>
      <c r="C2312" s="2"/>
      <c r="D2312" s="4"/>
      <c r="E2312" s="4"/>
      <c r="F2312" s="4"/>
      <c r="Q2312" s="3"/>
      <c r="R2312" s="3"/>
      <c r="S2312" s="3"/>
      <c r="T2312" s="3"/>
      <c r="U2312" s="3"/>
    </row>
    <row r="2313" spans="2:21" x14ac:dyDescent="0.25">
      <c r="B2313" s="2"/>
      <c r="C2313" s="2"/>
      <c r="D2313" s="4"/>
      <c r="E2313" s="4"/>
      <c r="F2313" s="4"/>
      <c r="Q2313" s="3"/>
      <c r="R2313" s="3"/>
      <c r="S2313" s="3"/>
      <c r="T2313" s="3"/>
      <c r="U2313" s="3"/>
    </row>
    <row r="2314" spans="2:21" x14ac:dyDescent="0.25">
      <c r="B2314" s="2"/>
      <c r="C2314" s="2"/>
      <c r="D2314" s="4"/>
      <c r="E2314" s="4"/>
      <c r="F2314" s="4"/>
      <c r="Q2314" s="3"/>
      <c r="R2314" s="3"/>
      <c r="S2314" s="3"/>
      <c r="T2314" s="3"/>
      <c r="U2314" s="3"/>
    </row>
    <row r="2315" spans="2:21" x14ac:dyDescent="0.25">
      <c r="B2315" s="2"/>
      <c r="C2315" s="2"/>
      <c r="D2315" s="4"/>
      <c r="E2315" s="4"/>
      <c r="F2315" s="4"/>
      <c r="Q2315" s="3"/>
      <c r="R2315" s="3"/>
      <c r="S2315" s="3"/>
      <c r="T2315" s="3"/>
      <c r="U2315" s="3"/>
    </row>
    <row r="2316" spans="2:21" x14ac:dyDescent="0.25">
      <c r="B2316" s="2"/>
      <c r="C2316" s="2"/>
      <c r="D2316" s="4"/>
      <c r="E2316" s="4"/>
      <c r="F2316" s="4"/>
      <c r="Q2316" s="3"/>
      <c r="R2316" s="3"/>
      <c r="S2316" s="3"/>
      <c r="T2316" s="3"/>
      <c r="U2316" s="3"/>
    </row>
    <row r="2317" spans="2:21" x14ac:dyDescent="0.25">
      <c r="B2317" s="2"/>
      <c r="C2317" s="2"/>
      <c r="D2317" s="4"/>
      <c r="E2317" s="4"/>
      <c r="F2317" s="4"/>
      <c r="Q2317" s="3"/>
      <c r="R2317" s="3"/>
      <c r="S2317" s="3"/>
      <c r="T2317" s="3"/>
      <c r="U2317" s="3"/>
    </row>
    <row r="2318" spans="2:21" x14ac:dyDescent="0.25">
      <c r="B2318" s="2"/>
      <c r="C2318" s="2"/>
      <c r="D2318" s="4"/>
      <c r="E2318" s="4"/>
      <c r="F2318" s="4"/>
      <c r="Q2318" s="3"/>
      <c r="R2318" s="3"/>
      <c r="S2318" s="3"/>
      <c r="T2318" s="3"/>
      <c r="U2318" s="3"/>
    </row>
    <row r="2319" spans="2:21" x14ac:dyDescent="0.25">
      <c r="B2319" s="2"/>
      <c r="C2319" s="2"/>
      <c r="D2319" s="4"/>
      <c r="E2319" s="4"/>
      <c r="F2319" s="4"/>
      <c r="Q2319" s="3"/>
      <c r="R2319" s="3"/>
      <c r="S2319" s="3"/>
      <c r="T2319" s="3"/>
      <c r="U2319" s="3"/>
    </row>
    <row r="2320" spans="2:21" x14ac:dyDescent="0.25">
      <c r="B2320" s="2"/>
      <c r="C2320" s="2"/>
      <c r="D2320" s="4"/>
      <c r="E2320" s="4"/>
      <c r="F2320" s="4"/>
      <c r="Q2320" s="3"/>
      <c r="R2320" s="3"/>
      <c r="S2320" s="3"/>
      <c r="T2320" s="3"/>
      <c r="U2320" s="3"/>
    </row>
    <row r="2321" spans="2:21" x14ac:dyDescent="0.25">
      <c r="B2321" s="2"/>
      <c r="C2321" s="2"/>
      <c r="D2321" s="4"/>
      <c r="E2321" s="4"/>
      <c r="F2321" s="4"/>
      <c r="Q2321" s="3"/>
      <c r="R2321" s="3"/>
      <c r="S2321" s="3"/>
      <c r="T2321" s="3"/>
      <c r="U2321" s="3"/>
    </row>
    <row r="2322" spans="2:21" x14ac:dyDescent="0.25">
      <c r="B2322" s="2"/>
      <c r="C2322" s="2"/>
      <c r="D2322" s="4"/>
      <c r="E2322" s="4"/>
      <c r="F2322" s="4"/>
      <c r="Q2322" s="3"/>
      <c r="R2322" s="3"/>
      <c r="S2322" s="3"/>
      <c r="T2322" s="3"/>
      <c r="U2322" s="3"/>
    </row>
    <row r="2323" spans="2:21" x14ac:dyDescent="0.25">
      <c r="B2323" s="2"/>
      <c r="C2323" s="2"/>
      <c r="D2323" s="4"/>
      <c r="E2323" s="4"/>
      <c r="F2323" s="4"/>
      <c r="Q2323" s="3"/>
      <c r="R2323" s="3"/>
      <c r="S2323" s="3"/>
      <c r="T2323" s="3"/>
      <c r="U2323" s="3"/>
    </row>
    <row r="2324" spans="2:21" x14ac:dyDescent="0.25">
      <c r="B2324" s="2"/>
      <c r="C2324" s="2"/>
      <c r="D2324" s="4"/>
      <c r="E2324" s="4"/>
      <c r="F2324" s="4"/>
      <c r="Q2324" s="3"/>
      <c r="R2324" s="3"/>
      <c r="S2324" s="3"/>
      <c r="T2324" s="3"/>
      <c r="U2324" s="3"/>
    </row>
    <row r="2325" spans="2:21" x14ac:dyDescent="0.25">
      <c r="B2325" s="2"/>
      <c r="C2325" s="2"/>
      <c r="D2325" s="4"/>
      <c r="E2325" s="4"/>
      <c r="F2325" s="4"/>
      <c r="Q2325" s="3"/>
      <c r="R2325" s="3"/>
      <c r="S2325" s="3"/>
      <c r="T2325" s="3"/>
      <c r="U2325" s="3"/>
    </row>
    <row r="2326" spans="2:21" x14ac:dyDescent="0.25">
      <c r="B2326" s="2"/>
      <c r="C2326" s="2"/>
      <c r="D2326" s="4"/>
      <c r="E2326" s="4"/>
      <c r="F2326" s="4"/>
      <c r="Q2326" s="3"/>
      <c r="R2326" s="3"/>
      <c r="S2326" s="3"/>
      <c r="T2326" s="3"/>
      <c r="U2326" s="3"/>
    </row>
    <row r="2327" spans="2:21" x14ac:dyDescent="0.25">
      <c r="B2327" s="2"/>
      <c r="C2327" s="2"/>
      <c r="D2327" s="4"/>
      <c r="E2327" s="4"/>
      <c r="F2327" s="4"/>
      <c r="Q2327" s="3"/>
      <c r="R2327" s="3"/>
      <c r="S2327" s="3"/>
      <c r="T2327" s="3"/>
      <c r="U2327" s="3"/>
    </row>
    <row r="2328" spans="2:21" x14ac:dyDescent="0.25">
      <c r="B2328" s="2"/>
      <c r="C2328" s="2"/>
      <c r="D2328" s="4"/>
      <c r="E2328" s="4"/>
      <c r="F2328" s="4"/>
      <c r="Q2328" s="3"/>
      <c r="R2328" s="3"/>
      <c r="S2328" s="3"/>
      <c r="T2328" s="3"/>
      <c r="U2328" s="3"/>
    </row>
    <row r="2329" spans="2:21" x14ac:dyDescent="0.25">
      <c r="B2329" s="2"/>
      <c r="C2329" s="2"/>
      <c r="D2329" s="4"/>
      <c r="E2329" s="4"/>
      <c r="F2329" s="4"/>
      <c r="Q2329" s="3"/>
      <c r="R2329" s="3"/>
      <c r="S2329" s="3"/>
      <c r="T2329" s="3"/>
      <c r="U2329" s="3"/>
    </row>
    <row r="2330" spans="2:21" x14ac:dyDescent="0.25">
      <c r="B2330" s="2"/>
      <c r="C2330" s="2"/>
      <c r="D2330" s="4"/>
      <c r="E2330" s="4"/>
      <c r="F2330" s="4"/>
      <c r="Q2330" s="3"/>
      <c r="R2330" s="3"/>
      <c r="S2330" s="3"/>
      <c r="T2330" s="3"/>
      <c r="U2330" s="3"/>
    </row>
    <row r="2331" spans="2:21" x14ac:dyDescent="0.25">
      <c r="B2331" s="2"/>
      <c r="C2331" s="2"/>
      <c r="D2331" s="4"/>
      <c r="E2331" s="4"/>
      <c r="F2331" s="4"/>
      <c r="Q2331" s="3"/>
      <c r="R2331" s="3"/>
      <c r="S2331" s="3"/>
      <c r="T2331" s="3"/>
      <c r="U2331" s="3"/>
    </row>
    <row r="2332" spans="2:21" x14ac:dyDescent="0.25">
      <c r="B2332" s="2"/>
      <c r="C2332" s="2"/>
      <c r="D2332" s="4"/>
      <c r="E2332" s="4"/>
      <c r="F2332" s="4"/>
      <c r="Q2332" s="3"/>
      <c r="R2332" s="3"/>
      <c r="S2332" s="3"/>
      <c r="T2332" s="3"/>
      <c r="U2332" s="3"/>
    </row>
    <row r="2333" spans="2:21" x14ac:dyDescent="0.25">
      <c r="B2333" s="2"/>
      <c r="C2333" s="2"/>
      <c r="D2333" s="4"/>
      <c r="E2333" s="4"/>
      <c r="F2333" s="4"/>
      <c r="Q2333" s="3"/>
      <c r="R2333" s="3"/>
      <c r="S2333" s="3"/>
      <c r="T2333" s="3"/>
      <c r="U2333" s="3"/>
    </row>
    <row r="2334" spans="2:21" x14ac:dyDescent="0.25">
      <c r="B2334" s="2"/>
      <c r="C2334" s="2"/>
      <c r="D2334" s="4"/>
      <c r="E2334" s="4"/>
      <c r="F2334" s="4"/>
      <c r="Q2334" s="3"/>
      <c r="R2334" s="3"/>
      <c r="S2334" s="3"/>
      <c r="T2334" s="3"/>
      <c r="U2334" s="3"/>
    </row>
    <row r="2335" spans="2:21" x14ac:dyDescent="0.25">
      <c r="B2335" s="2"/>
      <c r="C2335" s="2"/>
      <c r="D2335" s="4"/>
      <c r="E2335" s="4"/>
      <c r="F2335" s="4"/>
      <c r="Q2335" s="3"/>
      <c r="R2335" s="3"/>
      <c r="S2335" s="3"/>
      <c r="T2335" s="3"/>
      <c r="U2335" s="3"/>
    </row>
    <row r="2336" spans="2:21" x14ac:dyDescent="0.25">
      <c r="B2336" s="2"/>
      <c r="C2336" s="2"/>
      <c r="D2336" s="4"/>
      <c r="E2336" s="4"/>
      <c r="F2336" s="4"/>
      <c r="Q2336" s="3"/>
      <c r="R2336" s="3"/>
      <c r="S2336" s="3"/>
      <c r="T2336" s="3"/>
      <c r="U2336" s="3"/>
    </row>
    <row r="2337" spans="2:21" x14ac:dyDescent="0.25">
      <c r="B2337" s="2"/>
      <c r="C2337" s="2"/>
      <c r="D2337" s="4"/>
      <c r="E2337" s="4"/>
      <c r="F2337" s="4"/>
      <c r="Q2337" s="3"/>
      <c r="R2337" s="3"/>
      <c r="S2337" s="3"/>
      <c r="T2337" s="3"/>
      <c r="U2337" s="3"/>
    </row>
    <row r="2338" spans="2:21" x14ac:dyDescent="0.25">
      <c r="B2338" s="2"/>
      <c r="C2338" s="2"/>
      <c r="D2338" s="4"/>
      <c r="E2338" s="4"/>
      <c r="F2338" s="4"/>
      <c r="Q2338" s="3"/>
      <c r="R2338" s="3"/>
      <c r="S2338" s="3"/>
      <c r="T2338" s="3"/>
      <c r="U2338" s="3"/>
    </row>
    <row r="2339" spans="2:21" x14ac:dyDescent="0.25">
      <c r="B2339" s="2"/>
      <c r="C2339" s="2"/>
      <c r="D2339" s="4"/>
      <c r="E2339" s="4"/>
      <c r="F2339" s="4"/>
      <c r="Q2339" s="3"/>
      <c r="R2339" s="3"/>
      <c r="S2339" s="3"/>
      <c r="T2339" s="3"/>
      <c r="U2339" s="3"/>
    </row>
    <row r="2340" spans="2:21" x14ac:dyDescent="0.25">
      <c r="B2340" s="2"/>
      <c r="C2340" s="2"/>
      <c r="D2340" s="4"/>
      <c r="E2340" s="4"/>
      <c r="F2340" s="4"/>
      <c r="Q2340" s="3"/>
      <c r="R2340" s="3"/>
      <c r="S2340" s="3"/>
      <c r="T2340" s="3"/>
      <c r="U2340" s="3"/>
    </row>
    <row r="2341" spans="2:21" x14ac:dyDescent="0.25">
      <c r="B2341" s="2"/>
      <c r="C2341" s="2"/>
      <c r="D2341" s="4"/>
      <c r="E2341" s="4"/>
      <c r="F2341" s="4"/>
      <c r="Q2341" s="3"/>
      <c r="R2341" s="3"/>
      <c r="S2341" s="3"/>
      <c r="T2341" s="3"/>
      <c r="U2341" s="3"/>
    </row>
    <row r="2342" spans="2:21" x14ac:dyDescent="0.25">
      <c r="B2342" s="2"/>
      <c r="C2342" s="2"/>
      <c r="D2342" s="4"/>
      <c r="E2342" s="4"/>
      <c r="F2342" s="4"/>
      <c r="Q2342" s="3"/>
      <c r="R2342" s="3"/>
      <c r="S2342" s="3"/>
      <c r="T2342" s="3"/>
      <c r="U2342" s="3"/>
    </row>
    <row r="2343" spans="2:21" x14ac:dyDescent="0.25">
      <c r="B2343" s="2"/>
      <c r="C2343" s="2"/>
      <c r="D2343" s="4"/>
      <c r="E2343" s="4"/>
      <c r="F2343" s="4"/>
      <c r="Q2343" s="3"/>
      <c r="R2343" s="3"/>
      <c r="S2343" s="3"/>
      <c r="T2343" s="3"/>
      <c r="U2343" s="3"/>
    </row>
    <row r="2344" spans="2:21" x14ac:dyDescent="0.25">
      <c r="B2344" s="2"/>
      <c r="C2344" s="2"/>
      <c r="D2344" s="4"/>
      <c r="E2344" s="4"/>
      <c r="F2344" s="4"/>
      <c r="Q2344" s="3"/>
      <c r="R2344" s="3"/>
      <c r="S2344" s="3"/>
      <c r="T2344" s="3"/>
      <c r="U2344" s="3"/>
    </row>
    <row r="2345" spans="2:21" x14ac:dyDescent="0.25">
      <c r="B2345" s="2"/>
      <c r="C2345" s="2"/>
      <c r="D2345" s="4"/>
      <c r="E2345" s="4"/>
      <c r="F2345" s="4"/>
      <c r="Q2345" s="3"/>
      <c r="R2345" s="3"/>
      <c r="S2345" s="3"/>
      <c r="T2345" s="3"/>
      <c r="U2345" s="3"/>
    </row>
    <row r="2346" spans="2:21" x14ac:dyDescent="0.25">
      <c r="B2346" s="2"/>
      <c r="C2346" s="2"/>
      <c r="D2346" s="4"/>
      <c r="E2346" s="4"/>
      <c r="F2346" s="4"/>
      <c r="Q2346" s="3"/>
      <c r="R2346" s="3"/>
      <c r="S2346" s="3"/>
      <c r="T2346" s="3"/>
      <c r="U2346" s="3"/>
    </row>
    <row r="2347" spans="2:21" x14ac:dyDescent="0.25">
      <c r="B2347" s="2"/>
      <c r="C2347" s="2"/>
      <c r="D2347" s="4"/>
      <c r="E2347" s="4"/>
      <c r="F2347" s="4"/>
      <c r="Q2347" s="3"/>
      <c r="R2347" s="3"/>
      <c r="S2347" s="3"/>
      <c r="T2347" s="3"/>
      <c r="U2347" s="3"/>
    </row>
    <row r="2348" spans="2:21" x14ac:dyDescent="0.25">
      <c r="B2348" s="2"/>
      <c r="C2348" s="2"/>
      <c r="D2348" s="4"/>
      <c r="E2348" s="4"/>
      <c r="F2348" s="4"/>
      <c r="Q2348" s="3"/>
      <c r="R2348" s="3"/>
      <c r="S2348" s="3"/>
      <c r="T2348" s="3"/>
      <c r="U2348" s="3"/>
    </row>
    <row r="2349" spans="2:21" x14ac:dyDescent="0.25">
      <c r="B2349" s="2"/>
      <c r="C2349" s="2"/>
      <c r="D2349" s="4"/>
      <c r="E2349" s="4"/>
      <c r="F2349" s="4"/>
      <c r="Q2349" s="3"/>
      <c r="R2349" s="3"/>
      <c r="S2349" s="3"/>
      <c r="T2349" s="3"/>
      <c r="U2349" s="3"/>
    </row>
    <row r="2350" spans="2:21" x14ac:dyDescent="0.25">
      <c r="B2350" s="2"/>
      <c r="C2350" s="2"/>
      <c r="D2350" s="4"/>
      <c r="E2350" s="4"/>
      <c r="F2350" s="4"/>
      <c r="Q2350" s="3"/>
      <c r="R2350" s="3"/>
      <c r="S2350" s="3"/>
      <c r="T2350" s="3"/>
      <c r="U2350" s="3"/>
    </row>
    <row r="2351" spans="2:21" x14ac:dyDescent="0.25">
      <c r="B2351" s="2"/>
      <c r="C2351" s="2"/>
      <c r="D2351" s="4"/>
      <c r="E2351" s="4"/>
      <c r="F2351" s="4"/>
      <c r="Q2351" s="3"/>
      <c r="R2351" s="3"/>
      <c r="S2351" s="3"/>
      <c r="T2351" s="3"/>
      <c r="U2351" s="3"/>
    </row>
    <row r="2352" spans="2:21" x14ac:dyDescent="0.25">
      <c r="B2352" s="2"/>
      <c r="C2352" s="2"/>
      <c r="D2352" s="4"/>
      <c r="E2352" s="4"/>
      <c r="F2352" s="4"/>
      <c r="Q2352" s="3"/>
      <c r="R2352" s="3"/>
      <c r="S2352" s="3"/>
      <c r="T2352" s="3"/>
      <c r="U2352" s="3"/>
    </row>
    <row r="2353" spans="2:21" x14ac:dyDescent="0.25">
      <c r="B2353" s="2"/>
      <c r="C2353" s="2"/>
      <c r="D2353" s="4"/>
      <c r="E2353" s="4"/>
      <c r="F2353" s="4"/>
      <c r="Q2353" s="3"/>
      <c r="R2353" s="3"/>
      <c r="S2353" s="3"/>
      <c r="T2353" s="3"/>
      <c r="U2353" s="3"/>
    </row>
    <row r="2354" spans="2:21" x14ac:dyDescent="0.25">
      <c r="B2354" s="2"/>
      <c r="C2354" s="2"/>
      <c r="D2354" s="4"/>
      <c r="E2354" s="4"/>
      <c r="F2354" s="4"/>
      <c r="Q2354" s="3"/>
      <c r="R2354" s="3"/>
      <c r="S2354" s="3"/>
      <c r="T2354" s="3"/>
      <c r="U2354" s="3"/>
    </row>
    <row r="2355" spans="2:21" x14ac:dyDescent="0.25">
      <c r="B2355" s="2"/>
      <c r="C2355" s="2"/>
      <c r="D2355" s="4"/>
      <c r="E2355" s="4"/>
      <c r="F2355" s="4"/>
      <c r="Q2355" s="3"/>
      <c r="R2355" s="3"/>
      <c r="S2355" s="3"/>
      <c r="T2355" s="3"/>
      <c r="U2355" s="3"/>
    </row>
    <row r="2356" spans="2:21" x14ac:dyDescent="0.25">
      <c r="B2356" s="2"/>
      <c r="C2356" s="2"/>
      <c r="D2356" s="4"/>
      <c r="E2356" s="4"/>
      <c r="F2356" s="4"/>
      <c r="Q2356" s="3"/>
      <c r="R2356" s="3"/>
      <c r="S2356" s="3"/>
      <c r="T2356" s="3"/>
      <c r="U2356" s="3"/>
    </row>
    <row r="2357" spans="2:21" x14ac:dyDescent="0.25">
      <c r="B2357" s="2"/>
      <c r="C2357" s="2"/>
      <c r="D2357" s="4"/>
      <c r="E2357" s="4"/>
      <c r="F2357" s="4"/>
      <c r="Q2357" s="3"/>
      <c r="R2357" s="3"/>
      <c r="S2357" s="3"/>
      <c r="T2357" s="3"/>
      <c r="U2357" s="3"/>
    </row>
    <row r="2358" spans="2:21" x14ac:dyDescent="0.25">
      <c r="B2358" s="2"/>
      <c r="C2358" s="2"/>
      <c r="D2358" s="4"/>
      <c r="E2358" s="4"/>
      <c r="F2358" s="4"/>
      <c r="Q2358" s="3"/>
      <c r="R2358" s="3"/>
      <c r="S2358" s="3"/>
      <c r="T2358" s="3"/>
      <c r="U2358" s="3"/>
    </row>
    <row r="2359" spans="2:21" x14ac:dyDescent="0.25">
      <c r="B2359" s="2"/>
      <c r="C2359" s="2"/>
      <c r="D2359" s="4"/>
      <c r="E2359" s="4"/>
      <c r="F2359" s="4"/>
      <c r="Q2359" s="3"/>
      <c r="R2359" s="3"/>
      <c r="S2359" s="3"/>
      <c r="T2359" s="3"/>
      <c r="U2359" s="3"/>
    </row>
    <row r="2360" spans="2:21" x14ac:dyDescent="0.25">
      <c r="B2360" s="2"/>
      <c r="C2360" s="2"/>
      <c r="D2360" s="4"/>
      <c r="E2360" s="4"/>
      <c r="F2360" s="4"/>
      <c r="Q2360" s="3"/>
      <c r="R2360" s="3"/>
      <c r="S2360" s="3"/>
      <c r="T2360" s="3"/>
      <c r="U2360" s="3"/>
    </row>
    <row r="2361" spans="2:21" x14ac:dyDescent="0.25">
      <c r="B2361" s="2"/>
      <c r="C2361" s="2"/>
      <c r="D2361" s="4"/>
      <c r="E2361" s="4"/>
      <c r="F2361" s="4"/>
      <c r="Q2361" s="3"/>
      <c r="R2361" s="3"/>
      <c r="S2361" s="3"/>
      <c r="T2361" s="3"/>
      <c r="U2361" s="3"/>
    </row>
    <row r="2362" spans="2:21" x14ac:dyDescent="0.25">
      <c r="B2362" s="2"/>
      <c r="C2362" s="2"/>
      <c r="D2362" s="4"/>
      <c r="E2362" s="4"/>
      <c r="F2362" s="4"/>
      <c r="Q2362" s="3"/>
      <c r="R2362" s="3"/>
      <c r="S2362" s="3"/>
      <c r="T2362" s="3"/>
      <c r="U2362" s="3"/>
    </row>
    <row r="2363" spans="2:21" x14ac:dyDescent="0.25">
      <c r="B2363" s="2"/>
      <c r="C2363" s="2"/>
      <c r="D2363" s="4"/>
      <c r="E2363" s="4"/>
      <c r="F2363" s="4"/>
      <c r="Q2363" s="3"/>
      <c r="R2363" s="3"/>
      <c r="S2363" s="3"/>
      <c r="T2363" s="3"/>
      <c r="U2363" s="3"/>
    </row>
    <row r="2364" spans="2:21" x14ac:dyDescent="0.25">
      <c r="B2364" s="2"/>
      <c r="C2364" s="2"/>
      <c r="D2364" s="4"/>
      <c r="E2364" s="4"/>
      <c r="F2364" s="4"/>
      <c r="Q2364" s="3"/>
      <c r="R2364" s="3"/>
      <c r="S2364" s="3"/>
      <c r="T2364" s="3"/>
      <c r="U2364" s="3"/>
    </row>
    <row r="2365" spans="2:21" x14ac:dyDescent="0.25">
      <c r="B2365" s="2"/>
      <c r="C2365" s="2"/>
      <c r="D2365" s="4"/>
      <c r="E2365" s="4"/>
      <c r="F2365" s="4"/>
      <c r="Q2365" s="3"/>
      <c r="R2365" s="3"/>
      <c r="S2365" s="3"/>
      <c r="T2365" s="3"/>
      <c r="U2365" s="3"/>
    </row>
    <row r="2366" spans="2:21" x14ac:dyDescent="0.25">
      <c r="B2366" s="2"/>
      <c r="C2366" s="2"/>
      <c r="D2366" s="4"/>
      <c r="E2366" s="4"/>
      <c r="F2366" s="4"/>
      <c r="Q2366" s="3"/>
      <c r="R2366" s="3"/>
      <c r="S2366" s="3"/>
      <c r="T2366" s="3"/>
      <c r="U2366" s="3"/>
    </row>
    <row r="2367" spans="2:21" x14ac:dyDescent="0.25">
      <c r="B2367" s="2"/>
      <c r="C2367" s="2"/>
      <c r="D2367" s="4"/>
      <c r="E2367" s="4"/>
      <c r="F2367" s="4"/>
      <c r="Q2367" s="3"/>
      <c r="R2367" s="3"/>
      <c r="S2367" s="3"/>
      <c r="T2367" s="3"/>
      <c r="U2367" s="3"/>
    </row>
    <row r="2368" spans="2:21" x14ac:dyDescent="0.25">
      <c r="B2368" s="2"/>
      <c r="C2368" s="2"/>
      <c r="D2368" s="4"/>
      <c r="E2368" s="4"/>
      <c r="F2368" s="4"/>
      <c r="Q2368" s="3"/>
      <c r="R2368" s="3"/>
      <c r="S2368" s="3"/>
      <c r="T2368" s="3"/>
      <c r="U2368" s="3"/>
    </row>
    <row r="2369" spans="2:21" x14ac:dyDescent="0.25">
      <c r="B2369" s="2"/>
      <c r="C2369" s="2"/>
      <c r="D2369" s="4"/>
      <c r="E2369" s="4"/>
      <c r="F2369" s="4"/>
      <c r="Q2369" s="3"/>
      <c r="R2369" s="3"/>
      <c r="S2369" s="3"/>
      <c r="T2369" s="3"/>
      <c r="U2369" s="3"/>
    </row>
    <row r="2370" spans="2:21" x14ac:dyDescent="0.25">
      <c r="B2370" s="2"/>
      <c r="C2370" s="2"/>
      <c r="D2370" s="4"/>
      <c r="E2370" s="4"/>
      <c r="F2370" s="4"/>
      <c r="Q2370" s="3"/>
      <c r="R2370" s="3"/>
      <c r="S2370" s="3"/>
      <c r="T2370" s="3"/>
      <c r="U2370" s="3"/>
    </row>
    <row r="2371" spans="2:21" x14ac:dyDescent="0.25">
      <c r="B2371" s="2"/>
      <c r="C2371" s="2"/>
      <c r="D2371" s="4"/>
      <c r="E2371" s="4"/>
      <c r="F2371" s="4"/>
      <c r="Q2371" s="3"/>
      <c r="R2371" s="3"/>
      <c r="S2371" s="3"/>
      <c r="T2371" s="3"/>
      <c r="U2371" s="3"/>
    </row>
    <row r="2372" spans="2:21" x14ac:dyDescent="0.25">
      <c r="B2372" s="2"/>
      <c r="C2372" s="2"/>
      <c r="D2372" s="4"/>
      <c r="E2372" s="4"/>
      <c r="F2372" s="4"/>
      <c r="Q2372" s="3"/>
      <c r="R2372" s="3"/>
      <c r="S2372" s="3"/>
      <c r="T2372" s="3"/>
      <c r="U2372" s="3"/>
    </row>
    <row r="2373" spans="2:21" x14ac:dyDescent="0.25">
      <c r="B2373" s="2"/>
      <c r="C2373" s="2"/>
      <c r="D2373" s="4"/>
      <c r="E2373" s="4"/>
      <c r="F2373" s="4"/>
      <c r="Q2373" s="3"/>
      <c r="R2373" s="3"/>
      <c r="S2373" s="3"/>
      <c r="T2373" s="3"/>
      <c r="U2373" s="3"/>
    </row>
    <row r="2374" spans="2:21" x14ac:dyDescent="0.25">
      <c r="B2374" s="2"/>
      <c r="C2374" s="2"/>
      <c r="D2374" s="4"/>
      <c r="E2374" s="4"/>
      <c r="F2374" s="4"/>
      <c r="Q2374" s="3"/>
      <c r="R2374" s="3"/>
      <c r="S2374" s="3"/>
      <c r="T2374" s="3"/>
      <c r="U2374" s="3"/>
    </row>
    <row r="2375" spans="2:21" x14ac:dyDescent="0.25">
      <c r="B2375" s="2"/>
      <c r="C2375" s="2"/>
      <c r="D2375" s="4"/>
      <c r="E2375" s="4"/>
      <c r="F2375" s="4"/>
      <c r="Q2375" s="3"/>
      <c r="R2375" s="3"/>
      <c r="S2375" s="3"/>
      <c r="T2375" s="3"/>
      <c r="U2375" s="3"/>
    </row>
    <row r="2376" spans="2:21" x14ac:dyDescent="0.25">
      <c r="B2376" s="2"/>
      <c r="C2376" s="2"/>
      <c r="D2376" s="4"/>
      <c r="E2376" s="4"/>
      <c r="F2376" s="4"/>
      <c r="Q2376" s="3"/>
      <c r="R2376" s="3"/>
      <c r="S2376" s="3"/>
      <c r="T2376" s="3"/>
      <c r="U2376" s="3"/>
    </row>
    <row r="2377" spans="2:21" x14ac:dyDescent="0.25">
      <c r="B2377" s="2"/>
      <c r="C2377" s="2"/>
      <c r="D2377" s="4"/>
      <c r="E2377" s="4"/>
      <c r="F2377" s="4"/>
      <c r="Q2377" s="3"/>
      <c r="R2377" s="3"/>
      <c r="S2377" s="3"/>
      <c r="T2377" s="3"/>
      <c r="U2377" s="3"/>
    </row>
    <row r="2378" spans="2:21" x14ac:dyDescent="0.25">
      <c r="B2378" s="2"/>
      <c r="C2378" s="2"/>
      <c r="D2378" s="4"/>
      <c r="E2378" s="4"/>
      <c r="F2378" s="4"/>
      <c r="Q2378" s="3"/>
      <c r="R2378" s="3"/>
      <c r="S2378" s="3"/>
      <c r="T2378" s="3"/>
      <c r="U2378" s="3"/>
    </row>
    <row r="2379" spans="2:21" x14ac:dyDescent="0.25">
      <c r="B2379" s="2"/>
      <c r="C2379" s="2"/>
      <c r="D2379" s="4"/>
      <c r="E2379" s="4"/>
      <c r="F2379" s="4"/>
      <c r="Q2379" s="3"/>
      <c r="R2379" s="3"/>
      <c r="S2379" s="3"/>
      <c r="T2379" s="3"/>
      <c r="U2379" s="3"/>
    </row>
    <row r="2380" spans="2:21" x14ac:dyDescent="0.25">
      <c r="B2380" s="2"/>
      <c r="C2380" s="2"/>
      <c r="D2380" s="4"/>
      <c r="E2380" s="4"/>
      <c r="F2380" s="4"/>
      <c r="Q2380" s="3"/>
      <c r="R2380" s="3"/>
      <c r="S2380" s="3"/>
      <c r="T2380" s="3"/>
      <c r="U2380" s="3"/>
    </row>
    <row r="2381" spans="2:21" x14ac:dyDescent="0.25">
      <c r="B2381" s="2"/>
      <c r="C2381" s="2"/>
      <c r="D2381" s="4"/>
      <c r="E2381" s="4"/>
      <c r="F2381" s="4"/>
      <c r="Q2381" s="3"/>
      <c r="R2381" s="3"/>
      <c r="S2381" s="3"/>
      <c r="T2381" s="3"/>
      <c r="U2381" s="3"/>
    </row>
    <row r="2382" spans="2:21" x14ac:dyDescent="0.25">
      <c r="B2382" s="2"/>
      <c r="C2382" s="2"/>
      <c r="D2382" s="4"/>
      <c r="E2382" s="4"/>
      <c r="F2382" s="4"/>
      <c r="Q2382" s="3"/>
      <c r="R2382" s="3"/>
      <c r="S2382" s="3"/>
      <c r="T2382" s="3"/>
      <c r="U2382" s="3"/>
    </row>
    <row r="2383" spans="2:21" x14ac:dyDescent="0.25">
      <c r="B2383" s="2"/>
      <c r="C2383" s="2"/>
      <c r="D2383" s="4"/>
      <c r="E2383" s="4"/>
      <c r="F2383" s="4"/>
      <c r="Q2383" s="3"/>
      <c r="R2383" s="3"/>
      <c r="S2383" s="3"/>
      <c r="T2383" s="3"/>
      <c r="U2383" s="3"/>
    </row>
    <row r="2384" spans="2:21" x14ac:dyDescent="0.25">
      <c r="B2384" s="2"/>
      <c r="C2384" s="2"/>
      <c r="D2384" s="4"/>
      <c r="E2384" s="4"/>
      <c r="F2384" s="4"/>
      <c r="Q2384" s="3"/>
      <c r="R2384" s="3"/>
      <c r="S2384" s="3"/>
      <c r="T2384" s="3"/>
      <c r="U2384" s="3"/>
    </row>
    <row r="2385" spans="2:21" x14ac:dyDescent="0.25">
      <c r="B2385" s="2"/>
      <c r="C2385" s="2"/>
      <c r="D2385" s="4"/>
      <c r="E2385" s="4"/>
      <c r="F2385" s="4"/>
      <c r="Q2385" s="3"/>
      <c r="R2385" s="3"/>
      <c r="S2385" s="3"/>
      <c r="T2385" s="3"/>
      <c r="U2385" s="3"/>
    </row>
    <row r="2386" spans="2:21" x14ac:dyDescent="0.25">
      <c r="B2386" s="2"/>
      <c r="C2386" s="2"/>
      <c r="D2386" s="4"/>
      <c r="E2386" s="4"/>
      <c r="F2386" s="4"/>
      <c r="Q2386" s="3"/>
      <c r="R2386" s="3"/>
      <c r="S2386" s="3"/>
      <c r="T2386" s="3"/>
      <c r="U2386" s="3"/>
    </row>
    <row r="2387" spans="2:21" x14ac:dyDescent="0.25">
      <c r="B2387" s="2"/>
      <c r="C2387" s="2"/>
      <c r="D2387" s="4"/>
      <c r="E2387" s="4"/>
      <c r="F2387" s="4"/>
      <c r="Q2387" s="3"/>
      <c r="R2387" s="3"/>
      <c r="S2387" s="3"/>
      <c r="T2387" s="3"/>
      <c r="U2387" s="3"/>
    </row>
    <row r="2388" spans="2:21" x14ac:dyDescent="0.25">
      <c r="B2388" s="2"/>
      <c r="C2388" s="2"/>
      <c r="D2388" s="4"/>
      <c r="E2388" s="4"/>
      <c r="F2388" s="4"/>
      <c r="Q2388" s="3"/>
      <c r="R2388" s="3"/>
      <c r="S2388" s="3"/>
      <c r="T2388" s="3"/>
      <c r="U2388" s="3"/>
    </row>
    <row r="2389" spans="2:21" x14ac:dyDescent="0.25">
      <c r="B2389" s="2"/>
      <c r="C2389" s="2"/>
      <c r="D2389" s="4"/>
      <c r="E2389" s="4"/>
      <c r="F2389" s="4"/>
      <c r="Q2389" s="3"/>
      <c r="R2389" s="3"/>
      <c r="S2389" s="3"/>
      <c r="T2389" s="3"/>
      <c r="U2389" s="3"/>
    </row>
    <row r="2390" spans="2:21" x14ac:dyDescent="0.25">
      <c r="B2390" s="2"/>
      <c r="C2390" s="2"/>
      <c r="D2390" s="4"/>
      <c r="E2390" s="4"/>
      <c r="F2390" s="4"/>
      <c r="Q2390" s="3"/>
      <c r="R2390" s="3"/>
      <c r="S2390" s="3"/>
      <c r="T2390" s="3"/>
      <c r="U2390" s="3"/>
    </row>
    <row r="2391" spans="2:21" x14ac:dyDescent="0.25">
      <c r="B2391" s="2"/>
      <c r="C2391" s="2"/>
      <c r="D2391" s="4"/>
      <c r="E2391" s="4"/>
      <c r="F2391" s="4"/>
      <c r="Q2391" s="3"/>
      <c r="R2391" s="3"/>
      <c r="S2391" s="3"/>
      <c r="T2391" s="3"/>
      <c r="U2391" s="3"/>
    </row>
    <row r="2392" spans="2:21" x14ac:dyDescent="0.25">
      <c r="B2392" s="2"/>
      <c r="C2392" s="2"/>
      <c r="D2392" s="4"/>
      <c r="E2392" s="4"/>
      <c r="F2392" s="4"/>
      <c r="Q2392" s="3"/>
      <c r="R2392" s="3"/>
      <c r="S2392" s="3"/>
      <c r="T2392" s="3"/>
      <c r="U2392" s="3"/>
    </row>
    <row r="2393" spans="2:21" x14ac:dyDescent="0.25">
      <c r="B2393" s="2"/>
      <c r="C2393" s="2"/>
      <c r="D2393" s="4"/>
      <c r="E2393" s="4"/>
      <c r="F2393" s="4"/>
      <c r="Q2393" s="3"/>
      <c r="R2393" s="3"/>
      <c r="S2393" s="3"/>
      <c r="T2393" s="3"/>
      <c r="U2393" s="3"/>
    </row>
    <row r="2394" spans="2:21" x14ac:dyDescent="0.25">
      <c r="B2394" s="2"/>
      <c r="C2394" s="2"/>
      <c r="D2394" s="4"/>
      <c r="E2394" s="4"/>
      <c r="F2394" s="4"/>
      <c r="Q2394" s="3"/>
      <c r="R2394" s="3"/>
      <c r="S2394" s="3"/>
      <c r="T2394" s="3"/>
      <c r="U2394" s="3"/>
    </row>
    <row r="2395" spans="2:21" x14ac:dyDescent="0.25">
      <c r="B2395" s="2"/>
      <c r="C2395" s="2"/>
      <c r="D2395" s="4"/>
      <c r="E2395" s="4"/>
      <c r="F2395" s="4"/>
      <c r="Q2395" s="3"/>
      <c r="R2395" s="3"/>
      <c r="S2395" s="3"/>
      <c r="T2395" s="3"/>
      <c r="U2395" s="3"/>
    </row>
    <row r="2396" spans="2:21" x14ac:dyDescent="0.25">
      <c r="B2396" s="2"/>
      <c r="C2396" s="2"/>
      <c r="D2396" s="4"/>
      <c r="E2396" s="4"/>
      <c r="F2396" s="4"/>
      <c r="Q2396" s="3"/>
      <c r="R2396" s="3"/>
      <c r="S2396" s="3"/>
      <c r="T2396" s="3"/>
      <c r="U2396" s="3"/>
    </row>
    <row r="2397" spans="2:21" x14ac:dyDescent="0.25">
      <c r="B2397" s="2"/>
      <c r="C2397" s="2"/>
      <c r="D2397" s="4"/>
      <c r="E2397" s="4"/>
      <c r="F2397" s="4"/>
      <c r="Q2397" s="3"/>
      <c r="R2397" s="3"/>
      <c r="S2397" s="3"/>
      <c r="T2397" s="3"/>
      <c r="U2397" s="3"/>
    </row>
    <row r="2398" spans="2:21" x14ac:dyDescent="0.25">
      <c r="B2398" s="2"/>
      <c r="C2398" s="2"/>
      <c r="D2398" s="4"/>
      <c r="E2398" s="4"/>
      <c r="F2398" s="4"/>
      <c r="Q2398" s="3"/>
      <c r="R2398" s="3"/>
      <c r="S2398" s="3"/>
      <c r="T2398" s="3"/>
      <c r="U2398" s="3"/>
    </row>
    <row r="2399" spans="2:21" x14ac:dyDescent="0.25">
      <c r="B2399" s="2"/>
      <c r="C2399" s="2"/>
      <c r="D2399" s="4"/>
      <c r="E2399" s="4"/>
      <c r="F2399" s="4"/>
      <c r="Q2399" s="3"/>
      <c r="R2399" s="3"/>
      <c r="S2399" s="3"/>
      <c r="T2399" s="3"/>
      <c r="U2399" s="3"/>
    </row>
    <row r="2400" spans="2:21" x14ac:dyDescent="0.25">
      <c r="B2400" s="2"/>
      <c r="C2400" s="2"/>
      <c r="D2400" s="4"/>
      <c r="E2400" s="4"/>
      <c r="F2400" s="4"/>
      <c r="Q2400" s="3"/>
      <c r="R2400" s="3"/>
      <c r="S2400" s="3"/>
      <c r="T2400" s="3"/>
      <c r="U2400" s="3"/>
    </row>
    <row r="2401" spans="2:21" x14ac:dyDescent="0.25">
      <c r="B2401" s="2"/>
      <c r="C2401" s="2"/>
      <c r="D2401" s="4"/>
      <c r="E2401" s="4"/>
      <c r="F2401" s="4"/>
      <c r="Q2401" s="3"/>
      <c r="R2401" s="3"/>
      <c r="S2401" s="3"/>
      <c r="T2401" s="3"/>
      <c r="U2401" s="3"/>
    </row>
    <row r="2402" spans="2:21" x14ac:dyDescent="0.25">
      <c r="B2402" s="2"/>
      <c r="C2402" s="2"/>
      <c r="D2402" s="4"/>
      <c r="E2402" s="4"/>
      <c r="F2402" s="4"/>
      <c r="Q2402" s="3"/>
      <c r="R2402" s="3"/>
      <c r="S2402" s="3"/>
      <c r="T2402" s="3"/>
      <c r="U2402" s="3"/>
    </row>
    <row r="2403" spans="2:21" x14ac:dyDescent="0.25">
      <c r="B2403" s="2"/>
      <c r="C2403" s="2"/>
      <c r="D2403" s="4"/>
      <c r="E2403" s="4"/>
      <c r="F2403" s="4"/>
      <c r="Q2403" s="3"/>
      <c r="R2403" s="3"/>
      <c r="S2403" s="3"/>
      <c r="T2403" s="3"/>
      <c r="U2403" s="3"/>
    </row>
    <row r="2404" spans="2:21" x14ac:dyDescent="0.25">
      <c r="B2404" s="2"/>
      <c r="C2404" s="2"/>
      <c r="D2404" s="4"/>
      <c r="E2404" s="4"/>
      <c r="F2404" s="4"/>
      <c r="Q2404" s="3"/>
      <c r="R2404" s="3"/>
      <c r="S2404" s="3"/>
      <c r="T2404" s="3"/>
      <c r="U2404" s="3"/>
    </row>
    <row r="2405" spans="2:21" x14ac:dyDescent="0.25">
      <c r="B2405" s="2"/>
      <c r="C2405" s="2"/>
      <c r="D2405" s="4"/>
      <c r="E2405" s="4"/>
      <c r="F2405" s="4"/>
      <c r="Q2405" s="3"/>
      <c r="R2405" s="3"/>
      <c r="S2405" s="3"/>
      <c r="T2405" s="3"/>
      <c r="U2405" s="3"/>
    </row>
    <row r="2406" spans="2:21" x14ac:dyDescent="0.25">
      <c r="B2406" s="2"/>
      <c r="C2406" s="2"/>
      <c r="D2406" s="4"/>
      <c r="E2406" s="4"/>
      <c r="F2406" s="4"/>
      <c r="Q2406" s="3"/>
      <c r="R2406" s="3"/>
      <c r="S2406" s="3"/>
      <c r="T2406" s="3"/>
      <c r="U2406" s="3"/>
    </row>
    <row r="2407" spans="2:21" x14ac:dyDescent="0.25">
      <c r="B2407" s="2"/>
      <c r="C2407" s="2"/>
      <c r="D2407" s="4"/>
      <c r="E2407" s="4"/>
      <c r="F2407" s="4"/>
      <c r="Q2407" s="3"/>
      <c r="R2407" s="3"/>
      <c r="S2407" s="3"/>
      <c r="T2407" s="3"/>
      <c r="U2407" s="3"/>
    </row>
    <row r="2408" spans="2:21" x14ac:dyDescent="0.25">
      <c r="B2408" s="2"/>
      <c r="C2408" s="2"/>
      <c r="D2408" s="4"/>
      <c r="E2408" s="4"/>
      <c r="F2408" s="4"/>
      <c r="Q2408" s="3"/>
      <c r="R2408" s="3"/>
      <c r="S2408" s="3"/>
      <c r="T2408" s="3"/>
      <c r="U2408" s="3"/>
    </row>
    <row r="2409" spans="2:21" x14ac:dyDescent="0.25">
      <c r="B2409" s="2"/>
      <c r="C2409" s="2"/>
      <c r="D2409" s="4"/>
      <c r="E2409" s="4"/>
      <c r="F2409" s="4"/>
      <c r="Q2409" s="3"/>
      <c r="R2409" s="3"/>
      <c r="S2409" s="3"/>
      <c r="T2409" s="3"/>
      <c r="U2409" s="3"/>
    </row>
    <row r="2410" spans="2:21" x14ac:dyDescent="0.25">
      <c r="B2410" s="2"/>
      <c r="C2410" s="2"/>
      <c r="D2410" s="4"/>
      <c r="E2410" s="4"/>
      <c r="F2410" s="4"/>
      <c r="Q2410" s="3"/>
      <c r="R2410" s="3"/>
      <c r="S2410" s="3"/>
      <c r="T2410" s="3"/>
      <c r="U2410" s="3"/>
    </row>
    <row r="2411" spans="2:21" x14ac:dyDescent="0.25">
      <c r="B2411" s="2"/>
      <c r="C2411" s="2"/>
      <c r="D2411" s="4"/>
      <c r="E2411" s="4"/>
      <c r="F2411" s="4"/>
      <c r="Q2411" s="3"/>
      <c r="R2411" s="3"/>
      <c r="S2411" s="3"/>
      <c r="T2411" s="3"/>
      <c r="U2411" s="3"/>
    </row>
    <row r="2412" spans="2:21" x14ac:dyDescent="0.25">
      <c r="B2412" s="2"/>
      <c r="C2412" s="2"/>
      <c r="D2412" s="4"/>
      <c r="E2412" s="4"/>
      <c r="F2412" s="4"/>
      <c r="Q2412" s="3"/>
      <c r="R2412" s="3"/>
      <c r="S2412" s="3"/>
      <c r="T2412" s="3"/>
      <c r="U2412" s="3"/>
    </row>
    <row r="2413" spans="2:21" x14ac:dyDescent="0.25">
      <c r="B2413" s="2"/>
      <c r="C2413" s="2"/>
      <c r="D2413" s="4"/>
      <c r="E2413" s="4"/>
      <c r="F2413" s="4"/>
      <c r="Q2413" s="3"/>
      <c r="R2413" s="3"/>
      <c r="S2413" s="3"/>
      <c r="T2413" s="3"/>
      <c r="U2413" s="3"/>
    </row>
    <row r="2414" spans="2:21" x14ac:dyDescent="0.25">
      <c r="B2414" s="2"/>
      <c r="C2414" s="2"/>
      <c r="D2414" s="4"/>
      <c r="E2414" s="4"/>
      <c r="F2414" s="4"/>
      <c r="Q2414" s="3"/>
      <c r="R2414" s="3"/>
      <c r="S2414" s="3"/>
      <c r="T2414" s="3"/>
      <c r="U2414" s="3"/>
    </row>
    <row r="2415" spans="2:21" x14ac:dyDescent="0.25">
      <c r="B2415" s="2"/>
      <c r="C2415" s="2"/>
      <c r="D2415" s="4"/>
      <c r="E2415" s="4"/>
      <c r="F2415" s="4"/>
      <c r="Q2415" s="3"/>
      <c r="R2415" s="3"/>
      <c r="S2415" s="3"/>
      <c r="T2415" s="3"/>
      <c r="U2415" s="3"/>
    </row>
    <row r="2416" spans="2:21" x14ac:dyDescent="0.25">
      <c r="B2416" s="2"/>
      <c r="C2416" s="2"/>
      <c r="D2416" s="4"/>
      <c r="E2416" s="4"/>
      <c r="F2416" s="4"/>
      <c r="Q2416" s="3"/>
      <c r="R2416" s="3"/>
      <c r="S2416" s="3"/>
      <c r="T2416" s="3"/>
      <c r="U2416" s="3"/>
    </row>
    <row r="2417" spans="2:21" x14ac:dyDescent="0.25">
      <c r="B2417" s="2"/>
      <c r="C2417" s="2"/>
      <c r="D2417" s="4"/>
      <c r="E2417" s="4"/>
      <c r="F2417" s="4"/>
      <c r="Q2417" s="3"/>
      <c r="R2417" s="3"/>
      <c r="S2417" s="3"/>
      <c r="T2417" s="3"/>
      <c r="U2417" s="3"/>
    </row>
    <row r="2418" spans="2:21" x14ac:dyDescent="0.25">
      <c r="B2418" s="2"/>
      <c r="C2418" s="2"/>
      <c r="D2418" s="4"/>
      <c r="E2418" s="4"/>
      <c r="F2418" s="4"/>
      <c r="Q2418" s="3"/>
      <c r="R2418" s="3"/>
      <c r="S2418" s="3"/>
      <c r="T2418" s="3"/>
      <c r="U2418" s="3"/>
    </row>
    <row r="2419" spans="2:21" x14ac:dyDescent="0.25">
      <c r="B2419" s="2"/>
      <c r="C2419" s="2"/>
      <c r="D2419" s="4"/>
      <c r="E2419" s="4"/>
      <c r="F2419" s="4"/>
      <c r="Q2419" s="3"/>
      <c r="R2419" s="3"/>
      <c r="S2419" s="3"/>
      <c r="T2419" s="3"/>
      <c r="U2419" s="3"/>
    </row>
    <row r="2420" spans="2:21" x14ac:dyDescent="0.25">
      <c r="B2420" s="2"/>
      <c r="C2420" s="2"/>
      <c r="D2420" s="4"/>
      <c r="E2420" s="4"/>
      <c r="F2420" s="4"/>
      <c r="Q2420" s="3"/>
      <c r="R2420" s="3"/>
      <c r="S2420" s="3"/>
      <c r="T2420" s="3"/>
      <c r="U2420" s="3"/>
    </row>
    <row r="2421" spans="2:21" x14ac:dyDescent="0.25">
      <c r="B2421" s="2"/>
      <c r="C2421" s="2"/>
      <c r="D2421" s="4"/>
      <c r="E2421" s="4"/>
      <c r="F2421" s="4"/>
      <c r="Q2421" s="3"/>
      <c r="R2421" s="3"/>
      <c r="S2421" s="3"/>
      <c r="T2421" s="3"/>
      <c r="U2421" s="3"/>
    </row>
    <row r="2422" spans="2:21" x14ac:dyDescent="0.25">
      <c r="B2422" s="2"/>
      <c r="C2422" s="2"/>
      <c r="D2422" s="4"/>
      <c r="E2422" s="4"/>
      <c r="F2422" s="4"/>
      <c r="Q2422" s="3"/>
      <c r="R2422" s="3"/>
      <c r="S2422" s="3"/>
      <c r="T2422" s="3"/>
      <c r="U2422" s="3"/>
    </row>
    <row r="2423" spans="2:21" x14ac:dyDescent="0.25">
      <c r="B2423" s="2"/>
      <c r="C2423" s="2"/>
      <c r="D2423" s="4"/>
      <c r="E2423" s="4"/>
      <c r="F2423" s="4"/>
      <c r="Q2423" s="3"/>
      <c r="R2423" s="3"/>
      <c r="S2423" s="3"/>
      <c r="T2423" s="3"/>
      <c r="U2423" s="3"/>
    </row>
    <row r="2424" spans="2:21" x14ac:dyDescent="0.25">
      <c r="B2424" s="2"/>
      <c r="C2424" s="2"/>
      <c r="D2424" s="4"/>
      <c r="E2424" s="4"/>
      <c r="F2424" s="4"/>
      <c r="Q2424" s="3"/>
      <c r="R2424" s="3"/>
      <c r="S2424" s="3"/>
      <c r="T2424" s="3"/>
      <c r="U2424" s="3"/>
    </row>
    <row r="2425" spans="2:21" x14ac:dyDescent="0.25">
      <c r="B2425" s="2"/>
      <c r="C2425" s="2"/>
      <c r="D2425" s="4"/>
      <c r="E2425" s="4"/>
      <c r="F2425" s="4"/>
      <c r="Q2425" s="3"/>
      <c r="R2425" s="3"/>
      <c r="S2425" s="3"/>
      <c r="T2425" s="3"/>
      <c r="U2425" s="3"/>
    </row>
    <row r="2426" spans="2:21" x14ac:dyDescent="0.25">
      <c r="B2426" s="2"/>
      <c r="C2426" s="2"/>
      <c r="D2426" s="4"/>
      <c r="E2426" s="4"/>
      <c r="F2426" s="4"/>
      <c r="Q2426" s="3"/>
      <c r="R2426" s="3"/>
      <c r="S2426" s="3"/>
      <c r="T2426" s="3"/>
      <c r="U2426" s="3"/>
    </row>
    <row r="2427" spans="2:21" x14ac:dyDescent="0.25">
      <c r="B2427" s="2"/>
      <c r="C2427" s="2"/>
      <c r="D2427" s="4"/>
      <c r="E2427" s="4"/>
      <c r="F2427" s="4"/>
      <c r="Q2427" s="3"/>
      <c r="R2427" s="3"/>
      <c r="S2427" s="3"/>
      <c r="T2427" s="3"/>
      <c r="U2427" s="3"/>
    </row>
    <row r="2428" spans="2:21" x14ac:dyDescent="0.25">
      <c r="B2428" s="2"/>
      <c r="C2428" s="2"/>
      <c r="D2428" s="4"/>
      <c r="E2428" s="4"/>
      <c r="F2428" s="4"/>
      <c r="Q2428" s="3"/>
      <c r="R2428" s="3"/>
      <c r="S2428" s="3"/>
      <c r="T2428" s="3"/>
      <c r="U2428" s="3"/>
    </row>
    <row r="2429" spans="2:21" x14ac:dyDescent="0.25">
      <c r="B2429" s="2"/>
      <c r="C2429" s="2"/>
      <c r="D2429" s="4"/>
      <c r="E2429" s="4"/>
      <c r="F2429" s="4"/>
      <c r="Q2429" s="3"/>
      <c r="R2429" s="3"/>
      <c r="S2429" s="3"/>
      <c r="T2429" s="3"/>
      <c r="U2429" s="3"/>
    </row>
    <row r="2430" spans="2:21" x14ac:dyDescent="0.25">
      <c r="B2430" s="2"/>
      <c r="C2430" s="2"/>
      <c r="D2430" s="4"/>
      <c r="E2430" s="4"/>
      <c r="F2430" s="4"/>
      <c r="Q2430" s="3"/>
      <c r="R2430" s="3"/>
      <c r="S2430" s="3"/>
      <c r="T2430" s="3"/>
      <c r="U2430" s="3"/>
    </row>
    <row r="2431" spans="2:21" x14ac:dyDescent="0.25">
      <c r="B2431" s="2"/>
      <c r="C2431" s="2"/>
      <c r="D2431" s="4"/>
      <c r="E2431" s="4"/>
      <c r="F2431" s="4"/>
      <c r="Q2431" s="3"/>
      <c r="R2431" s="3"/>
      <c r="S2431" s="3"/>
      <c r="T2431" s="3"/>
      <c r="U2431" s="3"/>
    </row>
    <row r="2432" spans="2:21" x14ac:dyDescent="0.25">
      <c r="B2432" s="2"/>
      <c r="C2432" s="2"/>
      <c r="D2432" s="4"/>
      <c r="E2432" s="4"/>
      <c r="F2432" s="4"/>
      <c r="Q2432" s="3"/>
      <c r="R2432" s="3"/>
      <c r="S2432" s="3"/>
      <c r="T2432" s="3"/>
      <c r="U2432" s="3"/>
    </row>
    <row r="2433" spans="2:21" x14ac:dyDescent="0.25">
      <c r="B2433" s="2"/>
      <c r="C2433" s="2"/>
      <c r="D2433" s="4"/>
      <c r="E2433" s="4"/>
      <c r="F2433" s="4"/>
      <c r="Q2433" s="3"/>
      <c r="R2433" s="3"/>
      <c r="S2433" s="3"/>
      <c r="T2433" s="3"/>
      <c r="U2433" s="3"/>
    </row>
    <row r="2434" spans="2:21" x14ac:dyDescent="0.25">
      <c r="B2434" s="2"/>
      <c r="C2434" s="2"/>
      <c r="D2434" s="4"/>
      <c r="E2434" s="4"/>
      <c r="F2434" s="4"/>
      <c r="Q2434" s="3"/>
      <c r="R2434" s="3"/>
      <c r="S2434" s="3"/>
      <c r="T2434" s="3"/>
      <c r="U2434" s="3"/>
    </row>
    <row r="2435" spans="2:21" x14ac:dyDescent="0.25">
      <c r="B2435" s="2"/>
      <c r="C2435" s="2"/>
      <c r="D2435" s="4"/>
      <c r="E2435" s="4"/>
      <c r="F2435" s="4"/>
      <c r="Q2435" s="3"/>
      <c r="R2435" s="3"/>
      <c r="S2435" s="3"/>
      <c r="T2435" s="3"/>
      <c r="U2435" s="3"/>
    </row>
    <row r="2436" spans="2:21" x14ac:dyDescent="0.25">
      <c r="B2436" s="2"/>
      <c r="C2436" s="2"/>
      <c r="D2436" s="4"/>
      <c r="E2436" s="4"/>
      <c r="F2436" s="4"/>
      <c r="Q2436" s="3"/>
      <c r="R2436" s="3"/>
      <c r="S2436" s="3"/>
      <c r="T2436" s="3"/>
      <c r="U2436" s="3"/>
    </row>
    <row r="2437" spans="2:21" x14ac:dyDescent="0.25">
      <c r="B2437" s="2"/>
      <c r="C2437" s="2"/>
      <c r="D2437" s="4"/>
      <c r="E2437" s="4"/>
      <c r="F2437" s="4"/>
      <c r="Q2437" s="3"/>
      <c r="R2437" s="3"/>
      <c r="S2437" s="3"/>
      <c r="T2437" s="3"/>
      <c r="U2437" s="3"/>
    </row>
    <row r="2438" spans="2:21" x14ac:dyDescent="0.25">
      <c r="B2438" s="2"/>
      <c r="C2438" s="2"/>
      <c r="D2438" s="4"/>
      <c r="E2438" s="4"/>
      <c r="F2438" s="4"/>
      <c r="Q2438" s="3"/>
      <c r="R2438" s="3"/>
      <c r="S2438" s="3"/>
      <c r="T2438" s="3"/>
      <c r="U2438" s="3"/>
    </row>
    <row r="2439" spans="2:21" x14ac:dyDescent="0.25">
      <c r="B2439" s="2"/>
      <c r="C2439" s="2"/>
      <c r="D2439" s="4"/>
      <c r="E2439" s="4"/>
      <c r="F2439" s="4"/>
      <c r="Q2439" s="3"/>
      <c r="R2439" s="3"/>
      <c r="S2439" s="3"/>
      <c r="T2439" s="3"/>
      <c r="U2439" s="3"/>
    </row>
    <row r="2440" spans="2:21" x14ac:dyDescent="0.25">
      <c r="B2440" s="2"/>
      <c r="C2440" s="2"/>
      <c r="D2440" s="4"/>
      <c r="E2440" s="4"/>
      <c r="F2440" s="4"/>
      <c r="Q2440" s="3"/>
      <c r="R2440" s="3"/>
      <c r="S2440" s="3"/>
      <c r="T2440" s="3"/>
      <c r="U2440" s="3"/>
    </row>
    <row r="2441" spans="2:21" x14ac:dyDescent="0.25">
      <c r="B2441" s="2"/>
      <c r="C2441" s="2"/>
      <c r="D2441" s="4"/>
      <c r="E2441" s="4"/>
      <c r="F2441" s="4"/>
      <c r="Q2441" s="3"/>
      <c r="R2441" s="3"/>
      <c r="S2441" s="3"/>
      <c r="T2441" s="3"/>
      <c r="U2441" s="3"/>
    </row>
    <row r="2442" spans="2:21" x14ac:dyDescent="0.25">
      <c r="B2442" s="2"/>
      <c r="C2442" s="2"/>
      <c r="D2442" s="4"/>
      <c r="E2442" s="4"/>
      <c r="F2442" s="4"/>
      <c r="Q2442" s="3"/>
      <c r="R2442" s="3"/>
      <c r="S2442" s="3"/>
      <c r="T2442" s="3"/>
      <c r="U2442" s="3"/>
    </row>
    <row r="2443" spans="2:21" x14ac:dyDescent="0.25">
      <c r="B2443" s="2"/>
      <c r="C2443" s="2"/>
      <c r="D2443" s="4"/>
      <c r="E2443" s="4"/>
      <c r="F2443" s="4"/>
      <c r="Q2443" s="3"/>
      <c r="R2443" s="3"/>
      <c r="S2443" s="3"/>
      <c r="T2443" s="3"/>
      <c r="U2443" s="3"/>
    </row>
    <row r="2444" spans="2:21" x14ac:dyDescent="0.25">
      <c r="B2444" s="2"/>
      <c r="C2444" s="2"/>
      <c r="D2444" s="4"/>
      <c r="E2444" s="4"/>
      <c r="F2444" s="4"/>
      <c r="Q2444" s="3"/>
      <c r="R2444" s="3"/>
      <c r="S2444" s="3"/>
      <c r="T2444" s="3"/>
      <c r="U2444" s="3"/>
    </row>
    <row r="2445" spans="2:21" x14ac:dyDescent="0.25">
      <c r="B2445" s="2"/>
      <c r="C2445" s="2"/>
      <c r="D2445" s="4"/>
      <c r="E2445" s="4"/>
      <c r="F2445" s="4"/>
      <c r="Q2445" s="3"/>
      <c r="R2445" s="3"/>
      <c r="S2445" s="3"/>
      <c r="T2445" s="3"/>
      <c r="U2445" s="3"/>
    </row>
    <row r="2446" spans="2:21" x14ac:dyDescent="0.25">
      <c r="B2446" s="2"/>
      <c r="C2446" s="2"/>
      <c r="D2446" s="4"/>
      <c r="E2446" s="4"/>
      <c r="F2446" s="4"/>
      <c r="Q2446" s="3"/>
      <c r="R2446" s="3"/>
      <c r="S2446" s="3"/>
      <c r="T2446" s="3"/>
      <c r="U2446" s="3"/>
    </row>
    <row r="2447" spans="2:21" x14ac:dyDescent="0.25">
      <c r="B2447" s="2"/>
      <c r="C2447" s="2"/>
      <c r="D2447" s="4"/>
      <c r="E2447" s="4"/>
      <c r="F2447" s="4"/>
      <c r="Q2447" s="3"/>
      <c r="R2447" s="3"/>
      <c r="S2447" s="3"/>
      <c r="T2447" s="3"/>
      <c r="U2447" s="3"/>
    </row>
    <row r="2448" spans="2:21" x14ac:dyDescent="0.25">
      <c r="B2448" s="2"/>
      <c r="C2448" s="2"/>
      <c r="D2448" s="4"/>
      <c r="E2448" s="4"/>
      <c r="F2448" s="4"/>
      <c r="Q2448" s="3"/>
      <c r="R2448" s="3"/>
      <c r="S2448" s="3"/>
      <c r="T2448" s="3"/>
      <c r="U2448" s="3"/>
    </row>
    <row r="2449" spans="2:21" x14ac:dyDescent="0.25">
      <c r="B2449" s="2"/>
      <c r="C2449" s="2"/>
      <c r="D2449" s="4"/>
      <c r="E2449" s="4"/>
      <c r="F2449" s="4"/>
      <c r="Q2449" s="3"/>
      <c r="R2449" s="3"/>
      <c r="S2449" s="3"/>
      <c r="T2449" s="3"/>
      <c r="U2449" s="3"/>
    </row>
    <row r="2450" spans="2:21" x14ac:dyDescent="0.25">
      <c r="B2450" s="2"/>
      <c r="C2450" s="2"/>
      <c r="D2450" s="4"/>
      <c r="E2450" s="4"/>
      <c r="F2450" s="4"/>
      <c r="Q2450" s="3"/>
      <c r="R2450" s="3"/>
      <c r="S2450" s="3"/>
      <c r="T2450" s="3"/>
      <c r="U2450" s="3"/>
    </row>
    <row r="2451" spans="2:21" x14ac:dyDescent="0.25">
      <c r="B2451" s="2"/>
      <c r="C2451" s="2"/>
      <c r="D2451" s="4"/>
      <c r="E2451" s="4"/>
      <c r="F2451" s="4"/>
      <c r="Q2451" s="3"/>
      <c r="R2451" s="3"/>
      <c r="S2451" s="3"/>
      <c r="T2451" s="3"/>
      <c r="U2451" s="3"/>
    </row>
    <row r="2452" spans="2:21" x14ac:dyDescent="0.25">
      <c r="B2452" s="2"/>
      <c r="C2452" s="2"/>
      <c r="D2452" s="4"/>
      <c r="E2452" s="4"/>
      <c r="F2452" s="4"/>
      <c r="Q2452" s="3"/>
      <c r="R2452" s="3"/>
      <c r="S2452" s="3"/>
      <c r="T2452" s="3"/>
      <c r="U2452" s="3"/>
    </row>
    <row r="2453" spans="2:21" x14ac:dyDescent="0.25">
      <c r="B2453" s="2"/>
      <c r="C2453" s="2"/>
      <c r="D2453" s="4"/>
      <c r="E2453" s="4"/>
      <c r="F2453" s="4"/>
      <c r="Q2453" s="3"/>
      <c r="R2453" s="3"/>
      <c r="S2453" s="3"/>
      <c r="T2453" s="3"/>
      <c r="U2453" s="3"/>
    </row>
    <row r="2454" spans="2:21" x14ac:dyDescent="0.25">
      <c r="B2454" s="2"/>
      <c r="C2454" s="2"/>
      <c r="D2454" s="4"/>
      <c r="E2454" s="4"/>
      <c r="F2454" s="4"/>
      <c r="Q2454" s="3"/>
      <c r="R2454" s="3"/>
      <c r="S2454" s="3"/>
      <c r="T2454" s="3"/>
      <c r="U2454" s="3"/>
    </row>
    <row r="2455" spans="2:21" x14ac:dyDescent="0.25">
      <c r="B2455" s="2"/>
      <c r="C2455" s="2"/>
      <c r="D2455" s="4"/>
      <c r="E2455" s="4"/>
      <c r="F2455" s="4"/>
      <c r="Q2455" s="3"/>
      <c r="R2455" s="3"/>
      <c r="S2455" s="3"/>
      <c r="T2455" s="3"/>
      <c r="U2455" s="3"/>
    </row>
    <row r="2456" spans="2:21" x14ac:dyDescent="0.25">
      <c r="B2456" s="2"/>
      <c r="C2456" s="2"/>
      <c r="D2456" s="4"/>
      <c r="E2456" s="4"/>
      <c r="F2456" s="4"/>
      <c r="Q2456" s="3"/>
      <c r="R2456" s="3"/>
      <c r="S2456" s="3"/>
      <c r="T2456" s="3"/>
      <c r="U2456" s="3"/>
    </row>
    <row r="2457" spans="2:21" x14ac:dyDescent="0.25">
      <c r="B2457" s="2"/>
      <c r="C2457" s="2"/>
      <c r="D2457" s="4"/>
      <c r="E2457" s="4"/>
      <c r="F2457" s="4"/>
      <c r="Q2457" s="3"/>
      <c r="R2457" s="3"/>
      <c r="S2457" s="3"/>
      <c r="T2457" s="3"/>
      <c r="U2457" s="3"/>
    </row>
    <row r="2458" spans="2:21" x14ac:dyDescent="0.25">
      <c r="B2458" s="2"/>
      <c r="C2458" s="2"/>
      <c r="D2458" s="4"/>
      <c r="E2458" s="4"/>
      <c r="F2458" s="4"/>
      <c r="Q2458" s="3"/>
      <c r="R2458" s="3"/>
      <c r="S2458" s="3"/>
      <c r="T2458" s="3"/>
      <c r="U2458" s="3"/>
    </row>
    <row r="2459" spans="2:21" x14ac:dyDescent="0.25">
      <c r="B2459" s="2"/>
      <c r="C2459" s="2"/>
      <c r="D2459" s="4"/>
      <c r="E2459" s="4"/>
      <c r="F2459" s="4"/>
      <c r="Q2459" s="3"/>
      <c r="R2459" s="3"/>
      <c r="S2459" s="3"/>
      <c r="T2459" s="3"/>
      <c r="U2459" s="3"/>
    </row>
    <row r="2460" spans="2:21" x14ac:dyDescent="0.25">
      <c r="B2460" s="2"/>
      <c r="C2460" s="2"/>
      <c r="D2460" s="4"/>
      <c r="E2460" s="4"/>
      <c r="F2460" s="4"/>
      <c r="Q2460" s="3"/>
      <c r="R2460" s="3"/>
      <c r="S2460" s="3"/>
      <c r="T2460" s="3"/>
      <c r="U2460" s="3"/>
    </row>
    <row r="2461" spans="2:21" x14ac:dyDescent="0.25">
      <c r="B2461" s="2"/>
      <c r="C2461" s="2"/>
      <c r="D2461" s="4"/>
      <c r="E2461" s="4"/>
      <c r="F2461" s="4"/>
      <c r="Q2461" s="3"/>
      <c r="R2461" s="3"/>
      <c r="S2461" s="3"/>
      <c r="T2461" s="3"/>
      <c r="U2461" s="3"/>
    </row>
    <row r="2462" spans="2:21" x14ac:dyDescent="0.25">
      <c r="B2462" s="2"/>
      <c r="C2462" s="2"/>
      <c r="D2462" s="4"/>
      <c r="E2462" s="4"/>
      <c r="F2462" s="4"/>
      <c r="Q2462" s="3"/>
      <c r="R2462" s="3"/>
      <c r="S2462" s="3"/>
      <c r="T2462" s="3"/>
      <c r="U2462" s="3"/>
    </row>
    <row r="2463" spans="2:21" x14ac:dyDescent="0.25">
      <c r="B2463" s="2"/>
      <c r="C2463" s="2"/>
      <c r="D2463" s="4"/>
      <c r="E2463" s="4"/>
      <c r="F2463" s="4"/>
      <c r="Q2463" s="3"/>
      <c r="R2463" s="3"/>
      <c r="S2463" s="3"/>
      <c r="T2463" s="3"/>
      <c r="U2463" s="3"/>
    </row>
    <row r="2464" spans="2:21" x14ac:dyDescent="0.25">
      <c r="B2464" s="2"/>
      <c r="C2464" s="2"/>
      <c r="D2464" s="4"/>
      <c r="E2464" s="4"/>
      <c r="F2464" s="4"/>
      <c r="Q2464" s="3"/>
      <c r="R2464" s="3"/>
      <c r="S2464" s="3"/>
      <c r="T2464" s="3"/>
      <c r="U2464" s="3"/>
    </row>
    <row r="2465" spans="2:21" x14ac:dyDescent="0.25">
      <c r="B2465" s="2"/>
      <c r="C2465" s="2"/>
      <c r="D2465" s="4"/>
      <c r="E2465" s="4"/>
      <c r="F2465" s="4"/>
      <c r="Q2465" s="3"/>
      <c r="R2465" s="3"/>
      <c r="S2465" s="3"/>
      <c r="T2465" s="3"/>
      <c r="U2465" s="3"/>
    </row>
    <row r="2466" spans="2:21" x14ac:dyDescent="0.25">
      <c r="B2466" s="2"/>
      <c r="C2466" s="2"/>
      <c r="D2466" s="4"/>
      <c r="E2466" s="4"/>
      <c r="F2466" s="4"/>
      <c r="Q2466" s="3"/>
      <c r="R2466" s="3"/>
      <c r="S2466" s="3"/>
      <c r="T2466" s="3"/>
      <c r="U2466" s="3"/>
    </row>
    <row r="2467" spans="2:21" x14ac:dyDescent="0.25">
      <c r="B2467" s="2"/>
      <c r="C2467" s="2"/>
      <c r="D2467" s="4"/>
      <c r="E2467" s="4"/>
      <c r="F2467" s="4"/>
      <c r="Q2467" s="3"/>
      <c r="R2467" s="3"/>
      <c r="S2467" s="3"/>
      <c r="T2467" s="3"/>
      <c r="U2467" s="3"/>
    </row>
    <row r="2468" spans="2:21" x14ac:dyDescent="0.25">
      <c r="B2468" s="2"/>
      <c r="C2468" s="2"/>
      <c r="D2468" s="4"/>
      <c r="E2468" s="4"/>
      <c r="F2468" s="4"/>
      <c r="Q2468" s="3"/>
      <c r="R2468" s="3"/>
      <c r="S2468" s="3"/>
      <c r="T2468" s="3"/>
      <c r="U2468" s="3"/>
    </row>
    <row r="2469" spans="2:21" x14ac:dyDescent="0.25">
      <c r="B2469" s="2"/>
      <c r="C2469" s="2"/>
      <c r="D2469" s="4"/>
      <c r="E2469" s="4"/>
      <c r="F2469" s="4"/>
      <c r="Q2469" s="3"/>
      <c r="R2469" s="3"/>
      <c r="S2469" s="3"/>
      <c r="T2469" s="3"/>
      <c r="U2469" s="3"/>
    </row>
    <row r="2470" spans="2:21" x14ac:dyDescent="0.25">
      <c r="B2470" s="2"/>
      <c r="C2470" s="2"/>
      <c r="D2470" s="4"/>
      <c r="E2470" s="4"/>
      <c r="F2470" s="4"/>
      <c r="Q2470" s="3"/>
      <c r="R2470" s="3"/>
      <c r="S2470" s="3"/>
      <c r="T2470" s="3"/>
      <c r="U2470" s="3"/>
    </row>
    <row r="2471" spans="2:21" x14ac:dyDescent="0.25">
      <c r="B2471" s="2"/>
      <c r="C2471" s="2"/>
      <c r="D2471" s="4"/>
      <c r="E2471" s="4"/>
      <c r="F2471" s="4"/>
      <c r="Q2471" s="3"/>
      <c r="R2471" s="3"/>
      <c r="S2471" s="3"/>
      <c r="T2471" s="3"/>
      <c r="U2471" s="3"/>
    </row>
    <row r="2472" spans="2:21" x14ac:dyDescent="0.25">
      <c r="B2472" s="2"/>
      <c r="C2472" s="2"/>
      <c r="D2472" s="4"/>
      <c r="E2472" s="4"/>
      <c r="F2472" s="4"/>
      <c r="Q2472" s="3"/>
      <c r="R2472" s="3"/>
      <c r="S2472" s="3"/>
      <c r="T2472" s="3"/>
      <c r="U2472" s="3"/>
    </row>
    <row r="2473" spans="2:21" x14ac:dyDescent="0.25">
      <c r="B2473" s="2"/>
      <c r="C2473" s="2"/>
      <c r="D2473" s="4"/>
      <c r="E2473" s="4"/>
      <c r="F2473" s="4"/>
      <c r="Q2473" s="3"/>
      <c r="R2473" s="3"/>
      <c r="S2473" s="3"/>
      <c r="T2473" s="3"/>
      <c r="U2473" s="3"/>
    </row>
    <row r="2474" spans="2:21" x14ac:dyDescent="0.25">
      <c r="B2474" s="2"/>
      <c r="C2474" s="2"/>
      <c r="D2474" s="4"/>
      <c r="E2474" s="4"/>
      <c r="F2474" s="4"/>
      <c r="Q2474" s="3"/>
      <c r="R2474" s="3"/>
      <c r="S2474" s="3"/>
      <c r="T2474" s="3"/>
      <c r="U2474" s="3"/>
    </row>
    <row r="2475" spans="2:21" x14ac:dyDescent="0.25">
      <c r="B2475" s="2"/>
      <c r="C2475" s="2"/>
      <c r="D2475" s="4"/>
      <c r="E2475" s="4"/>
      <c r="F2475" s="4"/>
      <c r="Q2475" s="3"/>
      <c r="R2475" s="3"/>
      <c r="S2475" s="3"/>
      <c r="T2475" s="3"/>
      <c r="U2475" s="3"/>
    </row>
    <row r="2476" spans="2:21" x14ac:dyDescent="0.25">
      <c r="B2476" s="2"/>
      <c r="C2476" s="2"/>
      <c r="D2476" s="4"/>
      <c r="E2476" s="4"/>
      <c r="F2476" s="4"/>
      <c r="Q2476" s="3"/>
      <c r="R2476" s="3"/>
      <c r="S2476" s="3"/>
      <c r="T2476" s="3"/>
      <c r="U2476" s="3"/>
    </row>
    <row r="2477" spans="2:21" x14ac:dyDescent="0.25">
      <c r="B2477" s="2"/>
      <c r="C2477" s="2"/>
      <c r="D2477" s="4"/>
      <c r="E2477" s="4"/>
      <c r="F2477" s="4"/>
      <c r="Q2477" s="3"/>
      <c r="R2477" s="3"/>
      <c r="S2477" s="3"/>
      <c r="T2477" s="3"/>
      <c r="U2477" s="3"/>
    </row>
    <row r="2478" spans="2:21" x14ac:dyDescent="0.25">
      <c r="B2478" s="2"/>
      <c r="C2478" s="2"/>
      <c r="D2478" s="4"/>
      <c r="E2478" s="4"/>
      <c r="F2478" s="4"/>
      <c r="Q2478" s="3"/>
      <c r="R2478" s="3"/>
      <c r="S2478" s="3"/>
      <c r="T2478" s="3"/>
      <c r="U2478" s="3"/>
    </row>
    <row r="2479" spans="2:21" x14ac:dyDescent="0.25">
      <c r="B2479" s="2"/>
      <c r="C2479" s="2"/>
      <c r="D2479" s="4"/>
      <c r="E2479" s="4"/>
      <c r="F2479" s="4"/>
      <c r="Q2479" s="3"/>
      <c r="R2479" s="3"/>
      <c r="S2479" s="3"/>
      <c r="T2479" s="3"/>
      <c r="U2479" s="3"/>
    </row>
    <row r="2480" spans="2:21" x14ac:dyDescent="0.25">
      <c r="B2480" s="2"/>
      <c r="C2480" s="2"/>
      <c r="D2480" s="4"/>
      <c r="E2480" s="4"/>
      <c r="F2480" s="4"/>
      <c r="Q2480" s="3"/>
      <c r="R2480" s="3"/>
      <c r="S2480" s="3"/>
      <c r="T2480" s="3"/>
      <c r="U2480" s="3"/>
    </row>
    <row r="2481" spans="2:21" x14ac:dyDescent="0.25">
      <c r="B2481" s="2"/>
      <c r="C2481" s="2"/>
      <c r="D2481" s="4"/>
      <c r="E2481" s="4"/>
      <c r="F2481" s="4"/>
      <c r="Q2481" s="3"/>
      <c r="R2481" s="3"/>
      <c r="S2481" s="3"/>
      <c r="T2481" s="3"/>
      <c r="U2481" s="3"/>
    </row>
    <row r="2482" spans="2:21" x14ac:dyDescent="0.25">
      <c r="B2482" s="2"/>
      <c r="C2482" s="2"/>
      <c r="D2482" s="4"/>
      <c r="E2482" s="4"/>
      <c r="F2482" s="4"/>
      <c r="Q2482" s="3"/>
      <c r="R2482" s="3"/>
      <c r="S2482" s="3"/>
      <c r="T2482" s="3"/>
      <c r="U2482" s="3"/>
    </row>
    <row r="2483" spans="2:21" x14ac:dyDescent="0.25">
      <c r="B2483" s="2"/>
      <c r="C2483" s="2"/>
      <c r="D2483" s="4"/>
      <c r="E2483" s="4"/>
      <c r="F2483" s="4"/>
      <c r="Q2483" s="3"/>
      <c r="R2483" s="3"/>
      <c r="S2483" s="3"/>
      <c r="T2483" s="3"/>
      <c r="U2483" s="3"/>
    </row>
    <row r="2484" spans="2:21" x14ac:dyDescent="0.25">
      <c r="B2484" s="2"/>
      <c r="C2484" s="2"/>
      <c r="D2484" s="4"/>
      <c r="E2484" s="4"/>
      <c r="F2484" s="4"/>
      <c r="Q2484" s="3"/>
      <c r="R2484" s="3"/>
      <c r="S2484" s="3"/>
      <c r="T2484" s="3"/>
      <c r="U2484" s="3"/>
    </row>
    <row r="2485" spans="2:21" x14ac:dyDescent="0.25">
      <c r="B2485" s="2"/>
      <c r="C2485" s="2"/>
      <c r="D2485" s="4"/>
      <c r="E2485" s="4"/>
      <c r="F2485" s="4"/>
      <c r="Q2485" s="3"/>
      <c r="R2485" s="3"/>
      <c r="S2485" s="3"/>
      <c r="T2485" s="3"/>
      <c r="U2485" s="3"/>
    </row>
    <row r="2486" spans="2:21" x14ac:dyDescent="0.25">
      <c r="B2486" s="2"/>
      <c r="C2486" s="2"/>
      <c r="D2486" s="4"/>
      <c r="E2486" s="4"/>
      <c r="F2486" s="4"/>
      <c r="Q2486" s="3"/>
      <c r="R2486" s="3"/>
      <c r="S2486" s="3"/>
      <c r="T2486" s="3"/>
      <c r="U2486" s="3"/>
    </row>
    <row r="2487" spans="2:21" x14ac:dyDescent="0.25">
      <c r="B2487" s="2"/>
      <c r="C2487" s="2"/>
      <c r="D2487" s="4"/>
      <c r="E2487" s="4"/>
      <c r="F2487" s="4"/>
      <c r="Q2487" s="3"/>
      <c r="R2487" s="3"/>
      <c r="S2487" s="3"/>
      <c r="T2487" s="3"/>
      <c r="U2487" s="3"/>
    </row>
    <row r="2488" spans="2:21" x14ac:dyDescent="0.25">
      <c r="B2488" s="2"/>
      <c r="C2488" s="2"/>
      <c r="D2488" s="4"/>
      <c r="E2488" s="4"/>
      <c r="F2488" s="4"/>
      <c r="Q2488" s="3"/>
      <c r="R2488" s="3"/>
      <c r="S2488" s="3"/>
      <c r="T2488" s="3"/>
      <c r="U2488" s="3"/>
    </row>
    <row r="2489" spans="2:21" x14ac:dyDescent="0.25">
      <c r="B2489" s="2"/>
      <c r="C2489" s="2"/>
      <c r="D2489" s="4"/>
      <c r="E2489" s="4"/>
      <c r="F2489" s="4"/>
      <c r="Q2489" s="3"/>
      <c r="R2489" s="3"/>
      <c r="S2489" s="3"/>
      <c r="T2489" s="3"/>
      <c r="U2489" s="3"/>
    </row>
    <row r="2490" spans="2:21" x14ac:dyDescent="0.25">
      <c r="B2490" s="2"/>
      <c r="C2490" s="2"/>
      <c r="D2490" s="4"/>
      <c r="E2490" s="4"/>
      <c r="F2490" s="4"/>
      <c r="Q2490" s="3"/>
      <c r="R2490" s="3"/>
      <c r="S2490" s="3"/>
      <c r="T2490" s="3"/>
      <c r="U2490" s="3"/>
    </row>
    <row r="2491" spans="2:21" x14ac:dyDescent="0.25">
      <c r="B2491" s="2"/>
      <c r="C2491" s="2"/>
      <c r="D2491" s="4"/>
      <c r="E2491" s="4"/>
      <c r="F2491" s="4"/>
      <c r="Q2491" s="3"/>
      <c r="R2491" s="3"/>
      <c r="S2491" s="3"/>
      <c r="T2491" s="3"/>
      <c r="U2491" s="3"/>
    </row>
    <row r="2492" spans="2:21" x14ac:dyDescent="0.25">
      <c r="B2492" s="2"/>
      <c r="C2492" s="2"/>
      <c r="D2492" s="4"/>
      <c r="E2492" s="4"/>
      <c r="F2492" s="4"/>
      <c r="Q2492" s="3"/>
      <c r="R2492" s="3"/>
      <c r="S2492" s="3"/>
      <c r="T2492" s="3"/>
      <c r="U2492" s="3"/>
    </row>
    <row r="2493" spans="2:21" x14ac:dyDescent="0.25">
      <c r="B2493" s="2"/>
      <c r="C2493" s="2"/>
      <c r="D2493" s="4"/>
      <c r="E2493" s="4"/>
      <c r="F2493" s="4"/>
      <c r="Q2493" s="3"/>
      <c r="R2493" s="3"/>
      <c r="S2493" s="3"/>
      <c r="T2493" s="3"/>
      <c r="U2493" s="3"/>
    </row>
    <row r="2494" spans="2:21" x14ac:dyDescent="0.25">
      <c r="B2494" s="2"/>
      <c r="C2494" s="2"/>
      <c r="D2494" s="4"/>
      <c r="E2494" s="4"/>
      <c r="F2494" s="4"/>
      <c r="Q2494" s="3"/>
      <c r="R2494" s="3"/>
      <c r="S2494" s="3"/>
      <c r="T2494" s="3"/>
      <c r="U2494" s="3"/>
    </row>
    <row r="2495" spans="2:21" x14ac:dyDescent="0.25">
      <c r="B2495" s="2"/>
      <c r="C2495" s="2"/>
      <c r="D2495" s="4"/>
      <c r="E2495" s="4"/>
      <c r="F2495" s="4"/>
      <c r="Q2495" s="3"/>
      <c r="R2495" s="3"/>
      <c r="S2495" s="3"/>
      <c r="T2495" s="3"/>
      <c r="U2495" s="3"/>
    </row>
    <row r="2496" spans="2:21" x14ac:dyDescent="0.25">
      <c r="B2496" s="2"/>
      <c r="C2496" s="2"/>
      <c r="D2496" s="4"/>
      <c r="E2496" s="4"/>
      <c r="F2496" s="4"/>
      <c r="Q2496" s="3"/>
      <c r="R2496" s="3"/>
      <c r="S2496" s="3"/>
      <c r="T2496" s="3"/>
      <c r="U2496" s="3"/>
    </row>
    <row r="2497" spans="2:21" x14ac:dyDescent="0.25">
      <c r="B2497" s="2"/>
      <c r="C2497" s="2"/>
      <c r="D2497" s="4"/>
      <c r="E2497" s="4"/>
      <c r="F2497" s="4"/>
      <c r="Q2497" s="3"/>
      <c r="R2497" s="3"/>
      <c r="S2497" s="3"/>
      <c r="T2497" s="3"/>
      <c r="U2497" s="3"/>
    </row>
    <row r="2498" spans="2:21" x14ac:dyDescent="0.25">
      <c r="B2498" s="2"/>
      <c r="C2498" s="2"/>
      <c r="D2498" s="4"/>
      <c r="E2498" s="4"/>
      <c r="F2498" s="4"/>
      <c r="Q2498" s="3"/>
      <c r="R2498" s="3"/>
      <c r="S2498" s="3"/>
      <c r="T2498" s="3"/>
      <c r="U2498" s="3"/>
    </row>
    <row r="2499" spans="2:21" x14ac:dyDescent="0.25">
      <c r="B2499" s="2"/>
      <c r="C2499" s="2"/>
      <c r="D2499" s="4"/>
      <c r="E2499" s="4"/>
      <c r="F2499" s="4"/>
      <c r="Q2499" s="3"/>
      <c r="R2499" s="3"/>
      <c r="S2499" s="3"/>
      <c r="T2499" s="3"/>
      <c r="U2499" s="3"/>
    </row>
    <row r="2500" spans="2:21" x14ac:dyDescent="0.25">
      <c r="B2500" s="2"/>
      <c r="C2500" s="2"/>
      <c r="D2500" s="4"/>
      <c r="E2500" s="4"/>
      <c r="F2500" s="4"/>
      <c r="Q2500" s="3"/>
      <c r="R2500" s="3"/>
      <c r="S2500" s="3"/>
      <c r="T2500" s="3"/>
      <c r="U2500" s="3"/>
    </row>
    <row r="2501" spans="2:21" x14ac:dyDescent="0.25">
      <c r="B2501" s="2"/>
      <c r="C2501" s="2"/>
      <c r="D2501" s="4"/>
      <c r="E2501" s="4"/>
      <c r="F2501" s="4"/>
      <c r="Q2501" s="3"/>
      <c r="R2501" s="3"/>
      <c r="S2501" s="3"/>
      <c r="T2501" s="3"/>
      <c r="U2501" s="3"/>
    </row>
    <row r="2502" spans="2:21" x14ac:dyDescent="0.25">
      <c r="B2502" s="2"/>
      <c r="C2502" s="2"/>
      <c r="D2502" s="4"/>
      <c r="E2502" s="4"/>
      <c r="F2502" s="4"/>
      <c r="Q2502" s="3"/>
      <c r="R2502" s="3"/>
      <c r="S2502" s="3"/>
      <c r="T2502" s="3"/>
      <c r="U2502" s="3"/>
    </row>
    <row r="2503" spans="2:21" x14ac:dyDescent="0.25">
      <c r="B2503" s="2"/>
      <c r="C2503" s="2"/>
      <c r="D2503" s="4"/>
      <c r="E2503" s="4"/>
      <c r="F2503" s="4"/>
      <c r="Q2503" s="3"/>
      <c r="R2503" s="3"/>
      <c r="S2503" s="3"/>
      <c r="T2503" s="3"/>
      <c r="U2503" s="3"/>
    </row>
    <row r="2504" spans="2:21" x14ac:dyDescent="0.25">
      <c r="B2504" s="2"/>
      <c r="C2504" s="2"/>
      <c r="D2504" s="4"/>
      <c r="E2504" s="4"/>
      <c r="F2504" s="4"/>
      <c r="Q2504" s="3"/>
      <c r="R2504" s="3"/>
      <c r="S2504" s="3"/>
      <c r="T2504" s="3"/>
      <c r="U2504" s="3"/>
    </row>
    <row r="2505" spans="2:21" x14ac:dyDescent="0.25">
      <c r="B2505" s="2"/>
      <c r="C2505" s="2"/>
      <c r="D2505" s="4"/>
      <c r="E2505" s="4"/>
      <c r="F2505" s="4"/>
      <c r="Q2505" s="3"/>
      <c r="R2505" s="3"/>
      <c r="S2505" s="3"/>
      <c r="T2505" s="3"/>
      <c r="U2505" s="3"/>
    </row>
    <row r="2506" spans="2:21" x14ac:dyDescent="0.25">
      <c r="B2506" s="2"/>
      <c r="C2506" s="2"/>
      <c r="D2506" s="4"/>
      <c r="E2506" s="4"/>
      <c r="F2506" s="4"/>
      <c r="Q2506" s="3"/>
      <c r="R2506" s="3"/>
      <c r="S2506" s="3"/>
      <c r="T2506" s="3"/>
      <c r="U2506" s="3"/>
    </row>
    <row r="2507" spans="2:21" x14ac:dyDescent="0.25">
      <c r="B2507" s="2"/>
      <c r="C2507" s="2"/>
      <c r="D2507" s="4"/>
      <c r="E2507" s="4"/>
      <c r="F2507" s="4"/>
      <c r="Q2507" s="3"/>
      <c r="R2507" s="3"/>
      <c r="S2507" s="3"/>
      <c r="T2507" s="3"/>
      <c r="U2507" s="3"/>
    </row>
    <row r="2508" spans="2:21" x14ac:dyDescent="0.25">
      <c r="B2508" s="2"/>
      <c r="C2508" s="2"/>
      <c r="D2508" s="4"/>
      <c r="E2508" s="4"/>
      <c r="F2508" s="4"/>
      <c r="Q2508" s="3"/>
      <c r="R2508" s="3"/>
      <c r="S2508" s="3"/>
      <c r="T2508" s="3"/>
      <c r="U2508" s="3"/>
    </row>
    <row r="2509" spans="2:21" x14ac:dyDescent="0.25">
      <c r="B2509" s="2"/>
      <c r="C2509" s="2"/>
      <c r="D2509" s="4"/>
      <c r="E2509" s="4"/>
      <c r="F2509" s="4"/>
      <c r="Q2509" s="3"/>
      <c r="R2509" s="3"/>
      <c r="S2509" s="3"/>
      <c r="T2509" s="3"/>
      <c r="U2509" s="3"/>
    </row>
    <row r="2510" spans="2:21" x14ac:dyDescent="0.25">
      <c r="B2510" s="2"/>
      <c r="C2510" s="2"/>
      <c r="D2510" s="4"/>
      <c r="E2510" s="4"/>
      <c r="F2510" s="4"/>
      <c r="Q2510" s="3"/>
      <c r="R2510" s="3"/>
      <c r="S2510" s="3"/>
      <c r="T2510" s="3"/>
      <c r="U2510" s="3"/>
    </row>
    <row r="2511" spans="2:21" x14ac:dyDescent="0.25">
      <c r="B2511" s="2"/>
      <c r="C2511" s="2"/>
      <c r="D2511" s="4"/>
      <c r="E2511" s="4"/>
      <c r="F2511" s="4"/>
      <c r="Q2511" s="3"/>
      <c r="R2511" s="3"/>
      <c r="S2511" s="3"/>
      <c r="T2511" s="3"/>
      <c r="U2511" s="3"/>
    </row>
    <row r="2512" spans="2:21" x14ac:dyDescent="0.25">
      <c r="B2512" s="2"/>
      <c r="C2512" s="2"/>
      <c r="D2512" s="4"/>
      <c r="E2512" s="4"/>
      <c r="F2512" s="4"/>
      <c r="Q2512" s="3"/>
      <c r="R2512" s="3"/>
      <c r="S2512" s="3"/>
      <c r="T2512" s="3"/>
      <c r="U2512" s="3"/>
    </row>
    <row r="2513" spans="2:21" x14ac:dyDescent="0.25">
      <c r="B2513" s="2"/>
      <c r="C2513" s="2"/>
      <c r="D2513" s="4"/>
      <c r="E2513" s="4"/>
      <c r="F2513" s="4"/>
      <c r="Q2513" s="3"/>
      <c r="R2513" s="3"/>
      <c r="S2513" s="3"/>
      <c r="T2513" s="3"/>
      <c r="U2513" s="3"/>
    </row>
    <row r="2514" spans="2:21" x14ac:dyDescent="0.25">
      <c r="B2514" s="2"/>
      <c r="C2514" s="2"/>
      <c r="D2514" s="4"/>
      <c r="E2514" s="4"/>
      <c r="F2514" s="4"/>
      <c r="Q2514" s="3"/>
      <c r="R2514" s="3"/>
      <c r="S2514" s="3"/>
      <c r="T2514" s="3"/>
      <c r="U2514" s="3"/>
    </row>
    <row r="2515" spans="2:21" x14ac:dyDescent="0.25">
      <c r="B2515" s="2"/>
      <c r="C2515" s="2"/>
      <c r="D2515" s="4"/>
      <c r="E2515" s="4"/>
      <c r="F2515" s="4"/>
      <c r="Q2515" s="3"/>
      <c r="R2515" s="3"/>
      <c r="S2515" s="3"/>
      <c r="T2515" s="3"/>
      <c r="U2515" s="3"/>
    </row>
    <row r="2516" spans="2:21" x14ac:dyDescent="0.25">
      <c r="B2516" s="2"/>
      <c r="C2516" s="2"/>
      <c r="D2516" s="4"/>
      <c r="E2516" s="4"/>
      <c r="F2516" s="4"/>
      <c r="Q2516" s="3"/>
      <c r="R2516" s="3"/>
      <c r="S2516" s="3"/>
      <c r="T2516" s="3"/>
      <c r="U2516" s="3"/>
    </row>
    <row r="2517" spans="2:21" x14ac:dyDescent="0.25">
      <c r="B2517" s="2"/>
      <c r="C2517" s="2"/>
      <c r="D2517" s="4"/>
      <c r="E2517" s="4"/>
      <c r="F2517" s="4"/>
      <c r="Q2517" s="3"/>
      <c r="R2517" s="3"/>
      <c r="S2517" s="3"/>
      <c r="T2517" s="3"/>
      <c r="U2517" s="3"/>
    </row>
    <row r="2518" spans="2:21" x14ac:dyDescent="0.25">
      <c r="B2518" s="2"/>
      <c r="C2518" s="2"/>
      <c r="D2518" s="4"/>
      <c r="E2518" s="4"/>
      <c r="F2518" s="4"/>
      <c r="Q2518" s="3"/>
      <c r="R2518" s="3"/>
      <c r="S2518" s="3"/>
      <c r="T2518" s="3"/>
      <c r="U2518" s="3"/>
    </row>
    <row r="2519" spans="2:21" x14ac:dyDescent="0.25">
      <c r="B2519" s="2"/>
      <c r="C2519" s="2"/>
      <c r="D2519" s="4"/>
      <c r="E2519" s="4"/>
      <c r="F2519" s="4"/>
      <c r="Q2519" s="3"/>
      <c r="R2519" s="3"/>
      <c r="S2519" s="3"/>
      <c r="T2519" s="3"/>
      <c r="U2519" s="3"/>
    </row>
    <row r="2520" spans="2:21" x14ac:dyDescent="0.25">
      <c r="B2520" s="2"/>
      <c r="C2520" s="2"/>
      <c r="D2520" s="4"/>
      <c r="E2520" s="4"/>
      <c r="F2520" s="4"/>
      <c r="Q2520" s="3"/>
      <c r="R2520" s="3"/>
      <c r="S2520" s="3"/>
      <c r="T2520" s="3"/>
      <c r="U2520" s="3"/>
    </row>
    <row r="2521" spans="2:21" x14ac:dyDescent="0.25">
      <c r="B2521" s="2"/>
      <c r="C2521" s="2"/>
      <c r="D2521" s="4"/>
      <c r="E2521" s="4"/>
      <c r="F2521" s="4"/>
      <c r="Q2521" s="3"/>
      <c r="R2521" s="3"/>
      <c r="S2521" s="3"/>
      <c r="T2521" s="3"/>
      <c r="U2521" s="3"/>
    </row>
    <row r="2522" spans="2:21" x14ac:dyDescent="0.25">
      <c r="B2522" s="2"/>
      <c r="C2522" s="2"/>
      <c r="D2522" s="4"/>
      <c r="E2522" s="4"/>
      <c r="F2522" s="4"/>
      <c r="Q2522" s="3"/>
      <c r="R2522" s="3"/>
      <c r="S2522" s="3"/>
      <c r="T2522" s="3"/>
      <c r="U2522" s="3"/>
    </row>
    <row r="2523" spans="2:21" x14ac:dyDescent="0.25">
      <c r="B2523" s="2"/>
      <c r="C2523" s="2"/>
      <c r="D2523" s="4"/>
      <c r="E2523" s="4"/>
      <c r="F2523" s="4"/>
      <c r="Q2523" s="3"/>
      <c r="R2523" s="3"/>
      <c r="S2523" s="3"/>
      <c r="T2523" s="3"/>
      <c r="U2523" s="3"/>
    </row>
    <row r="2524" spans="2:21" x14ac:dyDescent="0.25">
      <c r="B2524" s="2"/>
      <c r="C2524" s="2"/>
      <c r="D2524" s="4"/>
      <c r="E2524" s="4"/>
      <c r="F2524" s="4"/>
      <c r="Q2524" s="3"/>
      <c r="R2524" s="3"/>
      <c r="S2524" s="3"/>
      <c r="T2524" s="3"/>
      <c r="U2524" s="3"/>
    </row>
    <row r="2525" spans="2:21" x14ac:dyDescent="0.25">
      <c r="B2525" s="2"/>
      <c r="C2525" s="2"/>
      <c r="D2525" s="4"/>
      <c r="E2525" s="4"/>
      <c r="F2525" s="4"/>
      <c r="Q2525" s="3"/>
      <c r="R2525" s="3"/>
      <c r="S2525" s="3"/>
      <c r="T2525" s="3"/>
      <c r="U2525" s="3"/>
    </row>
    <row r="2526" spans="2:21" x14ac:dyDescent="0.25">
      <c r="B2526" s="2"/>
      <c r="C2526" s="2"/>
      <c r="D2526" s="4"/>
      <c r="E2526" s="4"/>
      <c r="F2526" s="4"/>
      <c r="Q2526" s="3"/>
      <c r="R2526" s="3"/>
      <c r="S2526" s="3"/>
      <c r="T2526" s="3"/>
      <c r="U2526" s="3"/>
    </row>
    <row r="2527" spans="2:21" x14ac:dyDescent="0.25">
      <c r="B2527" s="2"/>
      <c r="C2527" s="2"/>
      <c r="D2527" s="4"/>
      <c r="E2527" s="4"/>
      <c r="F2527" s="4"/>
      <c r="Q2527" s="3"/>
      <c r="R2527" s="3"/>
      <c r="S2527" s="3"/>
      <c r="T2527" s="3"/>
      <c r="U2527" s="3"/>
    </row>
    <row r="2528" spans="2:21" x14ac:dyDescent="0.25">
      <c r="B2528" s="2"/>
      <c r="C2528" s="2"/>
      <c r="D2528" s="4"/>
      <c r="E2528" s="4"/>
      <c r="F2528" s="4"/>
      <c r="Q2528" s="3"/>
      <c r="R2528" s="3"/>
      <c r="S2528" s="3"/>
      <c r="T2528" s="3"/>
      <c r="U2528" s="3"/>
    </row>
    <row r="2529" spans="2:21" x14ac:dyDescent="0.25">
      <c r="B2529" s="2"/>
      <c r="C2529" s="2"/>
      <c r="D2529" s="4"/>
      <c r="E2529" s="4"/>
      <c r="F2529" s="4"/>
      <c r="Q2529" s="3"/>
      <c r="R2529" s="3"/>
      <c r="S2529" s="3"/>
      <c r="T2529" s="3"/>
      <c r="U2529" s="3"/>
    </row>
    <row r="2530" spans="2:21" x14ac:dyDescent="0.25">
      <c r="B2530" s="2"/>
      <c r="C2530" s="2"/>
      <c r="D2530" s="4"/>
      <c r="E2530" s="4"/>
      <c r="F2530" s="4"/>
      <c r="Q2530" s="3"/>
      <c r="R2530" s="3"/>
      <c r="S2530" s="3"/>
      <c r="T2530" s="3"/>
      <c r="U2530" s="3"/>
    </row>
    <row r="2531" spans="2:21" x14ac:dyDescent="0.25">
      <c r="B2531" s="2"/>
      <c r="C2531" s="2"/>
      <c r="D2531" s="4"/>
      <c r="E2531" s="4"/>
      <c r="F2531" s="4"/>
      <c r="Q2531" s="3"/>
      <c r="R2531" s="3"/>
      <c r="S2531" s="3"/>
      <c r="T2531" s="3"/>
      <c r="U2531" s="3"/>
    </row>
    <row r="2532" spans="2:21" x14ac:dyDescent="0.25">
      <c r="B2532" s="2"/>
      <c r="C2532" s="2"/>
      <c r="D2532" s="4"/>
      <c r="E2532" s="4"/>
      <c r="F2532" s="4"/>
      <c r="Q2532" s="3"/>
      <c r="R2532" s="3"/>
      <c r="S2532" s="3"/>
      <c r="T2532" s="3"/>
      <c r="U2532" s="3"/>
    </row>
    <row r="2533" spans="2:21" x14ac:dyDescent="0.25">
      <c r="B2533" s="2"/>
      <c r="C2533" s="2"/>
      <c r="D2533" s="4"/>
      <c r="E2533" s="4"/>
      <c r="F2533" s="4"/>
      <c r="Q2533" s="3"/>
      <c r="R2533" s="3"/>
      <c r="S2533" s="3"/>
      <c r="T2533" s="3"/>
      <c r="U2533" s="3"/>
    </row>
    <row r="2534" spans="2:21" x14ac:dyDescent="0.25">
      <c r="B2534" s="2"/>
      <c r="C2534" s="2"/>
      <c r="D2534" s="4"/>
      <c r="E2534" s="4"/>
      <c r="F2534" s="4"/>
      <c r="Q2534" s="3"/>
      <c r="R2534" s="3"/>
      <c r="S2534" s="3"/>
      <c r="T2534" s="3"/>
      <c r="U2534" s="3"/>
    </row>
    <row r="2535" spans="2:21" x14ac:dyDescent="0.25">
      <c r="B2535" s="2"/>
      <c r="C2535" s="2"/>
      <c r="D2535" s="4"/>
      <c r="E2535" s="4"/>
      <c r="F2535" s="4"/>
      <c r="Q2535" s="3"/>
      <c r="R2535" s="3"/>
      <c r="S2535" s="3"/>
      <c r="T2535" s="3"/>
      <c r="U2535" s="3"/>
    </row>
    <row r="2536" spans="2:21" x14ac:dyDescent="0.25">
      <c r="B2536" s="2"/>
      <c r="C2536" s="2"/>
      <c r="D2536" s="4"/>
      <c r="E2536" s="4"/>
      <c r="F2536" s="4"/>
      <c r="Q2536" s="3"/>
      <c r="R2536" s="3"/>
      <c r="S2536" s="3"/>
      <c r="T2536" s="3"/>
      <c r="U2536" s="3"/>
    </row>
    <row r="2537" spans="2:21" x14ac:dyDescent="0.25">
      <c r="B2537" s="2"/>
      <c r="C2537" s="2"/>
      <c r="D2537" s="4"/>
      <c r="E2537" s="4"/>
      <c r="F2537" s="4"/>
      <c r="Q2537" s="3"/>
      <c r="R2537" s="3"/>
      <c r="S2537" s="3"/>
      <c r="T2537" s="3"/>
      <c r="U2537" s="3"/>
    </row>
    <row r="2538" spans="2:21" x14ac:dyDescent="0.25">
      <c r="B2538" s="2"/>
      <c r="C2538" s="2"/>
      <c r="D2538" s="4"/>
      <c r="E2538" s="4"/>
      <c r="F2538" s="4"/>
      <c r="Q2538" s="3"/>
      <c r="R2538" s="3"/>
      <c r="S2538" s="3"/>
      <c r="T2538" s="3"/>
      <c r="U2538" s="3"/>
    </row>
    <row r="2539" spans="2:21" x14ac:dyDescent="0.25">
      <c r="B2539" s="2"/>
      <c r="C2539" s="2"/>
      <c r="D2539" s="4"/>
      <c r="E2539" s="4"/>
      <c r="F2539" s="4"/>
      <c r="Q2539" s="3"/>
      <c r="R2539" s="3"/>
      <c r="S2539" s="3"/>
      <c r="T2539" s="3"/>
      <c r="U2539" s="3"/>
    </row>
    <row r="2540" spans="2:21" x14ac:dyDescent="0.25">
      <c r="B2540" s="2"/>
      <c r="C2540" s="2"/>
      <c r="D2540" s="4"/>
      <c r="E2540" s="4"/>
      <c r="F2540" s="4"/>
      <c r="Q2540" s="3"/>
      <c r="R2540" s="3"/>
      <c r="S2540" s="3"/>
      <c r="T2540" s="3"/>
      <c r="U2540" s="3"/>
    </row>
    <row r="2541" spans="2:21" x14ac:dyDescent="0.25">
      <c r="B2541" s="2"/>
      <c r="C2541" s="2"/>
      <c r="D2541" s="4"/>
      <c r="E2541" s="4"/>
      <c r="F2541" s="4"/>
      <c r="Q2541" s="3"/>
      <c r="R2541" s="3"/>
      <c r="S2541" s="3"/>
      <c r="T2541" s="3"/>
      <c r="U2541" s="3"/>
    </row>
    <row r="2542" spans="2:21" x14ac:dyDescent="0.25">
      <c r="B2542" s="2"/>
      <c r="C2542" s="2"/>
      <c r="D2542" s="4"/>
      <c r="E2542" s="4"/>
      <c r="F2542" s="4"/>
      <c r="Q2542" s="3"/>
      <c r="R2542" s="3"/>
      <c r="S2542" s="3"/>
      <c r="T2542" s="3"/>
      <c r="U2542" s="3"/>
    </row>
    <row r="2543" spans="2:21" x14ac:dyDescent="0.25">
      <c r="B2543" s="2"/>
      <c r="C2543" s="2"/>
      <c r="D2543" s="4"/>
      <c r="E2543" s="4"/>
      <c r="F2543" s="4"/>
      <c r="Q2543" s="3"/>
      <c r="R2543" s="3"/>
      <c r="S2543" s="3"/>
      <c r="T2543" s="3"/>
      <c r="U2543" s="3"/>
    </row>
    <row r="2544" spans="2:21" x14ac:dyDescent="0.25">
      <c r="B2544" s="2"/>
      <c r="C2544" s="2"/>
      <c r="D2544" s="4"/>
      <c r="E2544" s="4"/>
      <c r="F2544" s="4"/>
      <c r="Q2544" s="3"/>
      <c r="R2544" s="3"/>
      <c r="S2544" s="3"/>
      <c r="T2544" s="3"/>
      <c r="U2544" s="3"/>
    </row>
    <row r="2545" spans="2:21" x14ac:dyDescent="0.25">
      <c r="B2545" s="2"/>
      <c r="C2545" s="2"/>
      <c r="D2545" s="4"/>
      <c r="E2545" s="4"/>
      <c r="F2545" s="4"/>
      <c r="Q2545" s="3"/>
      <c r="R2545" s="3"/>
      <c r="S2545" s="3"/>
      <c r="T2545" s="3"/>
      <c r="U2545" s="3"/>
    </row>
    <row r="2546" spans="2:21" x14ac:dyDescent="0.25">
      <c r="B2546" s="2"/>
      <c r="C2546" s="2"/>
      <c r="D2546" s="4"/>
      <c r="E2546" s="4"/>
      <c r="F2546" s="4"/>
      <c r="Q2546" s="3"/>
      <c r="R2546" s="3"/>
      <c r="S2546" s="3"/>
      <c r="T2546" s="3"/>
      <c r="U2546" s="3"/>
    </row>
    <row r="2547" spans="2:21" x14ac:dyDescent="0.25">
      <c r="B2547" s="2"/>
      <c r="C2547" s="2"/>
      <c r="D2547" s="4"/>
      <c r="E2547" s="4"/>
      <c r="F2547" s="4"/>
      <c r="Q2547" s="3"/>
      <c r="R2547" s="3"/>
      <c r="S2547" s="3"/>
      <c r="T2547" s="3"/>
      <c r="U2547" s="3"/>
    </row>
    <row r="2548" spans="2:21" x14ac:dyDescent="0.25">
      <c r="B2548" s="2"/>
      <c r="C2548" s="2"/>
      <c r="D2548" s="4"/>
      <c r="E2548" s="4"/>
      <c r="F2548" s="4"/>
      <c r="Q2548" s="3"/>
      <c r="R2548" s="3"/>
      <c r="S2548" s="3"/>
      <c r="T2548" s="3"/>
      <c r="U2548" s="3"/>
    </row>
    <row r="2549" spans="2:21" x14ac:dyDescent="0.25">
      <c r="B2549" s="2"/>
      <c r="C2549" s="2"/>
      <c r="D2549" s="4"/>
      <c r="E2549" s="4"/>
      <c r="F2549" s="4"/>
      <c r="Q2549" s="3"/>
      <c r="R2549" s="3"/>
      <c r="S2549" s="3"/>
      <c r="T2549" s="3"/>
      <c r="U2549" s="3"/>
    </row>
    <row r="2550" spans="2:21" x14ac:dyDescent="0.25">
      <c r="B2550" s="2"/>
      <c r="C2550" s="2"/>
      <c r="D2550" s="4"/>
      <c r="E2550" s="4"/>
      <c r="F2550" s="4"/>
      <c r="Q2550" s="3"/>
      <c r="R2550" s="3"/>
      <c r="S2550" s="3"/>
      <c r="T2550" s="3"/>
      <c r="U2550" s="3"/>
    </row>
    <row r="2551" spans="2:21" x14ac:dyDescent="0.25">
      <c r="B2551" s="2"/>
      <c r="C2551" s="2"/>
      <c r="D2551" s="4"/>
      <c r="E2551" s="4"/>
      <c r="F2551" s="4"/>
      <c r="Q2551" s="3"/>
      <c r="R2551" s="3"/>
      <c r="S2551" s="3"/>
      <c r="T2551" s="3"/>
      <c r="U2551" s="3"/>
    </row>
    <row r="2552" spans="2:21" x14ac:dyDescent="0.25">
      <c r="B2552" s="2"/>
      <c r="C2552" s="2"/>
      <c r="D2552" s="4"/>
      <c r="E2552" s="4"/>
      <c r="F2552" s="4"/>
      <c r="Q2552" s="3"/>
      <c r="R2552" s="3"/>
      <c r="S2552" s="3"/>
      <c r="T2552" s="3"/>
      <c r="U2552" s="3"/>
    </row>
    <row r="2553" spans="2:21" x14ac:dyDescent="0.25">
      <c r="B2553" s="2"/>
      <c r="C2553" s="2"/>
      <c r="D2553" s="4"/>
      <c r="E2553" s="4"/>
      <c r="F2553" s="4"/>
      <c r="Q2553" s="3"/>
      <c r="R2553" s="3"/>
      <c r="S2553" s="3"/>
      <c r="T2553" s="3"/>
      <c r="U2553" s="3"/>
    </row>
    <row r="2554" spans="2:21" x14ac:dyDescent="0.25">
      <c r="B2554" s="2"/>
      <c r="C2554" s="2"/>
      <c r="D2554" s="4"/>
      <c r="E2554" s="4"/>
      <c r="F2554" s="4"/>
      <c r="Q2554" s="3"/>
      <c r="R2554" s="3"/>
      <c r="S2554" s="3"/>
      <c r="T2554" s="3"/>
      <c r="U2554" s="3"/>
    </row>
    <row r="2555" spans="2:21" x14ac:dyDescent="0.25">
      <c r="B2555" s="2"/>
      <c r="C2555" s="2"/>
      <c r="D2555" s="4"/>
      <c r="E2555" s="4"/>
      <c r="F2555" s="4"/>
      <c r="Q2555" s="3"/>
      <c r="R2555" s="3"/>
      <c r="S2555" s="3"/>
      <c r="T2555" s="3"/>
      <c r="U2555" s="3"/>
    </row>
    <row r="2556" spans="2:21" x14ac:dyDescent="0.25">
      <c r="B2556" s="2"/>
      <c r="C2556" s="2"/>
      <c r="D2556" s="4"/>
      <c r="E2556" s="4"/>
      <c r="F2556" s="4"/>
      <c r="Q2556" s="3"/>
      <c r="R2556" s="3"/>
      <c r="S2556" s="3"/>
      <c r="T2556" s="3"/>
      <c r="U2556" s="3"/>
    </row>
    <row r="2557" spans="2:21" x14ac:dyDescent="0.25">
      <c r="B2557" s="2"/>
      <c r="C2557" s="2"/>
      <c r="D2557" s="4"/>
      <c r="E2557" s="4"/>
      <c r="F2557" s="4"/>
      <c r="Q2557" s="3"/>
      <c r="R2557" s="3"/>
      <c r="S2557" s="3"/>
      <c r="T2557" s="3"/>
      <c r="U2557" s="3"/>
    </row>
    <row r="2558" spans="2:21" x14ac:dyDescent="0.25">
      <c r="B2558" s="2"/>
      <c r="C2558" s="2"/>
      <c r="D2558" s="4"/>
      <c r="E2558" s="4"/>
      <c r="F2558" s="4"/>
      <c r="Q2558" s="3"/>
      <c r="R2558" s="3"/>
      <c r="S2558" s="3"/>
      <c r="T2558" s="3"/>
      <c r="U2558" s="3"/>
    </row>
    <row r="2559" spans="2:21" x14ac:dyDescent="0.25">
      <c r="B2559" s="2"/>
      <c r="C2559" s="2"/>
      <c r="D2559" s="4"/>
      <c r="E2559" s="4"/>
      <c r="F2559" s="4"/>
      <c r="Q2559" s="3"/>
      <c r="R2559" s="3"/>
      <c r="S2559" s="3"/>
      <c r="T2559" s="3"/>
      <c r="U2559" s="3"/>
    </row>
    <row r="2560" spans="2:21" x14ac:dyDescent="0.25">
      <c r="B2560" s="2"/>
      <c r="C2560" s="2"/>
      <c r="D2560" s="4"/>
      <c r="E2560" s="4"/>
      <c r="F2560" s="4"/>
      <c r="Q2560" s="3"/>
      <c r="R2560" s="3"/>
      <c r="S2560" s="3"/>
      <c r="T2560" s="3"/>
      <c r="U2560" s="3"/>
    </row>
    <row r="2561" spans="2:21" x14ac:dyDescent="0.25">
      <c r="B2561" s="2"/>
      <c r="C2561" s="2"/>
      <c r="D2561" s="4"/>
      <c r="E2561" s="4"/>
      <c r="F2561" s="4"/>
      <c r="Q2561" s="3"/>
      <c r="R2561" s="3"/>
      <c r="S2561" s="3"/>
      <c r="T2561" s="3"/>
      <c r="U2561" s="3"/>
    </row>
    <row r="2562" spans="2:21" x14ac:dyDescent="0.25">
      <c r="B2562" s="2"/>
      <c r="C2562" s="2"/>
      <c r="D2562" s="4"/>
      <c r="E2562" s="4"/>
      <c r="F2562" s="4"/>
      <c r="Q2562" s="3"/>
      <c r="R2562" s="3"/>
      <c r="S2562" s="3"/>
      <c r="T2562" s="3"/>
      <c r="U2562" s="3"/>
    </row>
    <row r="2563" spans="2:21" x14ac:dyDescent="0.25">
      <c r="B2563" s="2"/>
      <c r="C2563" s="2"/>
      <c r="D2563" s="4"/>
      <c r="E2563" s="4"/>
      <c r="F2563" s="4"/>
      <c r="Q2563" s="3"/>
      <c r="R2563" s="3"/>
      <c r="S2563" s="3"/>
      <c r="T2563" s="3"/>
      <c r="U2563" s="3"/>
    </row>
    <row r="2564" spans="2:21" x14ac:dyDescent="0.25">
      <c r="B2564" s="2"/>
      <c r="C2564" s="2"/>
      <c r="D2564" s="4"/>
      <c r="E2564" s="4"/>
      <c r="F2564" s="4"/>
      <c r="Q2564" s="3"/>
      <c r="R2564" s="3"/>
      <c r="S2564" s="3"/>
      <c r="T2564" s="3"/>
      <c r="U2564" s="3"/>
    </row>
    <row r="2565" spans="2:21" x14ac:dyDescent="0.25">
      <c r="B2565" s="2"/>
      <c r="C2565" s="2"/>
      <c r="D2565" s="4"/>
      <c r="E2565" s="4"/>
      <c r="F2565" s="4"/>
      <c r="Q2565" s="3"/>
      <c r="R2565" s="3"/>
      <c r="S2565" s="3"/>
      <c r="T2565" s="3"/>
      <c r="U2565" s="3"/>
    </row>
    <row r="2566" spans="2:21" x14ac:dyDescent="0.25">
      <c r="B2566" s="2"/>
      <c r="C2566" s="2"/>
      <c r="D2566" s="4"/>
      <c r="E2566" s="4"/>
      <c r="F2566" s="4"/>
      <c r="Q2566" s="3"/>
      <c r="R2566" s="3"/>
      <c r="S2566" s="3"/>
      <c r="T2566" s="3"/>
      <c r="U2566" s="3"/>
    </row>
    <row r="2567" spans="2:21" x14ac:dyDescent="0.25">
      <c r="B2567" s="2"/>
      <c r="C2567" s="2"/>
      <c r="D2567" s="4"/>
      <c r="E2567" s="4"/>
      <c r="F2567" s="4"/>
      <c r="Q2567" s="3"/>
      <c r="R2567" s="3"/>
      <c r="S2567" s="3"/>
      <c r="T2567" s="3"/>
      <c r="U2567" s="3"/>
    </row>
    <row r="2568" spans="2:21" x14ac:dyDescent="0.25">
      <c r="B2568" s="2"/>
      <c r="C2568" s="2"/>
      <c r="D2568" s="4"/>
      <c r="E2568" s="4"/>
      <c r="F2568" s="4"/>
      <c r="Q2568" s="3"/>
      <c r="R2568" s="3"/>
      <c r="S2568" s="3"/>
      <c r="T2568" s="3"/>
      <c r="U2568" s="3"/>
    </row>
    <row r="2569" spans="2:21" x14ac:dyDescent="0.25">
      <c r="B2569" s="2"/>
      <c r="C2569" s="2"/>
      <c r="D2569" s="4"/>
      <c r="E2569" s="4"/>
      <c r="F2569" s="4"/>
      <c r="Q2569" s="3"/>
      <c r="R2569" s="3"/>
      <c r="S2569" s="3"/>
      <c r="T2569" s="3"/>
      <c r="U2569" s="3"/>
    </row>
    <row r="2570" spans="2:21" x14ac:dyDescent="0.25">
      <c r="B2570" s="2"/>
      <c r="C2570" s="2"/>
      <c r="D2570" s="4"/>
      <c r="E2570" s="4"/>
      <c r="F2570" s="4"/>
      <c r="Q2570" s="3"/>
      <c r="R2570" s="3"/>
      <c r="S2570" s="3"/>
      <c r="T2570" s="3"/>
      <c r="U2570" s="3"/>
    </row>
    <row r="2571" spans="2:21" x14ac:dyDescent="0.25">
      <c r="B2571" s="2"/>
      <c r="C2571" s="2"/>
      <c r="D2571" s="4"/>
      <c r="E2571" s="4"/>
      <c r="F2571" s="4"/>
      <c r="Q2571" s="3"/>
      <c r="R2571" s="3"/>
      <c r="S2571" s="3"/>
      <c r="T2571" s="3"/>
      <c r="U2571" s="3"/>
    </row>
    <row r="2572" spans="2:21" x14ac:dyDescent="0.25">
      <c r="B2572" s="2"/>
      <c r="C2572" s="2"/>
      <c r="D2572" s="4"/>
      <c r="E2572" s="4"/>
      <c r="F2572" s="4"/>
      <c r="Q2572" s="3"/>
      <c r="R2572" s="3"/>
      <c r="S2572" s="3"/>
      <c r="T2572" s="3"/>
      <c r="U2572" s="3"/>
    </row>
    <row r="2573" spans="2:21" x14ac:dyDescent="0.25">
      <c r="B2573" s="2"/>
      <c r="C2573" s="2"/>
      <c r="D2573" s="4"/>
      <c r="E2573" s="4"/>
      <c r="F2573" s="4"/>
      <c r="Q2573" s="3"/>
      <c r="R2573" s="3"/>
      <c r="S2573" s="3"/>
      <c r="T2573" s="3"/>
      <c r="U2573" s="3"/>
    </row>
    <row r="2574" spans="2:21" x14ac:dyDescent="0.25">
      <c r="B2574" s="2"/>
      <c r="C2574" s="2"/>
      <c r="D2574" s="4"/>
      <c r="E2574" s="4"/>
      <c r="F2574" s="4"/>
      <c r="Q2574" s="3"/>
      <c r="R2574" s="3"/>
      <c r="S2574" s="3"/>
      <c r="T2574" s="3"/>
      <c r="U2574" s="3"/>
    </row>
    <row r="2575" spans="2:21" x14ac:dyDescent="0.25">
      <c r="B2575" s="2"/>
      <c r="C2575" s="2"/>
      <c r="D2575" s="4"/>
      <c r="E2575" s="4"/>
      <c r="F2575" s="4"/>
      <c r="Q2575" s="3"/>
      <c r="R2575" s="3"/>
      <c r="S2575" s="3"/>
      <c r="T2575" s="3"/>
      <c r="U2575" s="3"/>
    </row>
    <row r="2576" spans="2:21" x14ac:dyDescent="0.25">
      <c r="B2576" s="2"/>
      <c r="C2576" s="2"/>
      <c r="D2576" s="4"/>
      <c r="E2576" s="4"/>
      <c r="F2576" s="4"/>
      <c r="Q2576" s="3"/>
      <c r="R2576" s="3"/>
      <c r="S2576" s="3"/>
      <c r="T2576" s="3"/>
      <c r="U2576" s="3"/>
    </row>
    <row r="2577" spans="2:21" x14ac:dyDescent="0.25">
      <c r="B2577" s="2"/>
      <c r="C2577" s="2"/>
      <c r="D2577" s="4"/>
      <c r="E2577" s="4"/>
      <c r="F2577" s="4"/>
      <c r="Q2577" s="3"/>
      <c r="R2577" s="3"/>
      <c r="S2577" s="3"/>
      <c r="T2577" s="3"/>
      <c r="U2577" s="3"/>
    </row>
    <row r="2578" spans="2:21" x14ac:dyDescent="0.25">
      <c r="B2578" s="2"/>
      <c r="C2578" s="2"/>
      <c r="D2578" s="4"/>
      <c r="E2578" s="4"/>
      <c r="F2578" s="4"/>
      <c r="Q2578" s="3"/>
      <c r="R2578" s="3"/>
      <c r="S2578" s="3"/>
      <c r="T2578" s="3"/>
      <c r="U2578" s="3"/>
    </row>
    <row r="2579" spans="2:21" x14ac:dyDescent="0.25">
      <c r="B2579" s="2"/>
      <c r="C2579" s="2"/>
      <c r="D2579" s="4"/>
      <c r="E2579" s="4"/>
      <c r="F2579" s="4"/>
      <c r="Q2579" s="3"/>
      <c r="R2579" s="3"/>
      <c r="S2579" s="3"/>
      <c r="T2579" s="3"/>
      <c r="U2579" s="3"/>
    </row>
    <row r="2580" spans="2:21" x14ac:dyDescent="0.25">
      <c r="B2580" s="2"/>
      <c r="C2580" s="2"/>
      <c r="D2580" s="4"/>
      <c r="E2580" s="4"/>
      <c r="F2580" s="4"/>
      <c r="Q2580" s="3"/>
      <c r="R2580" s="3"/>
      <c r="S2580" s="3"/>
      <c r="T2580" s="3"/>
      <c r="U2580" s="3"/>
    </row>
    <row r="2581" spans="2:21" x14ac:dyDescent="0.25">
      <c r="B2581" s="2"/>
      <c r="C2581" s="2"/>
      <c r="D2581" s="4"/>
      <c r="E2581" s="4"/>
      <c r="F2581" s="4"/>
      <c r="Q2581" s="3"/>
      <c r="R2581" s="3"/>
      <c r="S2581" s="3"/>
      <c r="T2581" s="3"/>
      <c r="U2581" s="3"/>
    </row>
    <row r="2582" spans="2:21" x14ac:dyDescent="0.25">
      <c r="B2582" s="2"/>
      <c r="C2582" s="2"/>
      <c r="D2582" s="4"/>
      <c r="E2582" s="4"/>
      <c r="F2582" s="4"/>
      <c r="Q2582" s="3"/>
      <c r="R2582" s="3"/>
      <c r="S2582" s="3"/>
      <c r="T2582" s="3"/>
      <c r="U2582" s="3"/>
    </row>
    <row r="2583" spans="2:21" x14ac:dyDescent="0.25">
      <c r="B2583" s="2"/>
      <c r="C2583" s="2"/>
      <c r="D2583" s="4"/>
      <c r="E2583" s="4"/>
      <c r="F2583" s="4"/>
      <c r="Q2583" s="3"/>
      <c r="R2583" s="3"/>
      <c r="S2583" s="3"/>
      <c r="T2583" s="3"/>
      <c r="U2583" s="3"/>
    </row>
    <row r="2584" spans="2:21" x14ac:dyDescent="0.25">
      <c r="B2584" s="2"/>
      <c r="C2584" s="2"/>
      <c r="D2584" s="4"/>
      <c r="E2584" s="4"/>
      <c r="F2584" s="4"/>
      <c r="Q2584" s="3"/>
      <c r="R2584" s="3"/>
      <c r="S2584" s="3"/>
      <c r="T2584" s="3"/>
      <c r="U2584" s="3"/>
    </row>
    <row r="2585" spans="2:21" x14ac:dyDescent="0.25">
      <c r="B2585" s="2"/>
      <c r="C2585" s="2"/>
      <c r="D2585" s="4"/>
      <c r="E2585" s="4"/>
      <c r="F2585" s="4"/>
      <c r="Q2585" s="3"/>
      <c r="R2585" s="3"/>
      <c r="S2585" s="3"/>
      <c r="T2585" s="3"/>
      <c r="U2585" s="3"/>
    </row>
    <row r="2586" spans="2:21" x14ac:dyDescent="0.25">
      <c r="B2586" s="2"/>
      <c r="C2586" s="2"/>
      <c r="D2586" s="4"/>
      <c r="E2586" s="4"/>
      <c r="F2586" s="4"/>
      <c r="Q2586" s="3"/>
      <c r="R2586" s="3"/>
      <c r="S2586" s="3"/>
      <c r="T2586" s="3"/>
      <c r="U2586" s="3"/>
    </row>
    <row r="2587" spans="2:21" x14ac:dyDescent="0.25">
      <c r="B2587" s="2"/>
      <c r="C2587" s="2"/>
      <c r="D2587" s="4"/>
      <c r="E2587" s="4"/>
      <c r="F2587" s="4"/>
      <c r="Q2587" s="3"/>
      <c r="R2587" s="3"/>
      <c r="S2587" s="3"/>
      <c r="T2587" s="3"/>
      <c r="U2587" s="3"/>
    </row>
    <row r="2588" spans="2:21" x14ac:dyDescent="0.25">
      <c r="B2588" s="2"/>
      <c r="C2588" s="2"/>
      <c r="D2588" s="4"/>
      <c r="E2588" s="4"/>
      <c r="F2588" s="4"/>
      <c r="Q2588" s="3"/>
      <c r="R2588" s="3"/>
      <c r="S2588" s="3"/>
      <c r="T2588" s="3"/>
      <c r="U2588" s="3"/>
    </row>
    <row r="2589" spans="2:21" x14ac:dyDescent="0.25">
      <c r="B2589" s="2"/>
      <c r="C2589" s="2"/>
      <c r="D2589" s="4"/>
      <c r="E2589" s="4"/>
      <c r="F2589" s="4"/>
      <c r="Q2589" s="3"/>
      <c r="R2589" s="3"/>
      <c r="S2589" s="3"/>
      <c r="T2589" s="3"/>
      <c r="U2589" s="3"/>
    </row>
    <row r="2590" spans="2:21" x14ac:dyDescent="0.25">
      <c r="B2590" s="2"/>
      <c r="C2590" s="2"/>
      <c r="D2590" s="4"/>
      <c r="E2590" s="4"/>
      <c r="F2590" s="4"/>
      <c r="Q2590" s="3"/>
      <c r="R2590" s="3"/>
      <c r="S2590" s="3"/>
      <c r="T2590" s="3"/>
      <c r="U2590" s="3"/>
    </row>
    <row r="2591" spans="2:21" x14ac:dyDescent="0.25">
      <c r="B2591" s="2"/>
      <c r="C2591" s="2"/>
      <c r="D2591" s="4"/>
      <c r="E2591" s="4"/>
      <c r="F2591" s="4"/>
      <c r="Q2591" s="3"/>
      <c r="R2591" s="3"/>
      <c r="S2591" s="3"/>
      <c r="T2591" s="3"/>
      <c r="U2591" s="3"/>
    </row>
    <row r="2592" spans="2:21" x14ac:dyDescent="0.25">
      <c r="B2592" s="2"/>
      <c r="C2592" s="2"/>
      <c r="D2592" s="4"/>
      <c r="E2592" s="4"/>
      <c r="F2592" s="4"/>
      <c r="Q2592" s="3"/>
      <c r="R2592" s="3"/>
      <c r="S2592" s="3"/>
      <c r="T2592" s="3"/>
      <c r="U2592" s="3"/>
    </row>
    <row r="2593" spans="2:21" x14ac:dyDescent="0.25">
      <c r="B2593" s="2"/>
      <c r="C2593" s="2"/>
      <c r="D2593" s="4"/>
      <c r="E2593" s="4"/>
      <c r="F2593" s="4"/>
      <c r="Q2593" s="3"/>
      <c r="R2593" s="3"/>
      <c r="S2593" s="3"/>
      <c r="T2593" s="3"/>
      <c r="U2593" s="3"/>
    </row>
    <row r="2594" spans="2:21" x14ac:dyDescent="0.25">
      <c r="B2594" s="2"/>
      <c r="C2594" s="2"/>
      <c r="D2594" s="4"/>
      <c r="E2594" s="4"/>
      <c r="F2594" s="4"/>
      <c r="Q2594" s="3"/>
      <c r="R2594" s="3"/>
      <c r="S2594" s="3"/>
      <c r="T2594" s="3"/>
      <c r="U2594" s="3"/>
    </row>
    <row r="2595" spans="2:21" x14ac:dyDescent="0.25">
      <c r="B2595" s="2"/>
      <c r="C2595" s="2"/>
      <c r="D2595" s="4"/>
      <c r="E2595" s="4"/>
      <c r="F2595" s="4"/>
      <c r="Q2595" s="3"/>
      <c r="R2595" s="3"/>
      <c r="S2595" s="3"/>
      <c r="T2595" s="3"/>
      <c r="U2595" s="3"/>
    </row>
    <row r="2596" spans="2:21" x14ac:dyDescent="0.25">
      <c r="B2596" s="2"/>
      <c r="C2596" s="2"/>
      <c r="D2596" s="4"/>
      <c r="E2596" s="4"/>
      <c r="F2596" s="4"/>
      <c r="Q2596" s="3"/>
      <c r="R2596" s="3"/>
      <c r="S2596" s="3"/>
      <c r="T2596" s="3"/>
      <c r="U2596" s="3"/>
    </row>
    <row r="2597" spans="2:21" x14ac:dyDescent="0.25">
      <c r="B2597" s="2"/>
      <c r="C2597" s="2"/>
      <c r="D2597" s="4"/>
      <c r="E2597" s="4"/>
      <c r="F2597" s="4"/>
      <c r="Q2597" s="3"/>
      <c r="R2597" s="3"/>
      <c r="S2597" s="3"/>
      <c r="T2597" s="3"/>
      <c r="U2597" s="3"/>
    </row>
    <row r="2598" spans="2:21" x14ac:dyDescent="0.25">
      <c r="B2598" s="2"/>
      <c r="C2598" s="2"/>
      <c r="D2598" s="4"/>
      <c r="E2598" s="4"/>
      <c r="F2598" s="4"/>
      <c r="Q2598" s="3"/>
      <c r="R2598" s="3"/>
      <c r="S2598" s="3"/>
      <c r="T2598" s="3"/>
      <c r="U2598" s="3"/>
    </row>
    <row r="2599" spans="2:21" x14ac:dyDescent="0.25">
      <c r="B2599" s="2"/>
      <c r="C2599" s="2"/>
      <c r="D2599" s="4"/>
      <c r="E2599" s="4"/>
      <c r="F2599" s="4"/>
      <c r="Q2599" s="3"/>
      <c r="R2599" s="3"/>
      <c r="S2599" s="3"/>
      <c r="T2599" s="3"/>
      <c r="U2599" s="3"/>
    </row>
    <row r="2600" spans="2:21" x14ac:dyDescent="0.25">
      <c r="B2600" s="2"/>
      <c r="C2600" s="2"/>
      <c r="D2600" s="4"/>
      <c r="E2600" s="4"/>
      <c r="F2600" s="4"/>
      <c r="Q2600" s="3"/>
      <c r="R2600" s="3"/>
      <c r="S2600" s="3"/>
      <c r="T2600" s="3"/>
      <c r="U2600" s="3"/>
    </row>
    <row r="2601" spans="2:21" x14ac:dyDescent="0.25">
      <c r="B2601" s="2"/>
      <c r="C2601" s="2"/>
      <c r="D2601" s="4"/>
      <c r="E2601" s="4"/>
      <c r="F2601" s="4"/>
      <c r="Q2601" s="3"/>
      <c r="R2601" s="3"/>
      <c r="S2601" s="3"/>
      <c r="T2601" s="3"/>
      <c r="U2601" s="3"/>
    </row>
    <row r="2602" spans="2:21" x14ac:dyDescent="0.25">
      <c r="B2602" s="2"/>
      <c r="C2602" s="2"/>
      <c r="D2602" s="4"/>
      <c r="E2602" s="4"/>
      <c r="F2602" s="4"/>
      <c r="Q2602" s="3"/>
      <c r="R2602" s="3"/>
      <c r="S2602" s="3"/>
      <c r="T2602" s="3"/>
      <c r="U2602" s="3"/>
    </row>
    <row r="2603" spans="2:21" x14ac:dyDescent="0.25">
      <c r="B2603" s="2"/>
      <c r="C2603" s="2"/>
      <c r="D2603" s="4"/>
      <c r="E2603" s="4"/>
      <c r="F2603" s="4"/>
      <c r="Q2603" s="3"/>
      <c r="R2603" s="3"/>
      <c r="S2603" s="3"/>
      <c r="T2603" s="3"/>
      <c r="U2603" s="3"/>
    </row>
    <row r="2604" spans="2:21" x14ac:dyDescent="0.25">
      <c r="B2604" s="2"/>
      <c r="C2604" s="2"/>
      <c r="D2604" s="4"/>
      <c r="E2604" s="4"/>
      <c r="F2604" s="4"/>
      <c r="Q2604" s="3"/>
      <c r="R2604" s="3"/>
      <c r="S2604" s="3"/>
      <c r="T2604" s="3"/>
      <c r="U2604" s="3"/>
    </row>
    <row r="2605" spans="2:21" x14ac:dyDescent="0.25">
      <c r="B2605" s="2"/>
      <c r="C2605" s="2"/>
      <c r="D2605" s="4"/>
      <c r="E2605" s="4"/>
      <c r="F2605" s="4"/>
      <c r="Q2605" s="3"/>
      <c r="R2605" s="3"/>
      <c r="S2605" s="3"/>
      <c r="T2605" s="3"/>
      <c r="U2605" s="3"/>
    </row>
    <row r="2606" spans="2:21" x14ac:dyDescent="0.25">
      <c r="B2606" s="2"/>
      <c r="C2606" s="2"/>
      <c r="D2606" s="4"/>
      <c r="E2606" s="4"/>
      <c r="F2606" s="4"/>
      <c r="Q2606" s="3"/>
      <c r="R2606" s="3"/>
      <c r="S2606" s="3"/>
      <c r="T2606" s="3"/>
      <c r="U2606" s="3"/>
    </row>
    <row r="2607" spans="2:21" x14ac:dyDescent="0.25">
      <c r="B2607" s="2"/>
      <c r="C2607" s="2"/>
      <c r="D2607" s="4"/>
      <c r="E2607" s="4"/>
      <c r="F2607" s="4"/>
      <c r="Q2607" s="3"/>
      <c r="R2607" s="3"/>
      <c r="S2607" s="3"/>
      <c r="T2607" s="3"/>
      <c r="U2607" s="3"/>
    </row>
    <row r="2608" spans="2:21" x14ac:dyDescent="0.25">
      <c r="B2608" s="2"/>
      <c r="C2608" s="2"/>
      <c r="D2608" s="4"/>
      <c r="E2608" s="4"/>
      <c r="F2608" s="4"/>
      <c r="Q2608" s="3"/>
      <c r="R2608" s="3"/>
      <c r="S2608" s="3"/>
      <c r="T2608" s="3"/>
      <c r="U2608" s="3"/>
    </row>
    <row r="2609" spans="2:21" x14ac:dyDescent="0.25">
      <c r="B2609" s="2"/>
      <c r="C2609" s="2"/>
      <c r="D2609" s="4"/>
      <c r="E2609" s="4"/>
      <c r="F2609" s="4"/>
      <c r="Q2609" s="3"/>
      <c r="R2609" s="3"/>
      <c r="S2609" s="3"/>
      <c r="T2609" s="3"/>
      <c r="U2609" s="3"/>
    </row>
    <row r="2610" spans="2:21" x14ac:dyDescent="0.25">
      <c r="B2610" s="2"/>
      <c r="C2610" s="2"/>
      <c r="D2610" s="4"/>
      <c r="E2610" s="4"/>
      <c r="F2610" s="4"/>
      <c r="Q2610" s="3"/>
      <c r="R2610" s="3"/>
      <c r="S2610" s="3"/>
      <c r="T2610" s="3"/>
      <c r="U2610" s="3"/>
    </row>
    <row r="2611" spans="2:21" x14ac:dyDescent="0.25">
      <c r="B2611" s="2"/>
      <c r="C2611" s="2"/>
      <c r="D2611" s="4"/>
      <c r="E2611" s="4"/>
      <c r="F2611" s="4"/>
      <c r="Q2611" s="3"/>
      <c r="R2611" s="3"/>
      <c r="S2611" s="3"/>
      <c r="T2611" s="3"/>
      <c r="U2611" s="3"/>
    </row>
    <row r="2612" spans="2:21" x14ac:dyDescent="0.25">
      <c r="B2612" s="2"/>
      <c r="C2612" s="2"/>
      <c r="D2612" s="4"/>
      <c r="E2612" s="4"/>
      <c r="F2612" s="4"/>
      <c r="Q2612" s="3"/>
      <c r="R2612" s="3"/>
      <c r="S2612" s="3"/>
      <c r="T2612" s="3"/>
      <c r="U2612" s="3"/>
    </row>
    <row r="2613" spans="2:21" x14ac:dyDescent="0.25">
      <c r="B2613" s="2"/>
      <c r="C2613" s="2"/>
      <c r="D2613" s="4"/>
      <c r="E2613" s="4"/>
      <c r="F2613" s="4"/>
      <c r="Q2613" s="3"/>
      <c r="R2613" s="3"/>
      <c r="S2613" s="3"/>
      <c r="T2613" s="3"/>
      <c r="U2613" s="3"/>
    </row>
    <row r="2614" spans="2:21" x14ac:dyDescent="0.25">
      <c r="B2614" s="2"/>
      <c r="C2614" s="2"/>
      <c r="D2614" s="4"/>
      <c r="E2614" s="4"/>
      <c r="F2614" s="4"/>
      <c r="Q2614" s="3"/>
      <c r="R2614" s="3"/>
      <c r="S2614" s="3"/>
      <c r="T2614" s="3"/>
      <c r="U2614" s="3"/>
    </row>
    <row r="2615" spans="2:21" x14ac:dyDescent="0.25">
      <c r="B2615" s="2"/>
      <c r="C2615" s="2"/>
      <c r="D2615" s="4"/>
      <c r="E2615" s="4"/>
      <c r="F2615" s="4"/>
      <c r="Q2615" s="3"/>
      <c r="R2615" s="3"/>
      <c r="S2615" s="3"/>
      <c r="T2615" s="3"/>
      <c r="U2615" s="3"/>
    </row>
    <row r="2616" spans="2:21" x14ac:dyDescent="0.25">
      <c r="B2616" s="2"/>
      <c r="C2616" s="2"/>
      <c r="D2616" s="4"/>
      <c r="E2616" s="4"/>
      <c r="F2616" s="4"/>
      <c r="Q2616" s="3"/>
      <c r="R2616" s="3"/>
      <c r="S2616" s="3"/>
      <c r="T2616" s="3"/>
      <c r="U2616" s="3"/>
    </row>
    <row r="2617" spans="2:21" x14ac:dyDescent="0.25">
      <c r="B2617" s="2"/>
      <c r="C2617" s="2"/>
      <c r="D2617" s="4"/>
      <c r="E2617" s="4"/>
      <c r="F2617" s="4"/>
      <c r="Q2617" s="3"/>
      <c r="R2617" s="3"/>
      <c r="S2617" s="3"/>
      <c r="T2617" s="3"/>
      <c r="U2617" s="3"/>
    </row>
    <row r="2618" spans="2:21" x14ac:dyDescent="0.25">
      <c r="B2618" s="2"/>
      <c r="C2618" s="2"/>
      <c r="D2618" s="4"/>
      <c r="E2618" s="4"/>
      <c r="F2618" s="4"/>
      <c r="Q2618" s="3"/>
      <c r="R2618" s="3"/>
      <c r="S2618" s="3"/>
      <c r="T2618" s="3"/>
      <c r="U2618" s="3"/>
    </row>
    <row r="2619" spans="2:21" x14ac:dyDescent="0.25">
      <c r="B2619" s="2"/>
      <c r="C2619" s="2"/>
      <c r="D2619" s="4"/>
      <c r="E2619" s="4"/>
      <c r="F2619" s="4"/>
      <c r="Q2619" s="3"/>
      <c r="R2619" s="3"/>
      <c r="S2619" s="3"/>
      <c r="T2619" s="3"/>
      <c r="U2619" s="3"/>
    </row>
    <row r="2620" spans="2:21" x14ac:dyDescent="0.25">
      <c r="B2620" s="2"/>
      <c r="C2620" s="2"/>
      <c r="D2620" s="4"/>
      <c r="E2620" s="4"/>
      <c r="F2620" s="4"/>
      <c r="Q2620" s="3"/>
      <c r="R2620" s="3"/>
      <c r="S2620" s="3"/>
      <c r="T2620" s="3"/>
      <c r="U2620" s="3"/>
    </row>
    <row r="2621" spans="2:21" x14ac:dyDescent="0.25">
      <c r="B2621" s="2"/>
      <c r="C2621" s="2"/>
      <c r="D2621" s="4"/>
      <c r="E2621" s="4"/>
      <c r="F2621" s="4"/>
      <c r="Q2621" s="3"/>
      <c r="R2621" s="3"/>
      <c r="S2621" s="3"/>
      <c r="T2621" s="3"/>
      <c r="U2621" s="3"/>
    </row>
    <row r="2622" spans="2:21" x14ac:dyDescent="0.25">
      <c r="B2622" s="2"/>
      <c r="C2622" s="2"/>
      <c r="D2622" s="4"/>
      <c r="E2622" s="4"/>
      <c r="F2622" s="4"/>
      <c r="Q2622" s="3"/>
      <c r="R2622" s="3"/>
      <c r="S2622" s="3"/>
      <c r="T2622" s="3"/>
      <c r="U2622" s="3"/>
    </row>
    <row r="2623" spans="2:21" x14ac:dyDescent="0.25">
      <c r="B2623" s="2"/>
      <c r="C2623" s="2"/>
      <c r="D2623" s="4"/>
      <c r="E2623" s="4"/>
      <c r="F2623" s="4"/>
      <c r="Q2623" s="3"/>
      <c r="R2623" s="3"/>
      <c r="S2623" s="3"/>
      <c r="T2623" s="3"/>
      <c r="U2623" s="3"/>
    </row>
    <row r="2624" spans="2:21" x14ac:dyDescent="0.25">
      <c r="B2624" s="2"/>
      <c r="C2624" s="2"/>
      <c r="D2624" s="4"/>
      <c r="E2624" s="4"/>
      <c r="F2624" s="4"/>
      <c r="Q2624" s="3"/>
      <c r="R2624" s="3"/>
      <c r="S2624" s="3"/>
      <c r="T2624" s="3"/>
      <c r="U2624" s="3"/>
    </row>
    <row r="2625" spans="2:21" x14ac:dyDescent="0.25">
      <c r="B2625" s="2"/>
      <c r="C2625" s="2"/>
      <c r="D2625" s="4"/>
      <c r="E2625" s="4"/>
      <c r="F2625" s="4"/>
      <c r="Q2625" s="3"/>
      <c r="R2625" s="3"/>
      <c r="S2625" s="3"/>
      <c r="T2625" s="3"/>
      <c r="U2625" s="3"/>
    </row>
    <row r="2626" spans="2:21" x14ac:dyDescent="0.25">
      <c r="B2626" s="2"/>
      <c r="C2626" s="2"/>
      <c r="D2626" s="4"/>
      <c r="E2626" s="4"/>
      <c r="F2626" s="4"/>
      <c r="Q2626" s="3"/>
      <c r="R2626" s="3"/>
      <c r="S2626" s="3"/>
      <c r="T2626" s="3"/>
      <c r="U2626" s="3"/>
    </row>
    <row r="2627" spans="2:21" x14ac:dyDescent="0.25">
      <c r="B2627" s="2"/>
      <c r="C2627" s="2"/>
      <c r="D2627" s="4"/>
      <c r="E2627" s="4"/>
      <c r="F2627" s="4"/>
      <c r="Q2627" s="3"/>
      <c r="R2627" s="3"/>
      <c r="S2627" s="3"/>
      <c r="T2627" s="3"/>
      <c r="U2627" s="3"/>
    </row>
    <row r="2628" spans="2:21" x14ac:dyDescent="0.25">
      <c r="B2628" s="2"/>
      <c r="C2628" s="2"/>
      <c r="D2628" s="4"/>
      <c r="E2628" s="4"/>
      <c r="F2628" s="4"/>
      <c r="Q2628" s="3"/>
      <c r="R2628" s="3"/>
      <c r="S2628" s="3"/>
      <c r="T2628" s="3"/>
      <c r="U2628" s="3"/>
    </row>
    <row r="2629" spans="2:21" x14ac:dyDescent="0.25">
      <c r="B2629" s="2"/>
      <c r="C2629" s="2"/>
      <c r="D2629" s="4"/>
      <c r="E2629" s="4"/>
      <c r="F2629" s="4"/>
      <c r="Q2629" s="3"/>
      <c r="R2629" s="3"/>
      <c r="S2629" s="3"/>
      <c r="T2629" s="3"/>
      <c r="U2629" s="3"/>
    </row>
    <row r="2630" spans="2:21" x14ac:dyDescent="0.25">
      <c r="B2630" s="2"/>
      <c r="C2630" s="2"/>
      <c r="D2630" s="4"/>
      <c r="E2630" s="4"/>
      <c r="F2630" s="4"/>
      <c r="Q2630" s="3"/>
      <c r="R2630" s="3"/>
      <c r="S2630" s="3"/>
      <c r="T2630" s="3"/>
      <c r="U2630" s="3"/>
    </row>
    <row r="2631" spans="2:21" x14ac:dyDescent="0.25">
      <c r="B2631" s="2"/>
      <c r="C2631" s="2"/>
      <c r="D2631" s="4"/>
      <c r="E2631" s="4"/>
      <c r="F2631" s="4"/>
      <c r="Q2631" s="3"/>
      <c r="R2631" s="3"/>
      <c r="S2631" s="3"/>
      <c r="T2631" s="3"/>
      <c r="U2631" s="3"/>
    </row>
    <row r="2632" spans="2:21" x14ac:dyDescent="0.25">
      <c r="B2632" s="2"/>
      <c r="C2632" s="2"/>
      <c r="D2632" s="4"/>
      <c r="E2632" s="4"/>
      <c r="F2632" s="4"/>
      <c r="Q2632" s="3"/>
      <c r="R2632" s="3"/>
      <c r="S2632" s="3"/>
      <c r="T2632" s="3"/>
      <c r="U2632" s="3"/>
    </row>
    <row r="2633" spans="2:21" x14ac:dyDescent="0.25">
      <c r="B2633" s="2"/>
      <c r="C2633" s="2"/>
      <c r="D2633" s="4"/>
      <c r="E2633" s="4"/>
      <c r="F2633" s="4"/>
      <c r="Q2633" s="3"/>
      <c r="R2633" s="3"/>
      <c r="S2633" s="3"/>
      <c r="T2633" s="3"/>
      <c r="U2633" s="3"/>
    </row>
    <row r="2634" spans="2:21" x14ac:dyDescent="0.25">
      <c r="B2634" s="2"/>
      <c r="C2634" s="2"/>
      <c r="D2634" s="4"/>
      <c r="E2634" s="4"/>
      <c r="F2634" s="4"/>
      <c r="Q2634" s="3"/>
      <c r="R2634" s="3"/>
      <c r="S2634" s="3"/>
      <c r="T2634" s="3"/>
      <c r="U2634" s="3"/>
    </row>
    <row r="2635" spans="2:21" x14ac:dyDescent="0.25">
      <c r="B2635" s="2"/>
      <c r="C2635" s="2"/>
      <c r="D2635" s="4"/>
      <c r="E2635" s="4"/>
      <c r="F2635" s="4"/>
      <c r="Q2635" s="3"/>
      <c r="R2635" s="3"/>
      <c r="S2635" s="3"/>
      <c r="T2635" s="3"/>
      <c r="U2635" s="3"/>
    </row>
    <row r="2636" spans="2:21" x14ac:dyDescent="0.25">
      <c r="B2636" s="2"/>
      <c r="C2636" s="2"/>
      <c r="D2636" s="4"/>
      <c r="E2636" s="4"/>
      <c r="F2636" s="4"/>
      <c r="Q2636" s="3"/>
      <c r="R2636" s="3"/>
      <c r="S2636" s="3"/>
      <c r="T2636" s="3"/>
      <c r="U2636" s="3"/>
    </row>
    <row r="2637" spans="2:21" x14ac:dyDescent="0.25">
      <c r="B2637" s="2"/>
      <c r="C2637" s="2"/>
      <c r="D2637" s="4"/>
      <c r="E2637" s="4"/>
      <c r="F2637" s="4"/>
      <c r="Q2637" s="3"/>
      <c r="R2637" s="3"/>
      <c r="S2637" s="3"/>
      <c r="T2637" s="3"/>
      <c r="U2637" s="3"/>
    </row>
    <row r="2638" spans="2:21" x14ac:dyDescent="0.25">
      <c r="B2638" s="2"/>
      <c r="C2638" s="2"/>
      <c r="D2638" s="4"/>
      <c r="E2638" s="4"/>
      <c r="F2638" s="4"/>
      <c r="Q2638" s="3"/>
      <c r="R2638" s="3"/>
      <c r="S2638" s="3"/>
      <c r="T2638" s="3"/>
      <c r="U2638" s="3"/>
    </row>
    <row r="2639" spans="2:21" x14ac:dyDescent="0.25">
      <c r="B2639" s="2"/>
      <c r="C2639" s="2"/>
      <c r="D2639" s="4"/>
      <c r="E2639" s="4"/>
      <c r="F2639" s="4"/>
      <c r="Q2639" s="3"/>
      <c r="R2639" s="3"/>
      <c r="S2639" s="3"/>
      <c r="T2639" s="3"/>
      <c r="U2639" s="3"/>
    </row>
    <row r="2640" spans="2:21" x14ac:dyDescent="0.25">
      <c r="B2640" s="2"/>
      <c r="C2640" s="2"/>
      <c r="D2640" s="4"/>
      <c r="E2640" s="4"/>
      <c r="F2640" s="4"/>
      <c r="Q2640" s="3"/>
      <c r="R2640" s="3"/>
      <c r="S2640" s="3"/>
      <c r="T2640" s="3"/>
      <c r="U2640" s="3"/>
    </row>
    <row r="2641" spans="2:21" x14ac:dyDescent="0.25">
      <c r="B2641" s="2"/>
      <c r="C2641" s="2"/>
      <c r="D2641" s="4"/>
      <c r="E2641" s="4"/>
      <c r="F2641" s="4"/>
      <c r="Q2641" s="3"/>
      <c r="R2641" s="3"/>
      <c r="S2641" s="3"/>
      <c r="T2641" s="3"/>
      <c r="U2641" s="3"/>
    </row>
    <row r="2642" spans="2:21" x14ac:dyDescent="0.25">
      <c r="B2642" s="2"/>
      <c r="C2642" s="2"/>
      <c r="D2642" s="4"/>
      <c r="E2642" s="4"/>
      <c r="F2642" s="4"/>
      <c r="Q2642" s="3"/>
      <c r="R2642" s="3"/>
      <c r="S2642" s="3"/>
      <c r="T2642" s="3"/>
      <c r="U2642" s="3"/>
    </row>
    <row r="2643" spans="2:21" x14ac:dyDescent="0.25">
      <c r="B2643" s="2"/>
      <c r="C2643" s="2"/>
      <c r="D2643" s="4"/>
      <c r="E2643" s="4"/>
      <c r="F2643" s="4"/>
      <c r="Q2643" s="3"/>
      <c r="R2643" s="3"/>
      <c r="S2643" s="3"/>
      <c r="T2643" s="3"/>
      <c r="U2643" s="3"/>
    </row>
    <row r="2644" spans="2:21" x14ac:dyDescent="0.25">
      <c r="B2644" s="2"/>
      <c r="C2644" s="2"/>
      <c r="D2644" s="4"/>
      <c r="E2644" s="4"/>
      <c r="F2644" s="4"/>
      <c r="Q2644" s="3"/>
      <c r="R2644" s="3"/>
      <c r="S2644" s="3"/>
      <c r="T2644" s="3"/>
      <c r="U2644" s="3"/>
    </row>
    <row r="2645" spans="2:21" x14ac:dyDescent="0.25">
      <c r="B2645" s="2"/>
      <c r="C2645" s="2"/>
      <c r="D2645" s="4"/>
      <c r="E2645" s="4"/>
      <c r="F2645" s="4"/>
      <c r="Q2645" s="3"/>
      <c r="R2645" s="3"/>
      <c r="S2645" s="3"/>
      <c r="T2645" s="3"/>
      <c r="U2645" s="3"/>
    </row>
    <row r="2646" spans="2:21" x14ac:dyDescent="0.25">
      <c r="B2646" s="2"/>
      <c r="C2646" s="2"/>
      <c r="D2646" s="4"/>
      <c r="E2646" s="4"/>
      <c r="F2646" s="4"/>
      <c r="Q2646" s="3"/>
      <c r="R2646" s="3"/>
      <c r="S2646" s="3"/>
      <c r="T2646" s="3"/>
      <c r="U2646" s="3"/>
    </row>
    <row r="2647" spans="2:21" x14ac:dyDescent="0.25">
      <c r="B2647" s="2"/>
      <c r="C2647" s="2"/>
      <c r="D2647" s="4"/>
      <c r="E2647" s="4"/>
      <c r="F2647" s="4"/>
      <c r="Q2647" s="3"/>
      <c r="R2647" s="3"/>
      <c r="S2647" s="3"/>
      <c r="T2647" s="3"/>
      <c r="U2647" s="3"/>
    </row>
    <row r="2648" spans="2:21" x14ac:dyDescent="0.25">
      <c r="B2648" s="2"/>
      <c r="C2648" s="2"/>
      <c r="D2648" s="4"/>
      <c r="E2648" s="4"/>
      <c r="F2648" s="4"/>
      <c r="Q2648" s="3"/>
      <c r="R2648" s="3"/>
      <c r="S2648" s="3"/>
      <c r="T2648" s="3"/>
      <c r="U2648" s="3"/>
    </row>
    <row r="2649" spans="2:21" x14ac:dyDescent="0.25">
      <c r="B2649" s="2"/>
      <c r="C2649" s="2"/>
      <c r="D2649" s="4"/>
      <c r="E2649" s="4"/>
      <c r="F2649" s="4"/>
      <c r="Q2649" s="3"/>
      <c r="R2649" s="3"/>
      <c r="S2649" s="3"/>
      <c r="T2649" s="3"/>
      <c r="U2649" s="3"/>
    </row>
    <row r="2650" spans="2:21" x14ac:dyDescent="0.25">
      <c r="B2650" s="2"/>
      <c r="C2650" s="2"/>
      <c r="D2650" s="4"/>
      <c r="E2650" s="4"/>
      <c r="F2650" s="4"/>
      <c r="Q2650" s="3"/>
      <c r="R2650" s="3"/>
      <c r="S2650" s="3"/>
      <c r="T2650" s="3"/>
      <c r="U2650" s="3"/>
    </row>
    <row r="2651" spans="2:21" x14ac:dyDescent="0.25">
      <c r="B2651" s="2"/>
      <c r="C2651" s="2"/>
      <c r="D2651" s="4"/>
      <c r="E2651" s="4"/>
      <c r="F2651" s="4"/>
      <c r="Q2651" s="3"/>
      <c r="R2651" s="3"/>
      <c r="S2651" s="3"/>
      <c r="T2651" s="3"/>
      <c r="U2651" s="3"/>
    </row>
    <row r="2652" spans="2:21" x14ac:dyDescent="0.25">
      <c r="B2652" s="2"/>
      <c r="C2652" s="2"/>
      <c r="D2652" s="4"/>
      <c r="E2652" s="4"/>
      <c r="F2652" s="4"/>
      <c r="Q2652" s="3"/>
      <c r="R2652" s="3"/>
      <c r="S2652" s="3"/>
      <c r="T2652" s="3"/>
      <c r="U2652" s="3"/>
    </row>
    <row r="2653" spans="2:21" x14ac:dyDescent="0.25">
      <c r="B2653" s="2"/>
      <c r="C2653" s="2"/>
      <c r="D2653" s="4"/>
      <c r="E2653" s="4"/>
      <c r="F2653" s="4"/>
      <c r="Q2653" s="3"/>
      <c r="R2653" s="3"/>
      <c r="S2653" s="3"/>
      <c r="T2653" s="3"/>
      <c r="U2653" s="3"/>
    </row>
    <row r="2654" spans="2:21" x14ac:dyDescent="0.25">
      <c r="B2654" s="2"/>
      <c r="C2654" s="2"/>
      <c r="D2654" s="4"/>
      <c r="E2654" s="4"/>
      <c r="F2654" s="4"/>
      <c r="Q2654" s="3"/>
      <c r="R2654" s="3"/>
      <c r="S2654" s="3"/>
      <c r="T2654" s="3"/>
      <c r="U2654" s="3"/>
    </row>
    <row r="2655" spans="2:21" x14ac:dyDescent="0.25">
      <c r="B2655" s="2"/>
      <c r="C2655" s="2"/>
      <c r="D2655" s="4"/>
      <c r="E2655" s="4"/>
      <c r="F2655" s="4"/>
      <c r="Q2655" s="3"/>
      <c r="R2655" s="3"/>
      <c r="S2655" s="3"/>
      <c r="T2655" s="3"/>
      <c r="U2655" s="3"/>
    </row>
    <row r="2656" spans="2:21" x14ac:dyDescent="0.25">
      <c r="B2656" s="2"/>
      <c r="C2656" s="2"/>
      <c r="D2656" s="4"/>
      <c r="E2656" s="4"/>
      <c r="F2656" s="4"/>
      <c r="Q2656" s="3"/>
      <c r="R2656" s="3"/>
      <c r="S2656" s="3"/>
      <c r="T2656" s="3"/>
      <c r="U2656" s="3"/>
    </row>
    <row r="2657" spans="2:21" x14ac:dyDescent="0.25">
      <c r="B2657" s="2"/>
      <c r="C2657" s="2"/>
      <c r="D2657" s="4"/>
      <c r="E2657" s="4"/>
      <c r="F2657" s="4"/>
      <c r="Q2657" s="3"/>
      <c r="R2657" s="3"/>
      <c r="S2657" s="3"/>
      <c r="T2657" s="3"/>
      <c r="U2657" s="3"/>
    </row>
    <row r="2658" spans="2:21" x14ac:dyDescent="0.25">
      <c r="B2658" s="2"/>
      <c r="C2658" s="2"/>
      <c r="D2658" s="4"/>
      <c r="E2658" s="4"/>
      <c r="F2658" s="4"/>
      <c r="Q2658" s="3"/>
      <c r="R2658" s="3"/>
      <c r="S2658" s="3"/>
      <c r="T2658" s="3"/>
      <c r="U2658" s="3"/>
    </row>
    <row r="2659" spans="2:21" x14ac:dyDescent="0.25">
      <c r="B2659" s="2"/>
      <c r="C2659" s="2"/>
      <c r="D2659" s="4"/>
      <c r="E2659" s="4"/>
      <c r="F2659" s="4"/>
      <c r="Q2659" s="3"/>
      <c r="R2659" s="3"/>
      <c r="S2659" s="3"/>
      <c r="T2659" s="3"/>
      <c r="U2659" s="3"/>
    </row>
    <row r="2660" spans="2:21" x14ac:dyDescent="0.25">
      <c r="B2660" s="2"/>
      <c r="C2660" s="2"/>
      <c r="D2660" s="4"/>
      <c r="E2660" s="4"/>
      <c r="F2660" s="4"/>
      <c r="Q2660" s="3"/>
      <c r="R2660" s="3"/>
      <c r="S2660" s="3"/>
      <c r="T2660" s="3"/>
      <c r="U2660" s="3"/>
    </row>
    <row r="2661" spans="2:21" x14ac:dyDescent="0.25">
      <c r="B2661" s="2"/>
      <c r="C2661" s="2"/>
      <c r="D2661" s="4"/>
      <c r="E2661" s="4"/>
      <c r="F2661" s="4"/>
      <c r="Q2661" s="3"/>
      <c r="R2661" s="3"/>
      <c r="S2661" s="3"/>
      <c r="T2661" s="3"/>
      <c r="U2661" s="3"/>
    </row>
    <row r="2662" spans="2:21" x14ac:dyDescent="0.25">
      <c r="B2662" s="2"/>
      <c r="C2662" s="2"/>
      <c r="D2662" s="4"/>
      <c r="E2662" s="4"/>
      <c r="F2662" s="4"/>
      <c r="Q2662" s="3"/>
      <c r="R2662" s="3"/>
      <c r="S2662" s="3"/>
      <c r="T2662" s="3"/>
      <c r="U2662" s="3"/>
    </row>
    <row r="2663" spans="2:21" x14ac:dyDescent="0.25">
      <c r="B2663" s="2"/>
      <c r="C2663" s="2"/>
      <c r="D2663" s="4"/>
      <c r="E2663" s="4"/>
      <c r="F2663" s="4"/>
      <c r="Q2663" s="3"/>
      <c r="R2663" s="3"/>
      <c r="S2663" s="3"/>
      <c r="T2663" s="3"/>
      <c r="U2663" s="3"/>
    </row>
    <row r="2664" spans="2:21" x14ac:dyDescent="0.25">
      <c r="B2664" s="2"/>
      <c r="C2664" s="2"/>
      <c r="D2664" s="4"/>
      <c r="E2664" s="4"/>
      <c r="F2664" s="4"/>
      <c r="Q2664" s="3"/>
      <c r="R2664" s="3"/>
      <c r="S2664" s="3"/>
      <c r="T2664" s="3"/>
      <c r="U2664" s="3"/>
    </row>
    <row r="2665" spans="2:21" x14ac:dyDescent="0.25">
      <c r="B2665" s="2"/>
      <c r="C2665" s="2"/>
      <c r="D2665" s="4"/>
      <c r="E2665" s="4"/>
      <c r="F2665" s="4"/>
      <c r="Q2665" s="3"/>
      <c r="R2665" s="3"/>
      <c r="S2665" s="3"/>
      <c r="T2665" s="3"/>
      <c r="U2665" s="3"/>
    </row>
    <row r="2666" spans="2:21" x14ac:dyDescent="0.25">
      <c r="B2666" s="2"/>
      <c r="C2666" s="2"/>
      <c r="D2666" s="4"/>
      <c r="E2666" s="4"/>
      <c r="F2666" s="4"/>
      <c r="Q2666" s="3"/>
      <c r="R2666" s="3"/>
      <c r="S2666" s="3"/>
      <c r="T2666" s="3"/>
      <c r="U2666" s="3"/>
    </row>
    <row r="2667" spans="2:21" x14ac:dyDescent="0.25">
      <c r="B2667" s="2"/>
      <c r="C2667" s="2"/>
      <c r="D2667" s="4"/>
      <c r="E2667" s="4"/>
      <c r="F2667" s="4"/>
      <c r="Q2667" s="3"/>
      <c r="R2667" s="3"/>
      <c r="S2667" s="3"/>
      <c r="T2667" s="3"/>
      <c r="U2667" s="3"/>
    </row>
    <row r="2668" spans="2:21" x14ac:dyDescent="0.25">
      <c r="B2668" s="2"/>
      <c r="C2668" s="2"/>
      <c r="D2668" s="4"/>
      <c r="E2668" s="4"/>
      <c r="F2668" s="4"/>
      <c r="Q2668" s="3"/>
      <c r="R2668" s="3"/>
      <c r="S2668" s="3"/>
      <c r="T2668" s="3"/>
      <c r="U2668" s="3"/>
    </row>
    <row r="2669" spans="2:21" x14ac:dyDescent="0.25">
      <c r="B2669" s="2"/>
      <c r="C2669" s="2"/>
      <c r="D2669" s="4"/>
      <c r="E2669" s="4"/>
      <c r="F2669" s="4"/>
      <c r="Q2669" s="3"/>
      <c r="R2669" s="3"/>
      <c r="S2669" s="3"/>
      <c r="T2669" s="3"/>
      <c r="U2669" s="3"/>
    </row>
    <row r="2670" spans="2:21" x14ac:dyDescent="0.25">
      <c r="B2670" s="2"/>
      <c r="C2670" s="2"/>
      <c r="D2670" s="4"/>
      <c r="E2670" s="4"/>
      <c r="F2670" s="4"/>
      <c r="Q2670" s="3"/>
      <c r="R2670" s="3"/>
      <c r="S2670" s="3"/>
      <c r="T2670" s="3"/>
      <c r="U2670" s="3"/>
    </row>
    <row r="2671" spans="2:21" x14ac:dyDescent="0.25">
      <c r="B2671" s="2"/>
      <c r="C2671" s="2"/>
      <c r="D2671" s="4"/>
      <c r="E2671" s="4"/>
      <c r="F2671" s="4"/>
      <c r="Q2671" s="3"/>
      <c r="R2671" s="3"/>
      <c r="S2671" s="3"/>
      <c r="T2671" s="3"/>
      <c r="U2671" s="3"/>
    </row>
    <row r="2672" spans="2:21" x14ac:dyDescent="0.25">
      <c r="B2672" s="2"/>
      <c r="C2672" s="2"/>
      <c r="D2672" s="4"/>
      <c r="E2672" s="4"/>
      <c r="F2672" s="4"/>
      <c r="Q2672" s="3"/>
      <c r="R2672" s="3"/>
      <c r="S2672" s="3"/>
      <c r="T2672" s="3"/>
      <c r="U2672" s="3"/>
    </row>
    <row r="2673" spans="2:21" x14ac:dyDescent="0.25">
      <c r="B2673" s="2"/>
      <c r="C2673" s="2"/>
      <c r="D2673" s="4"/>
      <c r="E2673" s="4"/>
      <c r="F2673" s="4"/>
      <c r="Q2673" s="3"/>
      <c r="R2673" s="3"/>
      <c r="S2673" s="3"/>
      <c r="T2673" s="3"/>
      <c r="U2673" s="3"/>
    </row>
    <row r="2674" spans="2:21" x14ac:dyDescent="0.25">
      <c r="B2674" s="2"/>
      <c r="C2674" s="2"/>
      <c r="D2674" s="4"/>
      <c r="E2674" s="4"/>
      <c r="F2674" s="4"/>
      <c r="Q2674" s="3"/>
      <c r="R2674" s="3"/>
      <c r="S2674" s="3"/>
      <c r="T2674" s="3"/>
      <c r="U2674" s="3"/>
    </row>
    <row r="2675" spans="2:21" x14ac:dyDescent="0.25">
      <c r="B2675" s="2"/>
      <c r="C2675" s="2"/>
      <c r="D2675" s="4"/>
      <c r="E2675" s="4"/>
      <c r="F2675" s="4"/>
      <c r="Q2675" s="3"/>
      <c r="R2675" s="3"/>
      <c r="S2675" s="3"/>
      <c r="T2675" s="3"/>
      <c r="U2675" s="3"/>
    </row>
    <row r="2676" spans="2:21" x14ac:dyDescent="0.25">
      <c r="B2676" s="2"/>
      <c r="C2676" s="2"/>
      <c r="D2676" s="4"/>
      <c r="E2676" s="4"/>
      <c r="F2676" s="4"/>
      <c r="Q2676" s="3"/>
      <c r="R2676" s="3"/>
      <c r="S2676" s="3"/>
      <c r="T2676" s="3"/>
      <c r="U2676" s="3"/>
    </row>
    <row r="2677" spans="2:21" x14ac:dyDescent="0.25">
      <c r="B2677" s="2"/>
      <c r="C2677" s="2"/>
      <c r="D2677" s="4"/>
      <c r="E2677" s="4"/>
      <c r="F2677" s="4"/>
      <c r="Q2677" s="3"/>
      <c r="R2677" s="3"/>
      <c r="S2677" s="3"/>
      <c r="T2677" s="3"/>
      <c r="U2677" s="3"/>
    </row>
    <row r="2678" spans="2:21" x14ac:dyDescent="0.25">
      <c r="B2678" s="2"/>
      <c r="C2678" s="2"/>
      <c r="D2678" s="4"/>
      <c r="E2678" s="4"/>
      <c r="F2678" s="4"/>
      <c r="Q2678" s="3"/>
      <c r="R2678" s="3"/>
      <c r="S2678" s="3"/>
      <c r="T2678" s="3"/>
      <c r="U2678" s="3"/>
    </row>
    <row r="2679" spans="2:21" x14ac:dyDescent="0.25">
      <c r="B2679" s="2"/>
      <c r="C2679" s="2"/>
      <c r="D2679" s="4"/>
      <c r="E2679" s="4"/>
      <c r="F2679" s="4"/>
      <c r="Q2679" s="3"/>
      <c r="R2679" s="3"/>
      <c r="S2679" s="3"/>
      <c r="T2679" s="3"/>
      <c r="U2679" s="3"/>
    </row>
    <row r="2680" spans="2:21" x14ac:dyDescent="0.25">
      <c r="B2680" s="2"/>
      <c r="C2680" s="2"/>
      <c r="D2680" s="4"/>
      <c r="E2680" s="4"/>
      <c r="F2680" s="4"/>
      <c r="Q2680" s="3"/>
      <c r="R2680" s="3"/>
      <c r="S2680" s="3"/>
      <c r="T2680" s="3"/>
      <c r="U2680" s="3"/>
    </row>
    <row r="2681" spans="2:21" x14ac:dyDescent="0.25">
      <c r="B2681" s="2"/>
      <c r="C2681" s="2"/>
      <c r="D2681" s="4"/>
      <c r="E2681" s="4"/>
      <c r="F2681" s="4"/>
      <c r="Q2681" s="3"/>
      <c r="R2681" s="3"/>
      <c r="S2681" s="3"/>
      <c r="T2681" s="3"/>
      <c r="U2681" s="3"/>
    </row>
    <row r="2682" spans="2:21" x14ac:dyDescent="0.25">
      <c r="B2682" s="2"/>
      <c r="C2682" s="2"/>
      <c r="D2682" s="4"/>
      <c r="E2682" s="4"/>
      <c r="F2682" s="4"/>
      <c r="Q2682" s="3"/>
      <c r="R2682" s="3"/>
      <c r="S2682" s="3"/>
      <c r="T2682" s="3"/>
      <c r="U2682" s="3"/>
    </row>
    <row r="2683" spans="2:21" x14ac:dyDescent="0.25">
      <c r="B2683" s="2"/>
      <c r="C2683" s="2"/>
      <c r="D2683" s="4"/>
      <c r="E2683" s="4"/>
      <c r="F2683" s="4"/>
      <c r="Q2683" s="3"/>
      <c r="R2683" s="3"/>
      <c r="S2683" s="3"/>
      <c r="T2683" s="3"/>
      <c r="U2683" s="3"/>
    </row>
    <row r="2684" spans="2:21" x14ac:dyDescent="0.25">
      <c r="B2684" s="2"/>
      <c r="C2684" s="2"/>
      <c r="D2684" s="4"/>
      <c r="E2684" s="4"/>
      <c r="F2684" s="4"/>
      <c r="Q2684" s="3"/>
      <c r="R2684" s="3"/>
      <c r="S2684" s="3"/>
      <c r="T2684" s="3"/>
      <c r="U2684" s="3"/>
    </row>
    <row r="2685" spans="2:21" x14ac:dyDescent="0.25">
      <c r="B2685" s="2"/>
      <c r="C2685" s="2"/>
      <c r="D2685" s="4"/>
      <c r="E2685" s="4"/>
      <c r="F2685" s="4"/>
      <c r="Q2685" s="3"/>
      <c r="R2685" s="3"/>
      <c r="S2685" s="3"/>
      <c r="T2685" s="3"/>
      <c r="U2685" s="3"/>
    </row>
    <row r="2686" spans="2:21" x14ac:dyDescent="0.25">
      <c r="B2686" s="2"/>
      <c r="C2686" s="2"/>
      <c r="D2686" s="4"/>
      <c r="E2686" s="4"/>
      <c r="F2686" s="4"/>
      <c r="Q2686" s="3"/>
      <c r="R2686" s="3"/>
      <c r="S2686" s="3"/>
      <c r="T2686" s="3"/>
      <c r="U2686" s="3"/>
    </row>
    <row r="2687" spans="2:21" x14ac:dyDescent="0.25">
      <c r="B2687" s="2"/>
      <c r="C2687" s="2"/>
      <c r="D2687" s="4"/>
      <c r="E2687" s="4"/>
      <c r="F2687" s="4"/>
      <c r="Q2687" s="3"/>
      <c r="R2687" s="3"/>
      <c r="S2687" s="3"/>
      <c r="T2687" s="3"/>
      <c r="U2687" s="3"/>
    </row>
    <row r="2688" spans="2:21" x14ac:dyDescent="0.25">
      <c r="B2688" s="2"/>
      <c r="C2688" s="2"/>
      <c r="D2688" s="4"/>
      <c r="E2688" s="4"/>
      <c r="F2688" s="4"/>
      <c r="Q2688" s="3"/>
      <c r="R2688" s="3"/>
      <c r="S2688" s="3"/>
      <c r="T2688" s="3"/>
      <c r="U2688" s="3"/>
    </row>
    <row r="2689" spans="2:21" x14ac:dyDescent="0.25">
      <c r="B2689" s="2"/>
      <c r="C2689" s="2"/>
      <c r="D2689" s="4"/>
      <c r="E2689" s="4"/>
      <c r="F2689" s="4"/>
      <c r="Q2689" s="3"/>
      <c r="R2689" s="3"/>
      <c r="S2689" s="3"/>
      <c r="T2689" s="3"/>
      <c r="U2689" s="3"/>
    </row>
    <row r="2690" spans="2:21" x14ac:dyDescent="0.25">
      <c r="B2690" s="2"/>
      <c r="C2690" s="2"/>
      <c r="D2690" s="4"/>
      <c r="E2690" s="4"/>
      <c r="F2690" s="4"/>
      <c r="Q2690" s="3"/>
      <c r="R2690" s="3"/>
      <c r="S2690" s="3"/>
      <c r="T2690" s="3"/>
      <c r="U2690" s="3"/>
    </row>
    <row r="2691" spans="2:21" x14ac:dyDescent="0.25">
      <c r="B2691" s="2"/>
      <c r="C2691" s="2"/>
      <c r="D2691" s="4"/>
      <c r="E2691" s="4"/>
      <c r="F2691" s="4"/>
      <c r="Q2691" s="3"/>
      <c r="R2691" s="3"/>
      <c r="S2691" s="3"/>
      <c r="T2691" s="3"/>
      <c r="U2691" s="3"/>
    </row>
    <row r="2692" spans="2:21" x14ac:dyDescent="0.25">
      <c r="B2692" s="2"/>
      <c r="C2692" s="2"/>
      <c r="D2692" s="4"/>
      <c r="E2692" s="4"/>
      <c r="F2692" s="4"/>
      <c r="Q2692" s="3"/>
      <c r="R2692" s="3"/>
      <c r="S2692" s="3"/>
      <c r="T2692" s="3"/>
      <c r="U2692" s="3"/>
    </row>
    <row r="2693" spans="2:21" x14ac:dyDescent="0.25">
      <c r="B2693" s="2"/>
      <c r="C2693" s="2"/>
      <c r="D2693" s="4"/>
      <c r="E2693" s="4"/>
      <c r="F2693" s="4"/>
      <c r="Q2693" s="3"/>
      <c r="R2693" s="3"/>
      <c r="S2693" s="3"/>
      <c r="T2693" s="3"/>
      <c r="U2693" s="3"/>
    </row>
    <row r="2694" spans="2:21" x14ac:dyDescent="0.25">
      <c r="B2694" s="2"/>
      <c r="C2694" s="2"/>
      <c r="D2694" s="4"/>
      <c r="E2694" s="4"/>
      <c r="F2694" s="4"/>
      <c r="Q2694" s="3"/>
      <c r="R2694" s="3"/>
      <c r="S2694" s="3"/>
      <c r="T2694" s="3"/>
      <c r="U2694" s="3"/>
    </row>
    <row r="2695" spans="2:21" x14ac:dyDescent="0.25">
      <c r="B2695" s="2"/>
      <c r="C2695" s="2"/>
      <c r="D2695" s="4"/>
      <c r="E2695" s="4"/>
      <c r="F2695" s="4"/>
      <c r="Q2695" s="3"/>
      <c r="R2695" s="3"/>
      <c r="S2695" s="3"/>
      <c r="T2695" s="3"/>
      <c r="U2695" s="3"/>
    </row>
    <row r="2696" spans="2:21" x14ac:dyDescent="0.25">
      <c r="B2696" s="2"/>
      <c r="C2696" s="2"/>
      <c r="D2696" s="4"/>
      <c r="E2696" s="4"/>
      <c r="F2696" s="4"/>
      <c r="Q2696" s="3"/>
      <c r="R2696" s="3"/>
      <c r="S2696" s="3"/>
      <c r="T2696" s="3"/>
      <c r="U2696" s="3"/>
    </row>
    <row r="2697" spans="2:21" x14ac:dyDescent="0.25">
      <c r="B2697" s="2"/>
      <c r="C2697" s="2"/>
      <c r="D2697" s="4"/>
      <c r="E2697" s="4"/>
      <c r="F2697" s="4"/>
      <c r="Q2697" s="3"/>
      <c r="R2697" s="3"/>
      <c r="S2697" s="3"/>
      <c r="T2697" s="3"/>
      <c r="U2697" s="3"/>
    </row>
    <row r="2698" spans="2:21" x14ac:dyDescent="0.25">
      <c r="B2698" s="2"/>
      <c r="C2698" s="2"/>
      <c r="D2698" s="4"/>
      <c r="E2698" s="4"/>
      <c r="F2698" s="4"/>
      <c r="Q2698" s="3"/>
      <c r="R2698" s="3"/>
      <c r="S2698" s="3"/>
      <c r="T2698" s="3"/>
      <c r="U2698" s="3"/>
    </row>
    <row r="2699" spans="2:21" x14ac:dyDescent="0.25">
      <c r="B2699" s="2"/>
      <c r="C2699" s="2"/>
      <c r="D2699" s="4"/>
      <c r="E2699" s="4"/>
      <c r="F2699" s="4"/>
      <c r="Q2699" s="3"/>
      <c r="R2699" s="3"/>
      <c r="S2699" s="3"/>
      <c r="T2699" s="3"/>
      <c r="U2699" s="3"/>
    </row>
    <row r="2700" spans="2:21" x14ac:dyDescent="0.25">
      <c r="B2700" s="2"/>
      <c r="C2700" s="2"/>
      <c r="D2700" s="4"/>
      <c r="E2700" s="4"/>
      <c r="F2700" s="4"/>
      <c r="Q2700" s="3"/>
      <c r="R2700" s="3"/>
      <c r="S2700" s="3"/>
      <c r="T2700" s="3"/>
      <c r="U2700" s="3"/>
    </row>
    <row r="2701" spans="2:21" x14ac:dyDescent="0.25">
      <c r="B2701" s="2"/>
      <c r="C2701" s="2"/>
      <c r="D2701" s="4"/>
      <c r="E2701" s="4"/>
      <c r="F2701" s="4"/>
      <c r="Q2701" s="3"/>
      <c r="R2701" s="3"/>
      <c r="S2701" s="3"/>
      <c r="T2701" s="3"/>
      <c r="U2701" s="3"/>
    </row>
    <row r="2702" spans="2:21" x14ac:dyDescent="0.25">
      <c r="B2702" s="2"/>
      <c r="C2702" s="2"/>
      <c r="D2702" s="4"/>
      <c r="E2702" s="4"/>
      <c r="F2702" s="4"/>
      <c r="Q2702" s="3"/>
      <c r="R2702" s="3"/>
      <c r="S2702" s="3"/>
      <c r="T2702" s="3"/>
      <c r="U2702" s="3"/>
    </row>
    <row r="2703" spans="2:21" x14ac:dyDescent="0.25">
      <c r="B2703" s="2"/>
      <c r="C2703" s="2"/>
      <c r="D2703" s="4"/>
      <c r="E2703" s="4"/>
      <c r="F2703" s="4"/>
      <c r="Q2703" s="3"/>
      <c r="R2703" s="3"/>
      <c r="S2703" s="3"/>
      <c r="T2703" s="3"/>
      <c r="U2703" s="3"/>
    </row>
    <row r="2704" spans="2:21" x14ac:dyDescent="0.25">
      <c r="B2704" s="2"/>
      <c r="C2704" s="2"/>
      <c r="D2704" s="4"/>
      <c r="E2704" s="4"/>
      <c r="F2704" s="4"/>
      <c r="Q2704" s="3"/>
      <c r="R2704" s="3"/>
      <c r="S2704" s="3"/>
      <c r="T2704" s="3"/>
      <c r="U2704" s="3"/>
    </row>
    <row r="2705" spans="2:21" x14ac:dyDescent="0.25">
      <c r="B2705" s="2"/>
      <c r="C2705" s="2"/>
      <c r="D2705" s="4"/>
      <c r="E2705" s="4"/>
      <c r="F2705" s="4"/>
      <c r="Q2705" s="3"/>
      <c r="R2705" s="3"/>
      <c r="S2705" s="3"/>
      <c r="T2705" s="3"/>
      <c r="U2705" s="3"/>
    </row>
    <row r="2706" spans="2:21" x14ac:dyDescent="0.25">
      <c r="B2706" s="2"/>
      <c r="C2706" s="2"/>
      <c r="D2706" s="4"/>
      <c r="E2706" s="4"/>
      <c r="F2706" s="4"/>
      <c r="Q2706" s="3"/>
      <c r="R2706" s="3"/>
      <c r="S2706" s="3"/>
      <c r="T2706" s="3"/>
      <c r="U2706" s="3"/>
    </row>
    <row r="2707" spans="2:21" x14ac:dyDescent="0.25">
      <c r="B2707" s="2"/>
      <c r="C2707" s="2"/>
      <c r="D2707" s="4"/>
      <c r="E2707" s="4"/>
      <c r="F2707" s="4"/>
      <c r="Q2707" s="3"/>
      <c r="R2707" s="3"/>
      <c r="S2707" s="3"/>
      <c r="T2707" s="3"/>
      <c r="U2707" s="3"/>
    </row>
    <row r="2708" spans="2:21" x14ac:dyDescent="0.25">
      <c r="B2708" s="2"/>
      <c r="C2708" s="2"/>
      <c r="D2708" s="4"/>
      <c r="E2708" s="4"/>
      <c r="F2708" s="4"/>
      <c r="Q2708" s="3"/>
      <c r="R2708" s="3"/>
      <c r="S2708" s="3"/>
      <c r="T2708" s="3"/>
      <c r="U2708" s="3"/>
    </row>
    <row r="2709" spans="2:21" x14ac:dyDescent="0.25">
      <c r="B2709" s="2"/>
      <c r="C2709" s="2"/>
      <c r="D2709" s="4"/>
      <c r="E2709" s="4"/>
      <c r="F2709" s="4"/>
      <c r="Q2709" s="3"/>
      <c r="R2709" s="3"/>
      <c r="S2709" s="3"/>
      <c r="T2709" s="3"/>
      <c r="U2709" s="3"/>
    </row>
    <row r="2710" spans="2:21" x14ac:dyDescent="0.25">
      <c r="B2710" s="2"/>
      <c r="C2710" s="2"/>
      <c r="D2710" s="4"/>
      <c r="E2710" s="4"/>
      <c r="F2710" s="4"/>
      <c r="Q2710" s="3"/>
      <c r="R2710" s="3"/>
      <c r="S2710" s="3"/>
      <c r="T2710" s="3"/>
      <c r="U2710" s="3"/>
    </row>
    <row r="2711" spans="2:21" x14ac:dyDescent="0.25">
      <c r="B2711" s="2"/>
      <c r="C2711" s="2"/>
      <c r="D2711" s="4"/>
      <c r="E2711" s="4"/>
      <c r="F2711" s="4"/>
      <c r="Q2711" s="3"/>
      <c r="R2711" s="3"/>
      <c r="S2711" s="3"/>
      <c r="T2711" s="3"/>
      <c r="U2711" s="3"/>
    </row>
    <row r="2712" spans="2:21" x14ac:dyDescent="0.25">
      <c r="B2712" s="2"/>
      <c r="C2712" s="2"/>
      <c r="D2712" s="4"/>
      <c r="E2712" s="4"/>
      <c r="F2712" s="4"/>
      <c r="Q2712" s="3"/>
      <c r="R2712" s="3"/>
      <c r="S2712" s="3"/>
      <c r="T2712" s="3"/>
      <c r="U2712" s="3"/>
    </row>
    <row r="2713" spans="2:21" x14ac:dyDescent="0.25">
      <c r="B2713" s="2"/>
      <c r="C2713" s="2"/>
      <c r="D2713" s="4"/>
      <c r="E2713" s="4"/>
      <c r="F2713" s="4"/>
      <c r="Q2713" s="3"/>
      <c r="R2713" s="3"/>
      <c r="S2713" s="3"/>
      <c r="T2713" s="3"/>
      <c r="U2713" s="3"/>
    </row>
    <row r="2714" spans="2:21" x14ac:dyDescent="0.25">
      <c r="B2714" s="2"/>
      <c r="C2714" s="2"/>
      <c r="D2714" s="4"/>
      <c r="E2714" s="4"/>
      <c r="F2714" s="4"/>
      <c r="Q2714" s="3"/>
      <c r="R2714" s="3"/>
      <c r="S2714" s="3"/>
      <c r="T2714" s="3"/>
      <c r="U2714" s="3"/>
    </row>
    <row r="2715" spans="2:21" x14ac:dyDescent="0.25">
      <c r="B2715" s="2"/>
      <c r="C2715" s="2"/>
      <c r="D2715" s="4"/>
      <c r="E2715" s="4"/>
      <c r="F2715" s="4"/>
      <c r="Q2715" s="3"/>
      <c r="R2715" s="3"/>
      <c r="S2715" s="3"/>
      <c r="T2715" s="3"/>
      <c r="U2715" s="3"/>
    </row>
    <row r="2716" spans="2:21" x14ac:dyDescent="0.25">
      <c r="B2716" s="2"/>
      <c r="C2716" s="2"/>
      <c r="D2716" s="4"/>
      <c r="E2716" s="4"/>
      <c r="F2716" s="4"/>
      <c r="Q2716" s="3"/>
      <c r="R2716" s="3"/>
      <c r="S2716" s="3"/>
      <c r="T2716" s="3"/>
      <c r="U2716" s="3"/>
    </row>
    <row r="2717" spans="2:21" x14ac:dyDescent="0.25">
      <c r="B2717" s="2"/>
      <c r="C2717" s="2"/>
      <c r="D2717" s="4"/>
      <c r="E2717" s="4"/>
      <c r="F2717" s="4"/>
      <c r="Q2717" s="3"/>
      <c r="R2717" s="3"/>
      <c r="S2717" s="3"/>
      <c r="T2717" s="3"/>
      <c r="U2717" s="3"/>
    </row>
    <row r="2718" spans="2:21" x14ac:dyDescent="0.25">
      <c r="B2718" s="2"/>
      <c r="C2718" s="2"/>
      <c r="D2718" s="4"/>
      <c r="E2718" s="4"/>
      <c r="F2718" s="4"/>
      <c r="Q2718" s="3"/>
      <c r="R2718" s="3"/>
      <c r="S2718" s="3"/>
      <c r="T2718" s="3"/>
      <c r="U2718" s="3"/>
    </row>
    <row r="2719" spans="2:21" x14ac:dyDescent="0.25">
      <c r="B2719" s="2"/>
      <c r="C2719" s="2"/>
      <c r="D2719" s="4"/>
      <c r="E2719" s="4"/>
      <c r="F2719" s="4"/>
      <c r="Q2719" s="3"/>
      <c r="R2719" s="3"/>
      <c r="S2719" s="3"/>
      <c r="T2719" s="3"/>
      <c r="U2719" s="3"/>
    </row>
    <row r="2720" spans="2:21" x14ac:dyDescent="0.25">
      <c r="B2720" s="2"/>
      <c r="C2720" s="2"/>
      <c r="D2720" s="4"/>
      <c r="E2720" s="4"/>
      <c r="F2720" s="4"/>
      <c r="Q2720" s="3"/>
      <c r="R2720" s="3"/>
      <c r="S2720" s="3"/>
      <c r="T2720" s="3"/>
      <c r="U2720" s="3"/>
    </row>
    <row r="2721" spans="2:21" x14ac:dyDescent="0.25">
      <c r="B2721" s="2"/>
      <c r="C2721" s="2"/>
      <c r="D2721" s="4"/>
      <c r="E2721" s="4"/>
      <c r="F2721" s="4"/>
      <c r="Q2721" s="3"/>
      <c r="R2721" s="3"/>
      <c r="S2721" s="3"/>
      <c r="T2721" s="3"/>
      <c r="U2721" s="3"/>
    </row>
    <row r="2722" spans="2:21" x14ac:dyDescent="0.25">
      <c r="B2722" s="2"/>
      <c r="C2722" s="2"/>
      <c r="D2722" s="4"/>
      <c r="E2722" s="4"/>
      <c r="F2722" s="4"/>
      <c r="Q2722" s="3"/>
      <c r="R2722" s="3"/>
      <c r="S2722" s="3"/>
      <c r="T2722" s="3"/>
      <c r="U2722" s="3"/>
    </row>
    <row r="2723" spans="2:21" x14ac:dyDescent="0.25">
      <c r="B2723" s="2"/>
      <c r="C2723" s="2"/>
      <c r="D2723" s="4"/>
      <c r="E2723" s="4"/>
      <c r="F2723" s="4"/>
      <c r="Q2723" s="3"/>
      <c r="R2723" s="3"/>
      <c r="S2723" s="3"/>
      <c r="T2723" s="3"/>
      <c r="U2723" s="3"/>
    </row>
    <row r="2724" spans="2:21" x14ac:dyDescent="0.25">
      <c r="B2724" s="2"/>
      <c r="C2724" s="2"/>
      <c r="D2724" s="4"/>
      <c r="E2724" s="4"/>
      <c r="F2724" s="4"/>
      <c r="Q2724" s="3"/>
      <c r="R2724" s="3"/>
      <c r="S2724" s="3"/>
      <c r="T2724" s="3"/>
      <c r="U2724" s="3"/>
    </row>
    <row r="2725" spans="2:21" x14ac:dyDescent="0.25">
      <c r="B2725" s="2"/>
      <c r="C2725" s="2"/>
      <c r="D2725" s="4"/>
      <c r="E2725" s="4"/>
      <c r="F2725" s="4"/>
      <c r="Q2725" s="3"/>
      <c r="R2725" s="3"/>
      <c r="S2725" s="3"/>
      <c r="T2725" s="3"/>
      <c r="U2725" s="3"/>
    </row>
    <row r="2726" spans="2:21" x14ac:dyDescent="0.25">
      <c r="B2726" s="2"/>
      <c r="C2726" s="2"/>
      <c r="D2726" s="4"/>
      <c r="E2726" s="4"/>
      <c r="F2726" s="4"/>
      <c r="Q2726" s="3"/>
      <c r="R2726" s="3"/>
      <c r="S2726" s="3"/>
      <c r="T2726" s="3"/>
      <c r="U2726" s="3"/>
    </row>
    <row r="2727" spans="2:21" x14ac:dyDescent="0.25">
      <c r="B2727" s="2"/>
      <c r="C2727" s="2"/>
      <c r="D2727" s="4"/>
      <c r="E2727" s="4"/>
      <c r="F2727" s="4"/>
      <c r="Q2727" s="3"/>
      <c r="R2727" s="3"/>
      <c r="S2727" s="3"/>
      <c r="T2727" s="3"/>
      <c r="U2727" s="3"/>
    </row>
    <row r="2728" spans="2:21" x14ac:dyDescent="0.25">
      <c r="B2728" s="2"/>
      <c r="C2728" s="2"/>
      <c r="D2728" s="4"/>
      <c r="E2728" s="4"/>
      <c r="F2728" s="4"/>
      <c r="Q2728" s="3"/>
      <c r="R2728" s="3"/>
      <c r="S2728" s="3"/>
      <c r="T2728" s="3"/>
      <c r="U2728" s="3"/>
    </row>
    <row r="2729" spans="2:21" x14ac:dyDescent="0.25">
      <c r="B2729" s="2"/>
      <c r="C2729" s="2"/>
      <c r="D2729" s="4"/>
      <c r="E2729" s="4"/>
      <c r="F2729" s="4"/>
      <c r="Q2729" s="3"/>
      <c r="R2729" s="3"/>
      <c r="S2729" s="3"/>
      <c r="T2729" s="3"/>
      <c r="U2729" s="3"/>
    </row>
    <row r="2730" spans="2:21" x14ac:dyDescent="0.25">
      <c r="B2730" s="2"/>
      <c r="C2730" s="2"/>
      <c r="D2730" s="4"/>
      <c r="E2730" s="4"/>
      <c r="F2730" s="4"/>
      <c r="Q2730" s="3"/>
      <c r="R2730" s="3"/>
      <c r="S2730" s="3"/>
      <c r="T2730" s="3"/>
      <c r="U2730" s="3"/>
    </row>
    <row r="2731" spans="2:21" x14ac:dyDescent="0.25">
      <c r="B2731" s="2"/>
      <c r="C2731" s="2"/>
      <c r="D2731" s="4"/>
      <c r="E2731" s="4"/>
      <c r="F2731" s="4"/>
      <c r="Q2731" s="3"/>
      <c r="R2731" s="3"/>
      <c r="S2731" s="3"/>
      <c r="T2731" s="3"/>
      <c r="U2731" s="3"/>
    </row>
    <row r="2732" spans="2:21" x14ac:dyDescent="0.25">
      <c r="B2732" s="2"/>
      <c r="C2732" s="2"/>
      <c r="D2732" s="4"/>
      <c r="E2732" s="4"/>
      <c r="F2732" s="4"/>
      <c r="Q2732" s="3"/>
      <c r="R2732" s="3"/>
      <c r="S2732" s="3"/>
      <c r="T2732" s="3"/>
      <c r="U2732" s="3"/>
    </row>
    <row r="2733" spans="2:21" x14ac:dyDescent="0.25">
      <c r="B2733" s="2"/>
      <c r="C2733" s="2"/>
      <c r="D2733" s="4"/>
      <c r="E2733" s="4"/>
      <c r="F2733" s="4"/>
      <c r="Q2733" s="3"/>
      <c r="R2733" s="3"/>
      <c r="S2733" s="3"/>
      <c r="T2733" s="3"/>
      <c r="U2733" s="3"/>
    </row>
    <row r="2734" spans="2:21" x14ac:dyDescent="0.25">
      <c r="B2734" s="2"/>
      <c r="C2734" s="2"/>
      <c r="D2734" s="4"/>
      <c r="E2734" s="4"/>
      <c r="F2734" s="4"/>
      <c r="Q2734" s="3"/>
      <c r="R2734" s="3"/>
      <c r="S2734" s="3"/>
      <c r="T2734" s="3"/>
      <c r="U2734" s="3"/>
    </row>
    <row r="2735" spans="2:21" x14ac:dyDescent="0.25">
      <c r="B2735" s="2"/>
      <c r="C2735" s="2"/>
      <c r="D2735" s="4"/>
      <c r="E2735" s="4"/>
      <c r="F2735" s="4"/>
      <c r="Q2735" s="3"/>
      <c r="R2735" s="3"/>
      <c r="S2735" s="3"/>
      <c r="T2735" s="3"/>
      <c r="U2735" s="3"/>
    </row>
    <row r="2736" spans="2:21" x14ac:dyDescent="0.25">
      <c r="B2736" s="2"/>
      <c r="C2736" s="2"/>
      <c r="D2736" s="4"/>
      <c r="E2736" s="4"/>
      <c r="F2736" s="4"/>
      <c r="Q2736" s="3"/>
      <c r="R2736" s="3"/>
      <c r="S2736" s="3"/>
      <c r="T2736" s="3"/>
      <c r="U2736" s="3"/>
    </row>
    <row r="2737" spans="2:21" x14ac:dyDescent="0.25">
      <c r="B2737" s="2"/>
      <c r="C2737" s="2"/>
      <c r="D2737" s="4"/>
      <c r="E2737" s="4"/>
      <c r="F2737" s="4"/>
      <c r="Q2737" s="3"/>
      <c r="R2737" s="3"/>
      <c r="S2737" s="3"/>
      <c r="T2737" s="3"/>
      <c r="U2737" s="3"/>
    </row>
    <row r="2738" spans="2:21" x14ac:dyDescent="0.25">
      <c r="B2738" s="2"/>
      <c r="C2738" s="2"/>
      <c r="D2738" s="4"/>
      <c r="E2738" s="4"/>
      <c r="F2738" s="4"/>
      <c r="Q2738" s="3"/>
      <c r="R2738" s="3"/>
      <c r="S2738" s="3"/>
      <c r="T2738" s="3"/>
      <c r="U2738" s="3"/>
    </row>
    <row r="2739" spans="2:21" x14ac:dyDescent="0.25">
      <c r="B2739" s="2"/>
      <c r="C2739" s="2"/>
      <c r="D2739" s="4"/>
      <c r="E2739" s="4"/>
      <c r="F2739" s="4"/>
      <c r="Q2739" s="3"/>
      <c r="R2739" s="3"/>
      <c r="S2739" s="3"/>
      <c r="T2739" s="3"/>
      <c r="U2739" s="3"/>
    </row>
    <row r="2740" spans="2:21" x14ac:dyDescent="0.25">
      <c r="B2740" s="2"/>
      <c r="C2740" s="2"/>
      <c r="D2740" s="4"/>
      <c r="E2740" s="4"/>
      <c r="F2740" s="4"/>
      <c r="Q2740" s="3"/>
      <c r="R2740" s="3"/>
      <c r="S2740" s="3"/>
      <c r="T2740" s="3"/>
      <c r="U2740" s="3"/>
    </row>
    <row r="2741" spans="2:21" x14ac:dyDescent="0.25">
      <c r="B2741" s="2"/>
      <c r="C2741" s="2"/>
      <c r="D2741" s="4"/>
      <c r="E2741" s="4"/>
      <c r="F2741" s="4"/>
      <c r="Q2741" s="3"/>
      <c r="R2741" s="3"/>
      <c r="S2741" s="3"/>
      <c r="T2741" s="3"/>
      <c r="U2741" s="3"/>
    </row>
    <row r="2742" spans="2:21" x14ac:dyDescent="0.25">
      <c r="B2742" s="2"/>
      <c r="C2742" s="2"/>
      <c r="D2742" s="4"/>
      <c r="E2742" s="4"/>
      <c r="F2742" s="4"/>
      <c r="Q2742" s="3"/>
      <c r="R2742" s="3"/>
      <c r="S2742" s="3"/>
      <c r="T2742" s="3"/>
      <c r="U2742" s="3"/>
    </row>
    <row r="2743" spans="2:21" x14ac:dyDescent="0.25">
      <c r="B2743" s="2"/>
      <c r="C2743" s="2"/>
      <c r="D2743" s="4"/>
      <c r="E2743" s="4"/>
      <c r="F2743" s="4"/>
      <c r="Q2743" s="3"/>
      <c r="R2743" s="3"/>
      <c r="S2743" s="3"/>
      <c r="T2743" s="3"/>
      <c r="U2743" s="3"/>
    </row>
    <row r="2744" spans="2:21" x14ac:dyDescent="0.25">
      <c r="B2744" s="2"/>
      <c r="C2744" s="2"/>
      <c r="D2744" s="4"/>
      <c r="E2744" s="4"/>
      <c r="F2744" s="4"/>
      <c r="Q2744" s="3"/>
      <c r="R2744" s="3"/>
      <c r="S2744" s="3"/>
      <c r="T2744" s="3"/>
      <c r="U2744" s="3"/>
    </row>
    <row r="2745" spans="2:21" x14ac:dyDescent="0.25">
      <c r="B2745" s="2"/>
      <c r="C2745" s="2"/>
      <c r="D2745" s="4"/>
      <c r="E2745" s="4"/>
      <c r="F2745" s="4"/>
      <c r="Q2745" s="3"/>
      <c r="R2745" s="3"/>
      <c r="S2745" s="3"/>
      <c r="T2745" s="3"/>
      <c r="U2745" s="3"/>
    </row>
    <row r="2746" spans="2:21" x14ac:dyDescent="0.25">
      <c r="B2746" s="2"/>
      <c r="C2746" s="2"/>
      <c r="D2746" s="4"/>
      <c r="E2746" s="4"/>
      <c r="F2746" s="4"/>
      <c r="Q2746" s="3"/>
      <c r="R2746" s="3"/>
      <c r="S2746" s="3"/>
      <c r="T2746" s="3"/>
      <c r="U2746" s="3"/>
    </row>
    <row r="2747" spans="2:21" x14ac:dyDescent="0.25">
      <c r="B2747" s="2"/>
      <c r="C2747" s="2"/>
      <c r="D2747" s="4"/>
      <c r="E2747" s="4"/>
      <c r="F2747" s="4"/>
      <c r="Q2747" s="3"/>
      <c r="R2747" s="3"/>
      <c r="S2747" s="3"/>
      <c r="T2747" s="3"/>
      <c r="U2747" s="3"/>
    </row>
    <row r="2748" spans="2:21" x14ac:dyDescent="0.25">
      <c r="B2748" s="2"/>
      <c r="C2748" s="2"/>
      <c r="D2748" s="4"/>
      <c r="E2748" s="4"/>
      <c r="F2748" s="4"/>
      <c r="Q2748" s="3"/>
      <c r="R2748" s="3"/>
      <c r="S2748" s="3"/>
      <c r="T2748" s="3"/>
      <c r="U2748" s="3"/>
    </row>
    <row r="2749" spans="2:21" x14ac:dyDescent="0.25">
      <c r="B2749" s="2"/>
      <c r="C2749" s="2"/>
      <c r="D2749" s="4"/>
      <c r="E2749" s="4"/>
      <c r="F2749" s="4"/>
      <c r="Q2749" s="3"/>
      <c r="R2749" s="3"/>
      <c r="S2749" s="3"/>
      <c r="T2749" s="3"/>
      <c r="U2749" s="3"/>
    </row>
    <row r="2750" spans="2:21" x14ac:dyDescent="0.25">
      <c r="B2750" s="2"/>
      <c r="C2750" s="2"/>
      <c r="D2750" s="4"/>
      <c r="E2750" s="4"/>
      <c r="F2750" s="4"/>
      <c r="Q2750" s="3"/>
      <c r="R2750" s="3"/>
      <c r="S2750" s="3"/>
      <c r="T2750" s="3"/>
      <c r="U2750" s="3"/>
    </row>
    <row r="2751" spans="2:21" x14ac:dyDescent="0.25">
      <c r="B2751" s="2"/>
      <c r="C2751" s="2"/>
      <c r="D2751" s="4"/>
      <c r="E2751" s="4"/>
      <c r="F2751" s="4"/>
      <c r="Q2751" s="3"/>
      <c r="R2751" s="3"/>
      <c r="S2751" s="3"/>
      <c r="T2751" s="3"/>
      <c r="U2751" s="3"/>
    </row>
    <row r="2752" spans="2:21" x14ac:dyDescent="0.25">
      <c r="B2752" s="2"/>
      <c r="C2752" s="2"/>
      <c r="D2752" s="4"/>
      <c r="E2752" s="4"/>
      <c r="F2752" s="4"/>
      <c r="Q2752" s="3"/>
      <c r="R2752" s="3"/>
      <c r="S2752" s="3"/>
      <c r="T2752" s="3"/>
      <c r="U2752" s="3"/>
    </row>
    <row r="2753" spans="2:21" x14ac:dyDescent="0.25">
      <c r="B2753" s="2"/>
      <c r="C2753" s="2"/>
      <c r="D2753" s="4"/>
      <c r="E2753" s="4"/>
      <c r="F2753" s="4"/>
      <c r="Q2753" s="3"/>
      <c r="R2753" s="3"/>
      <c r="S2753" s="3"/>
      <c r="T2753" s="3"/>
      <c r="U2753" s="3"/>
    </row>
    <row r="2754" spans="2:21" x14ac:dyDescent="0.25">
      <c r="B2754" s="2"/>
      <c r="C2754" s="2"/>
      <c r="D2754" s="4"/>
      <c r="E2754" s="4"/>
      <c r="F2754" s="4"/>
      <c r="Q2754" s="3"/>
      <c r="R2754" s="3"/>
      <c r="S2754" s="3"/>
      <c r="T2754" s="3"/>
      <c r="U2754" s="3"/>
    </row>
    <row r="2755" spans="2:21" x14ac:dyDescent="0.25">
      <c r="B2755" s="2"/>
      <c r="C2755" s="2"/>
      <c r="D2755" s="4"/>
      <c r="E2755" s="4"/>
      <c r="F2755" s="4"/>
      <c r="Q2755" s="3"/>
      <c r="R2755" s="3"/>
      <c r="S2755" s="3"/>
      <c r="T2755" s="3"/>
      <c r="U2755" s="3"/>
    </row>
    <row r="2756" spans="2:21" x14ac:dyDescent="0.25">
      <c r="B2756" s="2"/>
      <c r="C2756" s="2"/>
      <c r="D2756" s="4"/>
      <c r="E2756" s="4"/>
      <c r="F2756" s="4"/>
      <c r="Q2756" s="3"/>
      <c r="R2756" s="3"/>
      <c r="S2756" s="3"/>
      <c r="T2756" s="3"/>
      <c r="U2756" s="3"/>
    </row>
    <row r="2757" spans="2:21" x14ac:dyDescent="0.25">
      <c r="B2757" s="2"/>
      <c r="C2757" s="2"/>
      <c r="D2757" s="4"/>
      <c r="E2757" s="4"/>
      <c r="F2757" s="4"/>
      <c r="Q2757" s="3"/>
      <c r="R2757" s="3"/>
      <c r="S2757" s="3"/>
      <c r="T2757" s="3"/>
      <c r="U2757" s="3"/>
    </row>
    <row r="2758" spans="2:21" x14ac:dyDescent="0.25">
      <c r="B2758" s="2"/>
      <c r="C2758" s="2"/>
      <c r="D2758" s="4"/>
      <c r="E2758" s="4"/>
      <c r="F2758" s="4"/>
      <c r="Q2758" s="3"/>
      <c r="R2758" s="3"/>
      <c r="S2758" s="3"/>
      <c r="T2758" s="3"/>
      <c r="U2758" s="3"/>
    </row>
    <row r="2759" spans="2:21" x14ac:dyDescent="0.25">
      <c r="B2759" s="2"/>
      <c r="C2759" s="2"/>
      <c r="D2759" s="4"/>
      <c r="E2759" s="4"/>
      <c r="F2759" s="4"/>
      <c r="Q2759" s="3"/>
      <c r="R2759" s="3"/>
      <c r="S2759" s="3"/>
      <c r="T2759" s="3"/>
      <c r="U2759" s="3"/>
    </row>
    <row r="2760" spans="2:21" x14ac:dyDescent="0.25">
      <c r="B2760" s="2"/>
      <c r="C2760" s="2"/>
      <c r="D2760" s="4"/>
      <c r="E2760" s="4"/>
      <c r="F2760" s="4"/>
      <c r="Q2760" s="3"/>
      <c r="R2760" s="3"/>
      <c r="S2760" s="3"/>
      <c r="T2760" s="3"/>
      <c r="U2760" s="3"/>
    </row>
    <row r="2761" spans="2:21" x14ac:dyDescent="0.25">
      <c r="B2761" s="2"/>
      <c r="C2761" s="2"/>
      <c r="D2761" s="4"/>
      <c r="E2761" s="4"/>
      <c r="F2761" s="4"/>
      <c r="Q2761" s="3"/>
      <c r="R2761" s="3"/>
      <c r="S2761" s="3"/>
      <c r="T2761" s="3"/>
      <c r="U2761" s="3"/>
    </row>
    <row r="2762" spans="2:21" x14ac:dyDescent="0.25">
      <c r="B2762" s="2"/>
      <c r="C2762" s="2"/>
      <c r="D2762" s="4"/>
      <c r="E2762" s="4"/>
      <c r="F2762" s="4"/>
      <c r="Q2762" s="3"/>
      <c r="R2762" s="3"/>
      <c r="S2762" s="3"/>
      <c r="T2762" s="3"/>
      <c r="U2762" s="3"/>
    </row>
    <row r="2763" spans="2:21" x14ac:dyDescent="0.25">
      <c r="B2763" s="2"/>
      <c r="C2763" s="2"/>
      <c r="D2763" s="4"/>
      <c r="E2763" s="4"/>
      <c r="F2763" s="4"/>
      <c r="Q2763" s="3"/>
      <c r="R2763" s="3"/>
      <c r="S2763" s="3"/>
      <c r="T2763" s="3"/>
      <c r="U2763" s="3"/>
    </row>
    <row r="2764" spans="2:21" x14ac:dyDescent="0.25">
      <c r="B2764" s="2"/>
      <c r="C2764" s="2"/>
      <c r="D2764" s="4"/>
      <c r="E2764" s="4"/>
      <c r="F2764" s="4"/>
      <c r="Q2764" s="3"/>
      <c r="R2764" s="3"/>
      <c r="S2764" s="3"/>
      <c r="T2764" s="3"/>
      <c r="U2764" s="3"/>
    </row>
    <row r="2765" spans="2:21" x14ac:dyDescent="0.25">
      <c r="B2765" s="2"/>
      <c r="C2765" s="2"/>
      <c r="D2765" s="4"/>
      <c r="E2765" s="4"/>
      <c r="F2765" s="4"/>
      <c r="Q2765" s="3"/>
      <c r="R2765" s="3"/>
      <c r="S2765" s="3"/>
      <c r="T2765" s="3"/>
      <c r="U2765" s="3"/>
    </row>
    <row r="2766" spans="2:21" x14ac:dyDescent="0.25">
      <c r="B2766" s="2"/>
      <c r="C2766" s="2"/>
      <c r="D2766" s="4"/>
      <c r="E2766" s="4"/>
      <c r="F2766" s="4"/>
      <c r="Q2766" s="3"/>
      <c r="R2766" s="3"/>
      <c r="S2766" s="3"/>
      <c r="T2766" s="3"/>
      <c r="U2766" s="3"/>
    </row>
    <row r="2767" spans="2:21" x14ac:dyDescent="0.25">
      <c r="B2767" s="2"/>
      <c r="C2767" s="2"/>
      <c r="D2767" s="4"/>
      <c r="E2767" s="4"/>
      <c r="F2767" s="4"/>
      <c r="Q2767" s="3"/>
      <c r="R2767" s="3"/>
      <c r="S2767" s="3"/>
      <c r="T2767" s="3"/>
      <c r="U2767" s="3"/>
    </row>
    <row r="2768" spans="2:21" x14ac:dyDescent="0.25">
      <c r="B2768" s="2"/>
      <c r="C2768" s="2"/>
      <c r="D2768" s="4"/>
      <c r="E2768" s="4"/>
      <c r="F2768" s="4"/>
      <c r="Q2768" s="3"/>
      <c r="R2768" s="3"/>
      <c r="S2768" s="3"/>
      <c r="T2768" s="3"/>
      <c r="U2768" s="3"/>
    </row>
    <row r="2769" spans="2:21" x14ac:dyDescent="0.25">
      <c r="B2769" s="2"/>
      <c r="C2769" s="2"/>
      <c r="D2769" s="4"/>
      <c r="E2769" s="4"/>
      <c r="F2769" s="4"/>
      <c r="Q2769" s="3"/>
      <c r="R2769" s="3"/>
      <c r="S2769" s="3"/>
      <c r="T2769" s="3"/>
      <c r="U2769" s="3"/>
    </row>
    <row r="2770" spans="2:21" x14ac:dyDescent="0.25">
      <c r="B2770" s="2"/>
      <c r="C2770" s="2"/>
      <c r="D2770" s="4"/>
      <c r="E2770" s="4"/>
      <c r="F2770" s="4"/>
      <c r="Q2770" s="3"/>
      <c r="R2770" s="3"/>
      <c r="S2770" s="3"/>
      <c r="T2770" s="3"/>
      <c r="U2770" s="3"/>
    </row>
    <row r="2771" spans="2:21" x14ac:dyDescent="0.25">
      <c r="B2771" s="2"/>
      <c r="C2771" s="2"/>
      <c r="D2771" s="4"/>
      <c r="E2771" s="4"/>
      <c r="F2771" s="4"/>
      <c r="Q2771" s="3"/>
      <c r="R2771" s="3"/>
      <c r="S2771" s="3"/>
      <c r="T2771" s="3"/>
      <c r="U2771" s="3"/>
    </row>
    <row r="2772" spans="2:21" x14ac:dyDescent="0.25">
      <c r="B2772" s="2"/>
      <c r="C2772" s="2"/>
      <c r="D2772" s="4"/>
      <c r="E2772" s="4"/>
      <c r="F2772" s="4"/>
      <c r="Q2772" s="3"/>
      <c r="R2772" s="3"/>
      <c r="S2772" s="3"/>
      <c r="T2772" s="3"/>
      <c r="U2772" s="3"/>
    </row>
    <row r="2773" spans="2:21" x14ac:dyDescent="0.25">
      <c r="B2773" s="2"/>
      <c r="C2773" s="2"/>
      <c r="D2773" s="4"/>
      <c r="E2773" s="4"/>
      <c r="F2773" s="4"/>
      <c r="Q2773" s="3"/>
      <c r="R2773" s="3"/>
      <c r="S2773" s="3"/>
      <c r="T2773" s="3"/>
      <c r="U2773" s="3"/>
    </row>
    <row r="2774" spans="2:21" x14ac:dyDescent="0.25">
      <c r="B2774" s="2"/>
      <c r="C2774" s="2"/>
      <c r="D2774" s="4"/>
      <c r="E2774" s="4"/>
      <c r="F2774" s="4"/>
      <c r="Q2774" s="3"/>
      <c r="R2774" s="3"/>
      <c r="S2774" s="3"/>
      <c r="T2774" s="3"/>
      <c r="U2774" s="3"/>
    </row>
    <row r="2775" spans="2:21" x14ac:dyDescent="0.25">
      <c r="B2775" s="2"/>
      <c r="C2775" s="2"/>
      <c r="D2775" s="4"/>
      <c r="E2775" s="4"/>
      <c r="F2775" s="4"/>
      <c r="Q2775" s="3"/>
      <c r="R2775" s="3"/>
      <c r="S2775" s="3"/>
      <c r="T2775" s="3"/>
      <c r="U2775" s="3"/>
    </row>
    <row r="2776" spans="2:21" x14ac:dyDescent="0.25">
      <c r="B2776" s="2"/>
      <c r="C2776" s="2"/>
      <c r="D2776" s="4"/>
      <c r="E2776" s="4"/>
      <c r="F2776" s="4"/>
      <c r="Q2776" s="3"/>
      <c r="R2776" s="3"/>
      <c r="S2776" s="3"/>
      <c r="T2776" s="3"/>
      <c r="U2776" s="3"/>
    </row>
    <row r="2777" spans="2:21" x14ac:dyDescent="0.25">
      <c r="B2777" s="2"/>
      <c r="C2777" s="2"/>
      <c r="D2777" s="4"/>
      <c r="E2777" s="4"/>
      <c r="F2777" s="4"/>
      <c r="Q2777" s="3"/>
      <c r="R2777" s="3"/>
      <c r="S2777" s="3"/>
      <c r="T2777" s="3"/>
      <c r="U2777" s="3"/>
    </row>
    <row r="2778" spans="2:21" x14ac:dyDescent="0.25">
      <c r="B2778" s="2"/>
      <c r="C2778" s="2"/>
      <c r="D2778" s="4"/>
      <c r="E2778" s="4"/>
      <c r="F2778" s="4"/>
      <c r="Q2778" s="3"/>
      <c r="R2778" s="3"/>
      <c r="S2778" s="3"/>
      <c r="T2778" s="3"/>
      <c r="U2778" s="3"/>
    </row>
    <row r="2779" spans="2:21" x14ac:dyDescent="0.25">
      <c r="B2779" s="2"/>
      <c r="C2779" s="2"/>
      <c r="D2779" s="4"/>
      <c r="E2779" s="4"/>
      <c r="F2779" s="4"/>
      <c r="Q2779" s="3"/>
      <c r="R2779" s="3"/>
      <c r="S2779" s="3"/>
      <c r="T2779" s="3"/>
      <c r="U2779" s="3"/>
    </row>
    <row r="2780" spans="2:21" x14ac:dyDescent="0.25">
      <c r="B2780" s="2"/>
      <c r="C2780" s="2"/>
      <c r="D2780" s="4"/>
      <c r="E2780" s="4"/>
      <c r="F2780" s="4"/>
      <c r="Q2780" s="3"/>
      <c r="R2780" s="3"/>
      <c r="S2780" s="3"/>
      <c r="T2780" s="3"/>
      <c r="U2780" s="3"/>
    </row>
    <row r="2781" spans="2:21" x14ac:dyDescent="0.25">
      <c r="B2781" s="2"/>
      <c r="C2781" s="2"/>
      <c r="D2781" s="4"/>
      <c r="E2781" s="4"/>
      <c r="F2781" s="4"/>
      <c r="Q2781" s="3"/>
      <c r="R2781" s="3"/>
      <c r="S2781" s="3"/>
      <c r="T2781" s="3"/>
      <c r="U2781" s="3"/>
    </row>
    <row r="2782" spans="2:21" x14ac:dyDescent="0.25">
      <c r="B2782" s="2"/>
      <c r="C2782" s="2"/>
      <c r="D2782" s="4"/>
      <c r="E2782" s="4"/>
      <c r="F2782" s="4"/>
      <c r="Q2782" s="3"/>
      <c r="R2782" s="3"/>
      <c r="S2782" s="3"/>
      <c r="T2782" s="3"/>
      <c r="U2782" s="3"/>
    </row>
    <row r="2783" spans="2:21" x14ac:dyDescent="0.25">
      <c r="B2783" s="2"/>
      <c r="C2783" s="2"/>
      <c r="D2783" s="4"/>
      <c r="E2783" s="4"/>
      <c r="F2783" s="4"/>
      <c r="Q2783" s="3"/>
      <c r="R2783" s="3"/>
      <c r="S2783" s="3"/>
      <c r="T2783" s="3"/>
      <c r="U2783" s="3"/>
    </row>
    <row r="2784" spans="2:21" x14ac:dyDescent="0.25">
      <c r="B2784" s="2"/>
      <c r="C2784" s="2"/>
      <c r="D2784" s="4"/>
      <c r="E2784" s="4"/>
      <c r="F2784" s="4"/>
      <c r="Q2784" s="3"/>
      <c r="R2784" s="3"/>
      <c r="S2784" s="3"/>
      <c r="T2784" s="3"/>
      <c r="U2784" s="3"/>
    </row>
    <row r="2785" spans="2:21" x14ac:dyDescent="0.25">
      <c r="B2785" s="2"/>
      <c r="C2785" s="2"/>
      <c r="D2785" s="4"/>
      <c r="E2785" s="4"/>
      <c r="F2785" s="4"/>
      <c r="Q2785" s="3"/>
      <c r="R2785" s="3"/>
      <c r="S2785" s="3"/>
      <c r="T2785" s="3"/>
      <c r="U2785" s="3"/>
    </row>
    <row r="2786" spans="2:21" x14ac:dyDescent="0.25">
      <c r="B2786" s="2"/>
      <c r="C2786" s="2"/>
      <c r="D2786" s="4"/>
      <c r="E2786" s="4"/>
      <c r="F2786" s="4"/>
      <c r="Q2786" s="3"/>
      <c r="R2786" s="3"/>
      <c r="S2786" s="3"/>
      <c r="T2786" s="3"/>
      <c r="U2786" s="3"/>
    </row>
    <row r="2787" spans="2:21" x14ac:dyDescent="0.25">
      <c r="B2787" s="2"/>
      <c r="C2787" s="2"/>
      <c r="D2787" s="4"/>
      <c r="E2787" s="4"/>
      <c r="F2787" s="4"/>
      <c r="Q2787" s="3"/>
      <c r="R2787" s="3"/>
      <c r="S2787" s="3"/>
      <c r="T2787" s="3"/>
      <c r="U2787" s="3"/>
    </row>
    <row r="2788" spans="2:21" x14ac:dyDescent="0.25">
      <c r="B2788" s="2"/>
      <c r="C2788" s="2"/>
      <c r="D2788" s="4"/>
      <c r="E2788" s="4"/>
      <c r="F2788" s="4"/>
      <c r="Q2788" s="3"/>
      <c r="R2788" s="3"/>
      <c r="S2788" s="3"/>
      <c r="T2788" s="3"/>
      <c r="U2788" s="3"/>
    </row>
    <row r="2789" spans="2:21" x14ac:dyDescent="0.25">
      <c r="B2789" s="2"/>
      <c r="C2789" s="2"/>
      <c r="D2789" s="4"/>
      <c r="E2789" s="4"/>
      <c r="F2789" s="4"/>
      <c r="Q2789" s="3"/>
      <c r="R2789" s="3"/>
      <c r="S2789" s="3"/>
      <c r="T2789" s="3"/>
      <c r="U2789" s="3"/>
    </row>
    <row r="2790" spans="2:21" x14ac:dyDescent="0.25">
      <c r="B2790" s="2"/>
      <c r="C2790" s="2"/>
      <c r="D2790" s="4"/>
      <c r="E2790" s="4"/>
      <c r="F2790" s="4"/>
      <c r="Q2790" s="3"/>
      <c r="R2790" s="3"/>
      <c r="S2790" s="3"/>
      <c r="T2790" s="3"/>
      <c r="U2790" s="3"/>
    </row>
    <row r="2791" spans="2:21" x14ac:dyDescent="0.25">
      <c r="B2791" s="2"/>
      <c r="C2791" s="2"/>
      <c r="D2791" s="4"/>
      <c r="E2791" s="4"/>
      <c r="F2791" s="4"/>
      <c r="Q2791" s="3"/>
      <c r="R2791" s="3"/>
      <c r="S2791" s="3"/>
      <c r="T2791" s="3"/>
      <c r="U2791" s="3"/>
    </row>
    <row r="2792" spans="2:21" x14ac:dyDescent="0.25">
      <c r="B2792" s="2"/>
      <c r="C2792" s="2"/>
      <c r="D2792" s="4"/>
      <c r="E2792" s="4"/>
      <c r="F2792" s="4"/>
      <c r="Q2792" s="3"/>
      <c r="R2792" s="3"/>
      <c r="S2792" s="3"/>
      <c r="T2792" s="3"/>
      <c r="U2792" s="3"/>
    </row>
    <row r="2793" spans="2:21" x14ac:dyDescent="0.25">
      <c r="B2793" s="2"/>
      <c r="C2793" s="2"/>
      <c r="D2793" s="4"/>
      <c r="E2793" s="4"/>
      <c r="F2793" s="4"/>
      <c r="Q2793" s="3"/>
      <c r="R2793" s="3"/>
      <c r="S2793" s="3"/>
      <c r="T2793" s="3"/>
      <c r="U2793" s="3"/>
    </row>
    <row r="2794" spans="2:21" x14ac:dyDescent="0.25">
      <c r="B2794" s="2"/>
      <c r="C2794" s="2"/>
      <c r="D2794" s="4"/>
      <c r="E2794" s="4"/>
      <c r="F2794" s="4"/>
      <c r="Q2794" s="3"/>
      <c r="R2794" s="3"/>
      <c r="S2794" s="3"/>
      <c r="T2794" s="3"/>
      <c r="U2794" s="3"/>
    </row>
    <row r="2795" spans="2:21" x14ac:dyDescent="0.25">
      <c r="B2795" s="2"/>
      <c r="C2795" s="2"/>
      <c r="D2795" s="4"/>
      <c r="E2795" s="4"/>
      <c r="F2795" s="4"/>
      <c r="Q2795" s="3"/>
      <c r="R2795" s="3"/>
      <c r="S2795" s="3"/>
      <c r="T2795" s="3"/>
      <c r="U2795" s="3"/>
    </row>
    <row r="2796" spans="2:21" x14ac:dyDescent="0.25">
      <c r="B2796" s="2"/>
      <c r="C2796" s="2"/>
      <c r="D2796" s="4"/>
      <c r="E2796" s="4"/>
      <c r="F2796" s="4"/>
      <c r="Q2796" s="3"/>
      <c r="R2796" s="3"/>
      <c r="S2796" s="3"/>
      <c r="T2796" s="3"/>
      <c r="U2796" s="3"/>
    </row>
    <row r="2797" spans="2:21" x14ac:dyDescent="0.25">
      <c r="B2797" s="2"/>
      <c r="C2797" s="2"/>
      <c r="D2797" s="4"/>
      <c r="E2797" s="4"/>
      <c r="F2797" s="4"/>
      <c r="Q2797" s="3"/>
      <c r="R2797" s="3"/>
      <c r="S2797" s="3"/>
      <c r="T2797" s="3"/>
      <c r="U2797" s="3"/>
    </row>
    <row r="2798" spans="2:21" x14ac:dyDescent="0.25">
      <c r="B2798" s="2"/>
      <c r="C2798" s="2"/>
      <c r="D2798" s="4"/>
      <c r="E2798" s="4"/>
      <c r="F2798" s="4"/>
      <c r="Q2798" s="3"/>
      <c r="R2798" s="3"/>
      <c r="S2798" s="3"/>
      <c r="T2798" s="3"/>
      <c r="U2798" s="3"/>
    </row>
    <row r="2799" spans="2:21" x14ac:dyDescent="0.25">
      <c r="B2799" s="2"/>
      <c r="C2799" s="2"/>
      <c r="D2799" s="4"/>
      <c r="E2799" s="4"/>
      <c r="F2799" s="4"/>
      <c r="Q2799" s="3"/>
      <c r="R2799" s="3"/>
      <c r="S2799" s="3"/>
      <c r="T2799" s="3"/>
      <c r="U2799" s="3"/>
    </row>
    <row r="2800" spans="2:21" x14ac:dyDescent="0.25">
      <c r="B2800" s="2"/>
      <c r="C2800" s="2"/>
      <c r="D2800" s="4"/>
      <c r="E2800" s="4"/>
      <c r="F2800" s="4"/>
      <c r="Q2800" s="3"/>
      <c r="R2800" s="3"/>
      <c r="S2800" s="3"/>
      <c r="T2800" s="3"/>
      <c r="U2800" s="3"/>
    </row>
    <row r="2801" spans="2:21" x14ac:dyDescent="0.25">
      <c r="B2801" s="2"/>
      <c r="C2801" s="2"/>
      <c r="D2801" s="4"/>
      <c r="E2801" s="4"/>
      <c r="F2801" s="4"/>
      <c r="Q2801" s="3"/>
      <c r="R2801" s="3"/>
      <c r="S2801" s="3"/>
      <c r="T2801" s="3"/>
      <c r="U2801" s="3"/>
    </row>
    <row r="2802" spans="2:21" x14ac:dyDescent="0.25">
      <c r="B2802" s="2"/>
      <c r="C2802" s="2"/>
      <c r="D2802" s="4"/>
      <c r="E2802" s="4"/>
      <c r="F2802" s="4"/>
      <c r="Q2802" s="3"/>
      <c r="R2802" s="3"/>
      <c r="S2802" s="3"/>
      <c r="T2802" s="3"/>
      <c r="U2802" s="3"/>
    </row>
    <row r="2803" spans="2:21" x14ac:dyDescent="0.25">
      <c r="B2803" s="2"/>
      <c r="C2803" s="2"/>
      <c r="D2803" s="4"/>
      <c r="E2803" s="4"/>
      <c r="F2803" s="4"/>
      <c r="Q2803" s="3"/>
      <c r="R2803" s="3"/>
      <c r="S2803" s="3"/>
      <c r="T2803" s="3"/>
      <c r="U2803" s="3"/>
    </row>
    <row r="2804" spans="2:21" x14ac:dyDescent="0.25">
      <c r="B2804" s="2"/>
      <c r="C2804" s="2"/>
      <c r="D2804" s="4"/>
      <c r="E2804" s="4"/>
      <c r="F2804" s="4"/>
      <c r="Q2804" s="3"/>
      <c r="R2804" s="3"/>
      <c r="S2804" s="3"/>
      <c r="T2804" s="3"/>
      <c r="U2804" s="3"/>
    </row>
    <row r="2805" spans="2:21" x14ac:dyDescent="0.25">
      <c r="B2805" s="2"/>
      <c r="C2805" s="2"/>
      <c r="D2805" s="4"/>
      <c r="E2805" s="4"/>
      <c r="F2805" s="4"/>
      <c r="Q2805" s="3"/>
      <c r="R2805" s="3"/>
      <c r="S2805" s="3"/>
      <c r="T2805" s="3"/>
      <c r="U2805" s="3"/>
    </row>
    <row r="2806" spans="2:21" x14ac:dyDescent="0.25">
      <c r="B2806" s="2"/>
      <c r="C2806" s="2"/>
      <c r="D2806" s="4"/>
      <c r="E2806" s="4"/>
      <c r="F2806" s="4"/>
      <c r="Q2806" s="3"/>
      <c r="R2806" s="3"/>
      <c r="S2806" s="3"/>
      <c r="T2806" s="3"/>
      <c r="U2806" s="3"/>
    </row>
    <row r="2807" spans="2:21" x14ac:dyDescent="0.25">
      <c r="B2807" s="2"/>
      <c r="C2807" s="2"/>
      <c r="D2807" s="4"/>
      <c r="E2807" s="4"/>
      <c r="F2807" s="4"/>
      <c r="Q2807" s="3"/>
      <c r="R2807" s="3"/>
      <c r="S2807" s="3"/>
      <c r="T2807" s="3"/>
      <c r="U2807" s="3"/>
    </row>
    <row r="2808" spans="2:21" x14ac:dyDescent="0.25">
      <c r="B2808" s="2"/>
      <c r="C2808" s="2"/>
      <c r="D2808" s="4"/>
      <c r="E2808" s="4"/>
      <c r="F2808" s="4"/>
      <c r="Q2808" s="3"/>
      <c r="R2808" s="3"/>
      <c r="S2808" s="3"/>
      <c r="T2808" s="3"/>
      <c r="U2808" s="3"/>
    </row>
    <row r="2809" spans="2:21" x14ac:dyDescent="0.25">
      <c r="B2809" s="2"/>
      <c r="C2809" s="2"/>
      <c r="D2809" s="4"/>
      <c r="E2809" s="4"/>
      <c r="F2809" s="4"/>
      <c r="Q2809" s="3"/>
      <c r="R2809" s="3"/>
      <c r="S2809" s="3"/>
      <c r="T2809" s="3"/>
      <c r="U2809" s="3"/>
    </row>
    <row r="2810" spans="2:21" x14ac:dyDescent="0.25">
      <c r="B2810" s="2"/>
      <c r="C2810" s="2"/>
      <c r="D2810" s="4"/>
      <c r="E2810" s="4"/>
      <c r="F2810" s="4"/>
      <c r="Q2810" s="3"/>
      <c r="R2810" s="3"/>
      <c r="S2810" s="3"/>
      <c r="T2810" s="3"/>
      <c r="U2810" s="3"/>
    </row>
    <row r="2811" spans="2:21" x14ac:dyDescent="0.25">
      <c r="B2811" s="2"/>
      <c r="C2811" s="2"/>
      <c r="D2811" s="4"/>
      <c r="E2811" s="4"/>
      <c r="F2811" s="4"/>
      <c r="Q2811" s="3"/>
      <c r="R2811" s="3"/>
      <c r="S2811" s="3"/>
      <c r="T2811" s="3"/>
      <c r="U2811" s="3"/>
    </row>
    <row r="2812" spans="2:21" x14ac:dyDescent="0.25">
      <c r="B2812" s="2"/>
      <c r="C2812" s="2"/>
      <c r="D2812" s="4"/>
      <c r="E2812" s="4"/>
      <c r="F2812" s="4"/>
      <c r="Q2812" s="3"/>
      <c r="R2812" s="3"/>
      <c r="S2812" s="3"/>
      <c r="T2812" s="3"/>
      <c r="U2812" s="3"/>
    </row>
    <row r="2813" spans="2:21" x14ac:dyDescent="0.25">
      <c r="B2813" s="2"/>
      <c r="C2813" s="2"/>
      <c r="D2813" s="4"/>
      <c r="E2813" s="4"/>
      <c r="F2813" s="4"/>
      <c r="Q2813" s="3"/>
      <c r="R2813" s="3"/>
      <c r="S2813" s="3"/>
      <c r="T2813" s="3"/>
      <c r="U2813" s="3"/>
    </row>
    <row r="2814" spans="2:21" x14ac:dyDescent="0.25">
      <c r="B2814" s="2"/>
      <c r="C2814" s="2"/>
      <c r="D2814" s="4"/>
      <c r="E2814" s="4"/>
      <c r="F2814" s="4"/>
      <c r="Q2814" s="3"/>
      <c r="R2814" s="3"/>
      <c r="S2814" s="3"/>
      <c r="T2814" s="3"/>
      <c r="U2814" s="3"/>
    </row>
    <row r="2815" spans="2:21" x14ac:dyDescent="0.25">
      <c r="B2815" s="2"/>
      <c r="C2815" s="2"/>
      <c r="D2815" s="4"/>
      <c r="E2815" s="4"/>
      <c r="F2815" s="4"/>
      <c r="Q2815" s="3"/>
      <c r="R2815" s="3"/>
      <c r="S2815" s="3"/>
      <c r="T2815" s="3"/>
      <c r="U2815" s="3"/>
    </row>
    <row r="2816" spans="2:21" x14ac:dyDescent="0.25">
      <c r="B2816" s="2"/>
      <c r="C2816" s="2"/>
      <c r="D2816" s="4"/>
      <c r="E2816" s="4"/>
      <c r="F2816" s="4"/>
      <c r="Q2816" s="3"/>
      <c r="R2816" s="3"/>
      <c r="S2816" s="3"/>
      <c r="T2816" s="3"/>
      <c r="U2816" s="3"/>
    </row>
    <row r="2817" spans="2:21" x14ac:dyDescent="0.25">
      <c r="B2817" s="2"/>
      <c r="C2817" s="2"/>
      <c r="D2817" s="4"/>
      <c r="E2817" s="4"/>
      <c r="F2817" s="4"/>
      <c r="Q2817" s="3"/>
      <c r="R2817" s="3"/>
      <c r="S2817" s="3"/>
      <c r="T2817" s="3"/>
      <c r="U2817" s="3"/>
    </row>
    <row r="2818" spans="2:21" x14ac:dyDescent="0.25">
      <c r="B2818" s="2"/>
      <c r="C2818" s="2"/>
      <c r="D2818" s="4"/>
      <c r="E2818" s="4"/>
      <c r="F2818" s="4"/>
      <c r="Q2818" s="3"/>
      <c r="R2818" s="3"/>
      <c r="S2818" s="3"/>
      <c r="T2818" s="3"/>
      <c r="U2818" s="3"/>
    </row>
    <row r="2819" spans="2:21" x14ac:dyDescent="0.25">
      <c r="B2819" s="2"/>
      <c r="C2819" s="2"/>
      <c r="D2819" s="4"/>
      <c r="E2819" s="4"/>
      <c r="F2819" s="4"/>
      <c r="Q2819" s="3"/>
      <c r="R2819" s="3"/>
      <c r="S2819" s="3"/>
      <c r="T2819" s="3"/>
      <c r="U2819" s="3"/>
    </row>
    <row r="2820" spans="2:21" x14ac:dyDescent="0.25">
      <c r="B2820" s="2"/>
      <c r="C2820" s="2"/>
      <c r="D2820" s="4"/>
      <c r="E2820" s="4"/>
      <c r="F2820" s="4"/>
      <c r="Q2820" s="3"/>
      <c r="R2820" s="3"/>
      <c r="S2820" s="3"/>
      <c r="T2820" s="3"/>
      <c r="U2820" s="3"/>
    </row>
    <row r="2821" spans="2:21" x14ac:dyDescent="0.25">
      <c r="B2821" s="2"/>
      <c r="C2821" s="2"/>
      <c r="D2821" s="4"/>
      <c r="E2821" s="4"/>
      <c r="F2821" s="4"/>
      <c r="Q2821" s="3"/>
      <c r="R2821" s="3"/>
      <c r="S2821" s="3"/>
      <c r="T2821" s="3"/>
      <c r="U2821" s="3"/>
    </row>
    <row r="2822" spans="2:21" x14ac:dyDescent="0.25">
      <c r="B2822" s="2"/>
      <c r="C2822" s="2"/>
      <c r="D2822" s="4"/>
      <c r="E2822" s="4"/>
      <c r="F2822" s="4"/>
      <c r="Q2822" s="3"/>
      <c r="R2822" s="3"/>
      <c r="S2822" s="3"/>
      <c r="T2822" s="3"/>
      <c r="U2822" s="3"/>
    </row>
    <row r="2823" spans="2:21" x14ac:dyDescent="0.25">
      <c r="B2823" s="2"/>
      <c r="C2823" s="2"/>
      <c r="D2823" s="4"/>
      <c r="E2823" s="4"/>
      <c r="F2823" s="4"/>
      <c r="Q2823" s="3"/>
      <c r="R2823" s="3"/>
      <c r="S2823" s="3"/>
      <c r="T2823" s="3"/>
      <c r="U2823" s="3"/>
    </row>
    <row r="2824" spans="2:21" x14ac:dyDescent="0.25">
      <c r="B2824" s="2"/>
      <c r="C2824" s="2"/>
      <c r="D2824" s="4"/>
      <c r="E2824" s="4"/>
      <c r="F2824" s="4"/>
      <c r="Q2824" s="3"/>
      <c r="R2824" s="3"/>
      <c r="S2824" s="3"/>
      <c r="T2824" s="3"/>
      <c r="U2824" s="3"/>
    </row>
    <row r="2825" spans="2:21" x14ac:dyDescent="0.25">
      <c r="B2825" s="2"/>
      <c r="C2825" s="2"/>
      <c r="D2825" s="4"/>
      <c r="E2825" s="4"/>
      <c r="F2825" s="4"/>
      <c r="Q2825" s="3"/>
      <c r="R2825" s="3"/>
      <c r="S2825" s="3"/>
      <c r="T2825" s="3"/>
      <c r="U2825" s="3"/>
    </row>
    <row r="2826" spans="2:21" x14ac:dyDescent="0.25">
      <c r="B2826" s="2"/>
      <c r="C2826" s="2"/>
      <c r="D2826" s="4"/>
      <c r="E2826" s="4"/>
      <c r="F2826" s="4"/>
      <c r="Q2826" s="3"/>
      <c r="R2826" s="3"/>
      <c r="S2826" s="3"/>
      <c r="T2826" s="3"/>
      <c r="U2826" s="3"/>
    </row>
    <row r="2827" spans="2:21" x14ac:dyDescent="0.25">
      <c r="B2827" s="2"/>
      <c r="C2827" s="2"/>
      <c r="D2827" s="4"/>
      <c r="E2827" s="4"/>
      <c r="F2827" s="4"/>
      <c r="Q2827" s="3"/>
      <c r="R2827" s="3"/>
      <c r="S2827" s="3"/>
      <c r="T2827" s="3"/>
      <c r="U2827" s="3"/>
    </row>
    <row r="2828" spans="2:21" x14ac:dyDescent="0.25">
      <c r="B2828" s="2"/>
      <c r="C2828" s="2"/>
      <c r="D2828" s="4"/>
      <c r="E2828" s="4"/>
      <c r="F2828" s="4"/>
      <c r="Q2828" s="3"/>
      <c r="R2828" s="3"/>
      <c r="S2828" s="3"/>
      <c r="T2828" s="3"/>
      <c r="U2828" s="3"/>
    </row>
    <row r="2829" spans="2:21" x14ac:dyDescent="0.25">
      <c r="B2829" s="2"/>
      <c r="C2829" s="2"/>
      <c r="D2829" s="4"/>
      <c r="E2829" s="4"/>
      <c r="F2829" s="4"/>
      <c r="Q2829" s="3"/>
      <c r="R2829" s="3"/>
      <c r="S2829" s="3"/>
      <c r="T2829" s="3"/>
      <c r="U2829" s="3"/>
    </row>
    <row r="2830" spans="2:21" x14ac:dyDescent="0.25">
      <c r="B2830" s="2"/>
      <c r="C2830" s="2"/>
      <c r="D2830" s="4"/>
      <c r="E2830" s="4"/>
      <c r="F2830" s="4"/>
      <c r="Q2830" s="3"/>
      <c r="R2830" s="3"/>
      <c r="S2830" s="3"/>
      <c r="T2830" s="3"/>
      <c r="U2830" s="3"/>
    </row>
    <row r="2831" spans="2:21" x14ac:dyDescent="0.25">
      <c r="B2831" s="2"/>
      <c r="C2831" s="2"/>
      <c r="D2831" s="4"/>
      <c r="E2831" s="4"/>
      <c r="F2831" s="4"/>
      <c r="Q2831" s="3"/>
      <c r="R2831" s="3"/>
      <c r="S2831" s="3"/>
      <c r="T2831" s="3"/>
      <c r="U2831" s="3"/>
    </row>
    <row r="2832" spans="2:21" x14ac:dyDescent="0.25">
      <c r="B2832" s="2"/>
      <c r="C2832" s="2"/>
      <c r="D2832" s="4"/>
      <c r="E2832" s="4"/>
      <c r="F2832" s="4"/>
      <c r="Q2832" s="3"/>
      <c r="R2832" s="3"/>
      <c r="S2832" s="3"/>
      <c r="T2832" s="3"/>
      <c r="U2832" s="3"/>
    </row>
    <row r="2833" spans="2:21" x14ac:dyDescent="0.25">
      <c r="B2833" s="2"/>
      <c r="C2833" s="2"/>
      <c r="D2833" s="4"/>
      <c r="E2833" s="4"/>
      <c r="F2833" s="4"/>
      <c r="Q2833" s="3"/>
      <c r="R2833" s="3"/>
      <c r="S2833" s="3"/>
      <c r="T2833" s="3"/>
      <c r="U2833" s="3"/>
    </row>
    <row r="2834" spans="2:21" x14ac:dyDescent="0.25">
      <c r="B2834" s="2"/>
      <c r="C2834" s="2"/>
      <c r="D2834" s="4"/>
      <c r="E2834" s="4"/>
      <c r="F2834" s="4"/>
      <c r="Q2834" s="3"/>
      <c r="R2834" s="3"/>
      <c r="S2834" s="3"/>
      <c r="T2834" s="3"/>
      <c r="U2834" s="3"/>
    </row>
    <row r="2835" spans="2:21" x14ac:dyDescent="0.25">
      <c r="B2835" s="2"/>
      <c r="C2835" s="2"/>
      <c r="D2835" s="4"/>
      <c r="E2835" s="4"/>
      <c r="F2835" s="4"/>
      <c r="Q2835" s="3"/>
      <c r="R2835" s="3"/>
      <c r="S2835" s="3"/>
      <c r="T2835" s="3"/>
      <c r="U2835" s="3"/>
    </row>
    <row r="2836" spans="2:21" x14ac:dyDescent="0.25">
      <c r="B2836" s="2"/>
      <c r="C2836" s="2"/>
      <c r="D2836" s="4"/>
      <c r="E2836" s="4"/>
      <c r="F2836" s="4"/>
      <c r="Q2836" s="3"/>
      <c r="R2836" s="3"/>
      <c r="S2836" s="3"/>
      <c r="T2836" s="3"/>
      <c r="U2836" s="3"/>
    </row>
    <row r="2837" spans="2:21" x14ac:dyDescent="0.25">
      <c r="B2837" s="2"/>
      <c r="C2837" s="2"/>
      <c r="D2837" s="4"/>
      <c r="E2837" s="4"/>
      <c r="F2837" s="4"/>
      <c r="Q2837" s="3"/>
      <c r="R2837" s="3"/>
      <c r="S2837" s="3"/>
      <c r="T2837" s="3"/>
      <c r="U2837" s="3"/>
    </row>
    <row r="2838" spans="2:21" x14ac:dyDescent="0.25">
      <c r="B2838" s="2"/>
      <c r="C2838" s="2"/>
      <c r="D2838" s="4"/>
      <c r="E2838" s="4"/>
      <c r="F2838" s="4"/>
      <c r="Q2838" s="3"/>
      <c r="R2838" s="3"/>
      <c r="S2838" s="3"/>
      <c r="T2838" s="3"/>
      <c r="U2838" s="3"/>
    </row>
    <row r="2839" spans="2:21" x14ac:dyDescent="0.25">
      <c r="B2839" s="2"/>
      <c r="C2839" s="2"/>
      <c r="D2839" s="4"/>
      <c r="E2839" s="4"/>
      <c r="F2839" s="4"/>
      <c r="Q2839" s="3"/>
      <c r="R2839" s="3"/>
      <c r="S2839" s="3"/>
      <c r="T2839" s="3"/>
      <c r="U2839" s="3"/>
    </row>
    <row r="2840" spans="2:21" x14ac:dyDescent="0.25">
      <c r="B2840" s="2"/>
      <c r="C2840" s="2"/>
      <c r="D2840" s="4"/>
      <c r="E2840" s="4"/>
      <c r="F2840" s="4"/>
      <c r="Q2840" s="3"/>
      <c r="R2840" s="3"/>
      <c r="S2840" s="3"/>
      <c r="T2840" s="3"/>
      <c r="U2840" s="3"/>
    </row>
    <row r="2841" spans="2:21" x14ac:dyDescent="0.25">
      <c r="B2841" s="2"/>
      <c r="C2841" s="2"/>
      <c r="D2841" s="4"/>
      <c r="E2841" s="4"/>
      <c r="F2841" s="4"/>
      <c r="Q2841" s="3"/>
      <c r="R2841" s="3"/>
      <c r="S2841" s="3"/>
      <c r="T2841" s="3"/>
      <c r="U2841" s="3"/>
    </row>
    <row r="2842" spans="2:21" x14ac:dyDescent="0.25">
      <c r="B2842" s="2"/>
      <c r="C2842" s="2"/>
      <c r="D2842" s="4"/>
      <c r="E2842" s="4"/>
      <c r="F2842" s="4"/>
      <c r="Q2842" s="3"/>
      <c r="R2842" s="3"/>
      <c r="S2842" s="3"/>
      <c r="T2842" s="3"/>
      <c r="U2842" s="3"/>
    </row>
    <row r="2843" spans="2:21" x14ac:dyDescent="0.25">
      <c r="B2843" s="2"/>
      <c r="C2843" s="2"/>
      <c r="D2843" s="4"/>
      <c r="E2843" s="4"/>
      <c r="F2843" s="4"/>
      <c r="Q2843" s="3"/>
      <c r="R2843" s="3"/>
      <c r="S2843" s="3"/>
      <c r="T2843" s="3"/>
      <c r="U2843" s="3"/>
    </row>
    <row r="2844" spans="2:21" x14ac:dyDescent="0.25">
      <c r="B2844" s="2"/>
      <c r="C2844" s="2"/>
      <c r="D2844" s="4"/>
      <c r="E2844" s="4"/>
      <c r="F2844" s="4"/>
      <c r="Q2844" s="3"/>
      <c r="R2844" s="3"/>
      <c r="S2844" s="3"/>
      <c r="T2844" s="3"/>
      <c r="U2844" s="3"/>
    </row>
    <row r="2845" spans="2:21" x14ac:dyDescent="0.25">
      <c r="B2845" s="2"/>
      <c r="C2845" s="2"/>
      <c r="D2845" s="4"/>
      <c r="E2845" s="4"/>
      <c r="F2845" s="4"/>
      <c r="Q2845" s="3"/>
      <c r="R2845" s="3"/>
      <c r="S2845" s="3"/>
      <c r="T2845" s="3"/>
      <c r="U2845" s="3"/>
    </row>
    <row r="2846" spans="2:21" x14ac:dyDescent="0.25">
      <c r="B2846" s="2"/>
      <c r="C2846" s="2"/>
      <c r="D2846" s="4"/>
      <c r="E2846" s="4"/>
      <c r="F2846" s="4"/>
      <c r="Q2846" s="3"/>
      <c r="R2846" s="3"/>
      <c r="S2846" s="3"/>
      <c r="T2846" s="3"/>
      <c r="U2846" s="3"/>
    </row>
    <row r="2847" spans="2:21" x14ac:dyDescent="0.25">
      <c r="B2847" s="2"/>
      <c r="C2847" s="2"/>
      <c r="D2847" s="4"/>
      <c r="E2847" s="4"/>
      <c r="F2847" s="4"/>
      <c r="Q2847" s="3"/>
      <c r="R2847" s="3"/>
      <c r="S2847" s="3"/>
      <c r="T2847" s="3"/>
      <c r="U2847" s="3"/>
    </row>
    <row r="2848" spans="2:21" x14ac:dyDescent="0.25">
      <c r="B2848" s="2"/>
      <c r="C2848" s="2"/>
      <c r="D2848" s="4"/>
      <c r="E2848" s="4"/>
      <c r="F2848" s="4"/>
      <c r="Q2848" s="3"/>
      <c r="R2848" s="3"/>
      <c r="S2848" s="3"/>
      <c r="T2848" s="3"/>
      <c r="U2848" s="3"/>
    </row>
    <row r="2849" spans="2:21" x14ac:dyDescent="0.25">
      <c r="B2849" s="2"/>
      <c r="C2849" s="2"/>
      <c r="D2849" s="4"/>
      <c r="E2849" s="4"/>
      <c r="F2849" s="4"/>
      <c r="Q2849" s="3"/>
      <c r="R2849" s="3"/>
      <c r="S2849" s="3"/>
      <c r="T2849" s="3"/>
      <c r="U2849" s="3"/>
    </row>
    <row r="2850" spans="2:21" x14ac:dyDescent="0.25">
      <c r="B2850" s="2"/>
      <c r="C2850" s="2"/>
      <c r="D2850" s="4"/>
      <c r="E2850" s="4"/>
      <c r="F2850" s="4"/>
      <c r="Q2850" s="3"/>
      <c r="R2850" s="3"/>
      <c r="S2850" s="3"/>
      <c r="T2850" s="3"/>
      <c r="U2850" s="3"/>
    </row>
    <row r="2851" spans="2:21" x14ac:dyDescent="0.25">
      <c r="B2851" s="2"/>
      <c r="C2851" s="2"/>
      <c r="D2851" s="4"/>
      <c r="E2851" s="4"/>
      <c r="F2851" s="4"/>
      <c r="Q2851" s="3"/>
      <c r="R2851" s="3"/>
      <c r="S2851" s="3"/>
      <c r="T2851" s="3"/>
      <c r="U2851" s="3"/>
    </row>
    <row r="2852" spans="2:21" x14ac:dyDescent="0.25">
      <c r="B2852" s="2"/>
      <c r="C2852" s="2"/>
      <c r="D2852" s="4"/>
      <c r="E2852" s="4"/>
      <c r="F2852" s="4"/>
      <c r="Q2852" s="3"/>
      <c r="R2852" s="3"/>
      <c r="S2852" s="3"/>
      <c r="T2852" s="3"/>
      <c r="U2852" s="3"/>
    </row>
    <row r="2853" spans="2:21" x14ac:dyDescent="0.25">
      <c r="B2853" s="2"/>
      <c r="C2853" s="2"/>
      <c r="D2853" s="4"/>
      <c r="E2853" s="4"/>
      <c r="F2853" s="4"/>
      <c r="Q2853" s="3"/>
      <c r="R2853" s="3"/>
      <c r="S2853" s="3"/>
      <c r="T2853" s="3"/>
      <c r="U2853" s="3"/>
    </row>
    <row r="2854" spans="2:21" x14ac:dyDescent="0.25">
      <c r="B2854" s="2"/>
      <c r="C2854" s="2"/>
      <c r="D2854" s="4"/>
      <c r="E2854" s="4"/>
      <c r="F2854" s="4"/>
      <c r="Q2854" s="3"/>
      <c r="R2854" s="3"/>
      <c r="S2854" s="3"/>
      <c r="T2854" s="3"/>
      <c r="U2854" s="3"/>
    </row>
    <row r="2855" spans="2:21" x14ac:dyDescent="0.25">
      <c r="B2855" s="2"/>
      <c r="C2855" s="2"/>
      <c r="D2855" s="4"/>
      <c r="E2855" s="4"/>
      <c r="F2855" s="4"/>
      <c r="Q2855" s="3"/>
      <c r="R2855" s="3"/>
      <c r="S2855" s="3"/>
      <c r="T2855" s="3"/>
      <c r="U2855" s="3"/>
    </row>
    <row r="2856" spans="2:21" x14ac:dyDescent="0.25">
      <c r="B2856" s="2"/>
      <c r="C2856" s="2"/>
      <c r="D2856" s="4"/>
      <c r="E2856" s="4"/>
      <c r="F2856" s="4"/>
      <c r="Q2856" s="3"/>
      <c r="R2856" s="3"/>
      <c r="S2856" s="3"/>
      <c r="T2856" s="3"/>
      <c r="U2856" s="3"/>
    </row>
    <row r="2857" spans="2:21" x14ac:dyDescent="0.25">
      <c r="B2857" s="2"/>
      <c r="C2857" s="2"/>
      <c r="D2857" s="4"/>
      <c r="E2857" s="4"/>
      <c r="F2857" s="4"/>
      <c r="Q2857" s="3"/>
      <c r="R2857" s="3"/>
      <c r="S2857" s="3"/>
      <c r="T2857" s="3"/>
      <c r="U2857" s="3"/>
    </row>
    <row r="2858" spans="2:21" x14ac:dyDescent="0.25">
      <c r="B2858" s="2"/>
      <c r="C2858" s="2"/>
      <c r="D2858" s="4"/>
      <c r="E2858" s="4"/>
      <c r="F2858" s="4"/>
      <c r="Q2858" s="3"/>
      <c r="R2858" s="3"/>
      <c r="S2858" s="3"/>
      <c r="T2858" s="3"/>
      <c r="U2858" s="3"/>
    </row>
    <row r="2859" spans="2:21" x14ac:dyDescent="0.25">
      <c r="B2859" s="2"/>
      <c r="C2859" s="2"/>
      <c r="D2859" s="4"/>
      <c r="E2859" s="4"/>
      <c r="F2859" s="4"/>
      <c r="Q2859" s="3"/>
      <c r="R2859" s="3"/>
      <c r="S2859" s="3"/>
      <c r="T2859" s="3"/>
      <c r="U2859" s="3"/>
    </row>
    <row r="2860" spans="2:21" x14ac:dyDescent="0.25">
      <c r="B2860" s="2"/>
      <c r="C2860" s="2"/>
      <c r="D2860" s="4"/>
      <c r="E2860" s="4"/>
      <c r="F2860" s="4"/>
      <c r="Q2860" s="3"/>
      <c r="R2860" s="3"/>
      <c r="S2860" s="3"/>
      <c r="T2860" s="3"/>
      <c r="U2860" s="3"/>
    </row>
    <row r="2861" spans="2:21" x14ac:dyDescent="0.25">
      <c r="B2861" s="2"/>
      <c r="C2861" s="2"/>
      <c r="D2861" s="4"/>
      <c r="E2861" s="4"/>
      <c r="F2861" s="4"/>
      <c r="Q2861" s="3"/>
      <c r="R2861" s="3"/>
      <c r="S2861" s="3"/>
      <c r="T2861" s="3"/>
      <c r="U2861" s="3"/>
    </row>
    <row r="2862" spans="2:21" x14ac:dyDescent="0.25">
      <c r="B2862" s="2"/>
      <c r="C2862" s="2"/>
      <c r="D2862" s="4"/>
      <c r="E2862" s="4"/>
      <c r="F2862" s="4"/>
      <c r="Q2862" s="3"/>
      <c r="R2862" s="3"/>
      <c r="S2862" s="3"/>
      <c r="T2862" s="3"/>
      <c r="U2862" s="3"/>
    </row>
    <row r="2863" spans="2:21" x14ac:dyDescent="0.25">
      <c r="B2863" s="2"/>
      <c r="C2863" s="2"/>
      <c r="D2863" s="4"/>
      <c r="E2863" s="4"/>
      <c r="F2863" s="4"/>
      <c r="Q2863" s="3"/>
      <c r="R2863" s="3"/>
      <c r="S2863" s="3"/>
      <c r="T2863" s="3"/>
      <c r="U2863" s="3"/>
    </row>
    <row r="2864" spans="2:21" x14ac:dyDescent="0.25">
      <c r="B2864" s="2"/>
      <c r="C2864" s="2"/>
      <c r="D2864" s="4"/>
      <c r="E2864" s="4"/>
      <c r="F2864" s="4"/>
      <c r="Q2864" s="3"/>
      <c r="R2864" s="3"/>
      <c r="S2864" s="3"/>
      <c r="T2864" s="3"/>
      <c r="U2864" s="3"/>
    </row>
    <row r="2865" spans="2:21" x14ac:dyDescent="0.25">
      <c r="B2865" s="2"/>
      <c r="C2865" s="2"/>
      <c r="D2865" s="4"/>
      <c r="E2865" s="4"/>
      <c r="F2865" s="4"/>
      <c r="Q2865" s="3"/>
      <c r="R2865" s="3"/>
      <c r="S2865" s="3"/>
      <c r="T2865" s="3"/>
      <c r="U2865" s="3"/>
    </row>
    <row r="2866" spans="2:21" x14ac:dyDescent="0.25">
      <c r="B2866" s="2"/>
      <c r="C2866" s="2"/>
      <c r="D2866" s="4"/>
      <c r="E2866" s="4"/>
      <c r="F2866" s="4"/>
      <c r="Q2866" s="3"/>
      <c r="R2866" s="3"/>
      <c r="S2866" s="3"/>
      <c r="T2866" s="3"/>
      <c r="U2866" s="3"/>
    </row>
    <row r="2867" spans="2:21" x14ac:dyDescent="0.25">
      <c r="B2867" s="2"/>
      <c r="C2867" s="2"/>
      <c r="D2867" s="4"/>
      <c r="E2867" s="4"/>
      <c r="F2867" s="4"/>
      <c r="Q2867" s="3"/>
      <c r="R2867" s="3"/>
      <c r="S2867" s="3"/>
      <c r="T2867" s="3"/>
      <c r="U2867" s="3"/>
    </row>
    <row r="2868" spans="2:21" x14ac:dyDescent="0.25">
      <c r="B2868" s="2"/>
      <c r="C2868" s="2"/>
      <c r="D2868" s="4"/>
      <c r="E2868" s="4"/>
      <c r="F2868" s="4"/>
      <c r="Q2868" s="3"/>
      <c r="R2868" s="3"/>
      <c r="S2868" s="3"/>
      <c r="T2868" s="3"/>
      <c r="U2868" s="3"/>
    </row>
    <row r="2869" spans="2:21" x14ac:dyDescent="0.25">
      <c r="B2869" s="2"/>
      <c r="C2869" s="2"/>
      <c r="D2869" s="4"/>
      <c r="E2869" s="4"/>
      <c r="F2869" s="4"/>
      <c r="Q2869" s="3"/>
      <c r="R2869" s="3"/>
      <c r="S2869" s="3"/>
      <c r="T2869" s="3"/>
      <c r="U2869" s="3"/>
    </row>
    <row r="2870" spans="2:21" x14ac:dyDescent="0.25">
      <c r="B2870" s="2"/>
      <c r="C2870" s="2"/>
      <c r="D2870" s="4"/>
      <c r="E2870" s="4"/>
      <c r="F2870" s="4"/>
      <c r="Q2870" s="3"/>
      <c r="R2870" s="3"/>
      <c r="S2870" s="3"/>
      <c r="T2870" s="3"/>
      <c r="U2870" s="3"/>
    </row>
    <row r="2871" spans="2:21" x14ac:dyDescent="0.25">
      <c r="B2871" s="2"/>
      <c r="C2871" s="2"/>
      <c r="D2871" s="4"/>
      <c r="E2871" s="4"/>
      <c r="F2871" s="4"/>
      <c r="Q2871" s="3"/>
      <c r="R2871" s="3"/>
      <c r="S2871" s="3"/>
      <c r="T2871" s="3"/>
      <c r="U2871" s="3"/>
    </row>
    <row r="2872" spans="2:21" x14ac:dyDescent="0.25">
      <c r="B2872" s="2"/>
      <c r="C2872" s="2"/>
      <c r="D2872" s="4"/>
      <c r="E2872" s="4"/>
      <c r="F2872" s="4"/>
      <c r="Q2872" s="3"/>
      <c r="R2872" s="3"/>
      <c r="S2872" s="3"/>
      <c r="T2872" s="3"/>
      <c r="U2872" s="3"/>
    </row>
    <row r="2873" spans="2:21" x14ac:dyDescent="0.25">
      <c r="B2873" s="2"/>
      <c r="C2873" s="2"/>
      <c r="D2873" s="4"/>
      <c r="E2873" s="4"/>
      <c r="F2873" s="4"/>
      <c r="Q2873" s="3"/>
      <c r="R2873" s="3"/>
      <c r="S2873" s="3"/>
      <c r="T2873" s="3"/>
      <c r="U2873" s="3"/>
    </row>
    <row r="2874" spans="2:21" x14ac:dyDescent="0.25">
      <c r="B2874" s="2"/>
      <c r="C2874" s="2"/>
      <c r="D2874" s="4"/>
      <c r="E2874" s="4"/>
      <c r="F2874" s="4"/>
      <c r="Q2874" s="3"/>
      <c r="R2874" s="3"/>
      <c r="S2874" s="3"/>
      <c r="T2874" s="3"/>
      <c r="U2874" s="3"/>
    </row>
    <row r="2875" spans="2:21" x14ac:dyDescent="0.25">
      <c r="B2875" s="2"/>
      <c r="C2875" s="2"/>
      <c r="D2875" s="4"/>
      <c r="E2875" s="4"/>
      <c r="F2875" s="4"/>
      <c r="Q2875" s="3"/>
      <c r="R2875" s="3"/>
      <c r="S2875" s="3"/>
      <c r="T2875" s="3"/>
      <c r="U2875" s="3"/>
    </row>
    <row r="2876" spans="2:21" x14ac:dyDescent="0.25">
      <c r="B2876" s="2"/>
      <c r="C2876" s="2"/>
      <c r="D2876" s="4"/>
      <c r="E2876" s="4"/>
      <c r="F2876" s="4"/>
      <c r="Q2876" s="3"/>
      <c r="R2876" s="3"/>
      <c r="S2876" s="3"/>
      <c r="T2876" s="3"/>
      <c r="U2876" s="3"/>
    </row>
    <row r="2877" spans="2:21" x14ac:dyDescent="0.25">
      <c r="B2877" s="2"/>
      <c r="C2877" s="2"/>
      <c r="D2877" s="4"/>
      <c r="E2877" s="4"/>
      <c r="F2877" s="4"/>
      <c r="Q2877" s="3"/>
      <c r="R2877" s="3"/>
      <c r="S2877" s="3"/>
      <c r="T2877" s="3"/>
      <c r="U2877" s="3"/>
    </row>
    <row r="2878" spans="2:21" x14ac:dyDescent="0.25">
      <c r="B2878" s="2"/>
      <c r="C2878" s="2"/>
      <c r="D2878" s="4"/>
      <c r="E2878" s="4"/>
      <c r="F2878" s="4"/>
      <c r="Q2878" s="3"/>
      <c r="R2878" s="3"/>
      <c r="S2878" s="3"/>
      <c r="T2878" s="3"/>
      <c r="U2878" s="3"/>
    </row>
    <row r="2879" spans="2:21" x14ac:dyDescent="0.25">
      <c r="B2879" s="2"/>
      <c r="C2879" s="2"/>
      <c r="D2879" s="4"/>
      <c r="E2879" s="4"/>
      <c r="F2879" s="4"/>
      <c r="Q2879" s="3"/>
      <c r="R2879" s="3"/>
      <c r="S2879" s="3"/>
      <c r="T2879" s="3"/>
      <c r="U2879" s="3"/>
    </row>
    <row r="2880" spans="2:21" x14ac:dyDescent="0.25">
      <c r="B2880" s="2"/>
      <c r="C2880" s="2"/>
      <c r="D2880" s="4"/>
      <c r="E2880" s="4"/>
      <c r="F2880" s="4"/>
      <c r="Q2880" s="3"/>
      <c r="R2880" s="3"/>
      <c r="S2880" s="3"/>
      <c r="T2880" s="3"/>
      <c r="U2880" s="3"/>
    </row>
    <row r="2881" spans="2:21" x14ac:dyDescent="0.25">
      <c r="B2881" s="2"/>
      <c r="C2881" s="2"/>
      <c r="D2881" s="4"/>
      <c r="E2881" s="4"/>
      <c r="F2881" s="4"/>
      <c r="Q2881" s="3"/>
      <c r="R2881" s="3"/>
      <c r="S2881" s="3"/>
      <c r="T2881" s="3"/>
      <c r="U2881" s="3"/>
    </row>
    <row r="2882" spans="2:21" x14ac:dyDescent="0.25">
      <c r="B2882" s="2"/>
      <c r="C2882" s="2"/>
      <c r="D2882" s="4"/>
      <c r="E2882" s="4"/>
      <c r="F2882" s="4"/>
      <c r="Q2882" s="3"/>
      <c r="R2882" s="3"/>
      <c r="S2882" s="3"/>
      <c r="T2882" s="3"/>
      <c r="U2882" s="3"/>
    </row>
    <row r="2883" spans="2:21" x14ac:dyDescent="0.25">
      <c r="B2883" s="2"/>
      <c r="C2883" s="2"/>
      <c r="D2883" s="4"/>
      <c r="E2883" s="4"/>
      <c r="F2883" s="4"/>
      <c r="Q2883" s="3"/>
      <c r="R2883" s="3"/>
      <c r="S2883" s="3"/>
      <c r="T2883" s="3"/>
      <c r="U2883" s="3"/>
    </row>
    <row r="2884" spans="2:21" x14ac:dyDescent="0.25">
      <c r="B2884" s="2"/>
      <c r="C2884" s="2"/>
      <c r="D2884" s="4"/>
      <c r="E2884" s="4"/>
      <c r="F2884" s="4"/>
      <c r="Q2884" s="3"/>
      <c r="R2884" s="3"/>
      <c r="S2884" s="3"/>
      <c r="T2884" s="3"/>
      <c r="U2884" s="3"/>
    </row>
    <row r="2885" spans="2:21" x14ac:dyDescent="0.25">
      <c r="B2885" s="2"/>
      <c r="C2885" s="2"/>
      <c r="D2885" s="4"/>
      <c r="E2885" s="4"/>
      <c r="F2885" s="4"/>
      <c r="Q2885" s="3"/>
      <c r="R2885" s="3"/>
      <c r="S2885" s="3"/>
      <c r="T2885" s="3"/>
      <c r="U2885" s="3"/>
    </row>
    <row r="2886" spans="2:21" x14ac:dyDescent="0.25">
      <c r="B2886" s="2"/>
      <c r="C2886" s="2"/>
      <c r="D2886" s="4"/>
      <c r="E2886" s="4"/>
      <c r="F2886" s="4"/>
      <c r="Q2886" s="3"/>
      <c r="R2886" s="3"/>
      <c r="S2886" s="3"/>
      <c r="T2886" s="3"/>
      <c r="U2886" s="3"/>
    </row>
    <row r="2887" spans="2:21" x14ac:dyDescent="0.25">
      <c r="B2887" s="2"/>
      <c r="C2887" s="2"/>
      <c r="D2887" s="4"/>
      <c r="E2887" s="4"/>
      <c r="F2887" s="4"/>
      <c r="Q2887" s="3"/>
      <c r="R2887" s="3"/>
      <c r="S2887" s="3"/>
      <c r="T2887" s="3"/>
      <c r="U2887" s="3"/>
    </row>
    <row r="2888" spans="2:21" x14ac:dyDescent="0.25">
      <c r="B2888" s="2"/>
      <c r="C2888" s="2"/>
      <c r="D2888" s="4"/>
      <c r="E2888" s="4"/>
      <c r="F2888" s="4"/>
      <c r="Q2888" s="3"/>
      <c r="R2888" s="3"/>
      <c r="S2888" s="3"/>
      <c r="T2888" s="3"/>
      <c r="U2888" s="3"/>
    </row>
    <row r="2889" spans="2:21" x14ac:dyDescent="0.25">
      <c r="B2889" s="2"/>
      <c r="C2889" s="2"/>
      <c r="D2889" s="4"/>
      <c r="E2889" s="4"/>
      <c r="F2889" s="4"/>
      <c r="Q2889" s="3"/>
      <c r="R2889" s="3"/>
      <c r="S2889" s="3"/>
      <c r="T2889" s="3"/>
      <c r="U2889" s="3"/>
    </row>
    <row r="2890" spans="2:21" x14ac:dyDescent="0.25">
      <c r="B2890" s="2"/>
      <c r="C2890" s="2"/>
      <c r="D2890" s="4"/>
      <c r="E2890" s="4"/>
      <c r="F2890" s="4"/>
      <c r="Q2890" s="3"/>
      <c r="R2890" s="3"/>
      <c r="S2890" s="3"/>
      <c r="T2890" s="3"/>
      <c r="U2890" s="3"/>
    </row>
    <row r="2891" spans="2:21" x14ac:dyDescent="0.25">
      <c r="B2891" s="2"/>
      <c r="C2891" s="2"/>
      <c r="D2891" s="4"/>
      <c r="E2891" s="4"/>
      <c r="F2891" s="4"/>
      <c r="Q2891" s="3"/>
      <c r="R2891" s="3"/>
      <c r="S2891" s="3"/>
      <c r="T2891" s="3"/>
      <c r="U2891" s="3"/>
    </row>
    <row r="2892" spans="2:21" x14ac:dyDescent="0.25">
      <c r="B2892" s="2"/>
      <c r="C2892" s="2"/>
      <c r="D2892" s="4"/>
      <c r="E2892" s="4"/>
      <c r="F2892" s="4"/>
      <c r="Q2892" s="3"/>
      <c r="R2892" s="3"/>
      <c r="S2892" s="3"/>
      <c r="T2892" s="3"/>
      <c r="U2892" s="3"/>
    </row>
    <row r="2893" spans="2:21" x14ac:dyDescent="0.25">
      <c r="B2893" s="2"/>
      <c r="C2893" s="2"/>
      <c r="D2893" s="4"/>
      <c r="E2893" s="4"/>
      <c r="F2893" s="4"/>
      <c r="Q2893" s="3"/>
      <c r="R2893" s="3"/>
      <c r="S2893" s="3"/>
      <c r="T2893" s="3"/>
      <c r="U2893" s="3"/>
    </row>
    <row r="2894" spans="2:21" x14ac:dyDescent="0.25">
      <c r="B2894" s="2"/>
      <c r="C2894" s="2"/>
      <c r="D2894" s="4"/>
      <c r="E2894" s="4"/>
      <c r="F2894" s="4"/>
      <c r="Q2894" s="3"/>
      <c r="R2894" s="3"/>
      <c r="S2894" s="3"/>
      <c r="T2894" s="3"/>
      <c r="U2894" s="3"/>
    </row>
    <row r="2895" spans="2:21" x14ac:dyDescent="0.25">
      <c r="B2895" s="2"/>
      <c r="C2895" s="2"/>
      <c r="D2895" s="4"/>
      <c r="E2895" s="4"/>
      <c r="F2895" s="4"/>
      <c r="Q2895" s="3"/>
      <c r="R2895" s="3"/>
      <c r="S2895" s="3"/>
      <c r="T2895" s="3"/>
      <c r="U2895" s="3"/>
    </row>
    <row r="2896" spans="2:21" x14ac:dyDescent="0.25">
      <c r="B2896" s="2"/>
      <c r="C2896" s="2"/>
      <c r="D2896" s="4"/>
      <c r="E2896" s="4"/>
      <c r="F2896" s="4"/>
      <c r="Q2896" s="3"/>
      <c r="R2896" s="3"/>
      <c r="S2896" s="3"/>
      <c r="T2896" s="3"/>
      <c r="U2896" s="3"/>
    </row>
    <row r="2897" spans="2:21" x14ac:dyDescent="0.25">
      <c r="B2897" s="2"/>
      <c r="C2897" s="2"/>
      <c r="D2897" s="4"/>
      <c r="E2897" s="4"/>
      <c r="F2897" s="4"/>
      <c r="Q2897" s="3"/>
      <c r="R2897" s="3"/>
      <c r="S2897" s="3"/>
      <c r="T2897" s="3"/>
      <c r="U2897" s="3"/>
    </row>
    <row r="2898" spans="2:21" x14ac:dyDescent="0.25">
      <c r="B2898" s="2"/>
      <c r="C2898" s="2"/>
      <c r="D2898" s="4"/>
      <c r="E2898" s="4"/>
      <c r="F2898" s="4"/>
      <c r="Q2898" s="3"/>
      <c r="R2898" s="3"/>
      <c r="S2898" s="3"/>
      <c r="T2898" s="3"/>
      <c r="U2898" s="3"/>
    </row>
    <row r="2899" spans="2:21" x14ac:dyDescent="0.25">
      <c r="B2899" s="2"/>
      <c r="C2899" s="2"/>
      <c r="D2899" s="4"/>
      <c r="E2899" s="4"/>
      <c r="F2899" s="4"/>
      <c r="Q2899" s="3"/>
      <c r="R2899" s="3"/>
      <c r="S2899" s="3"/>
      <c r="T2899" s="3"/>
      <c r="U2899" s="3"/>
    </row>
    <row r="2900" spans="2:21" x14ac:dyDescent="0.25">
      <c r="B2900" s="2"/>
      <c r="C2900" s="2"/>
      <c r="D2900" s="4"/>
      <c r="E2900" s="4"/>
      <c r="F2900" s="4"/>
      <c r="Q2900" s="3"/>
      <c r="R2900" s="3"/>
      <c r="S2900" s="3"/>
      <c r="T2900" s="3"/>
      <c r="U2900" s="3"/>
    </row>
    <row r="2901" spans="2:21" x14ac:dyDescent="0.25">
      <c r="B2901" s="2"/>
      <c r="C2901" s="2"/>
      <c r="D2901" s="4"/>
      <c r="E2901" s="4"/>
      <c r="F2901" s="4"/>
      <c r="Q2901" s="3"/>
      <c r="R2901" s="3"/>
      <c r="S2901" s="3"/>
      <c r="T2901" s="3"/>
      <c r="U2901" s="3"/>
    </row>
    <row r="2902" spans="2:21" x14ac:dyDescent="0.25">
      <c r="B2902" s="2"/>
      <c r="C2902" s="2"/>
      <c r="D2902" s="4"/>
      <c r="E2902" s="4"/>
      <c r="F2902" s="4"/>
      <c r="Q2902" s="3"/>
      <c r="R2902" s="3"/>
      <c r="S2902" s="3"/>
      <c r="T2902" s="3"/>
      <c r="U2902" s="3"/>
    </row>
    <row r="2903" spans="2:21" x14ac:dyDescent="0.25">
      <c r="B2903" s="2"/>
      <c r="C2903" s="2"/>
      <c r="D2903" s="4"/>
      <c r="E2903" s="4"/>
      <c r="F2903" s="4"/>
      <c r="Q2903" s="3"/>
      <c r="R2903" s="3"/>
      <c r="S2903" s="3"/>
      <c r="T2903" s="3"/>
      <c r="U2903" s="3"/>
    </row>
    <row r="2904" spans="2:21" x14ac:dyDescent="0.25">
      <c r="B2904" s="2"/>
      <c r="C2904" s="2"/>
      <c r="D2904" s="4"/>
      <c r="E2904" s="4"/>
      <c r="F2904" s="4"/>
      <c r="Q2904" s="3"/>
      <c r="R2904" s="3"/>
      <c r="S2904" s="3"/>
      <c r="T2904" s="3"/>
      <c r="U2904" s="3"/>
    </row>
    <row r="2905" spans="2:21" x14ac:dyDescent="0.25">
      <c r="B2905" s="2"/>
      <c r="C2905" s="2"/>
      <c r="D2905" s="4"/>
      <c r="E2905" s="4"/>
      <c r="F2905" s="4"/>
      <c r="Q2905" s="3"/>
      <c r="R2905" s="3"/>
      <c r="S2905" s="3"/>
      <c r="T2905" s="3"/>
      <c r="U2905" s="3"/>
    </row>
    <row r="2906" spans="2:21" x14ac:dyDescent="0.25">
      <c r="B2906" s="2"/>
      <c r="C2906" s="2"/>
      <c r="D2906" s="4"/>
      <c r="E2906" s="4"/>
      <c r="F2906" s="4"/>
      <c r="Q2906" s="3"/>
      <c r="R2906" s="3"/>
      <c r="S2906" s="3"/>
      <c r="T2906" s="3"/>
      <c r="U2906" s="3"/>
    </row>
    <row r="2907" spans="2:21" x14ac:dyDescent="0.25">
      <c r="B2907" s="2"/>
      <c r="C2907" s="2"/>
      <c r="D2907" s="4"/>
      <c r="E2907" s="4"/>
      <c r="F2907" s="4"/>
      <c r="Q2907" s="3"/>
      <c r="R2907" s="3"/>
      <c r="S2907" s="3"/>
      <c r="T2907" s="3"/>
      <c r="U2907" s="3"/>
    </row>
    <row r="2908" spans="2:21" x14ac:dyDescent="0.25">
      <c r="B2908" s="2"/>
      <c r="C2908" s="2"/>
      <c r="D2908" s="4"/>
      <c r="E2908" s="4"/>
      <c r="F2908" s="4"/>
      <c r="Q2908" s="3"/>
      <c r="R2908" s="3"/>
      <c r="S2908" s="3"/>
      <c r="T2908" s="3"/>
      <c r="U2908" s="3"/>
    </row>
    <row r="2909" spans="2:21" x14ac:dyDescent="0.25">
      <c r="B2909" s="2"/>
      <c r="C2909" s="2"/>
      <c r="D2909" s="4"/>
      <c r="E2909" s="4"/>
      <c r="F2909" s="4"/>
      <c r="Q2909" s="3"/>
      <c r="R2909" s="3"/>
      <c r="S2909" s="3"/>
      <c r="T2909" s="3"/>
      <c r="U2909" s="3"/>
    </row>
    <row r="2910" spans="2:21" x14ac:dyDescent="0.25">
      <c r="B2910" s="2"/>
      <c r="C2910" s="2"/>
      <c r="D2910" s="4"/>
      <c r="E2910" s="4"/>
      <c r="F2910" s="4"/>
      <c r="Q2910" s="3"/>
      <c r="R2910" s="3"/>
      <c r="S2910" s="3"/>
      <c r="T2910" s="3"/>
      <c r="U2910" s="3"/>
    </row>
    <row r="2911" spans="2:21" x14ac:dyDescent="0.25">
      <c r="B2911" s="2"/>
      <c r="C2911" s="2"/>
      <c r="D2911" s="4"/>
      <c r="E2911" s="4"/>
      <c r="F2911" s="4"/>
      <c r="Q2911" s="3"/>
      <c r="R2911" s="3"/>
      <c r="S2911" s="3"/>
      <c r="T2911" s="3"/>
      <c r="U2911" s="3"/>
    </row>
    <row r="2912" spans="2:21" x14ac:dyDescent="0.25">
      <c r="B2912" s="2"/>
      <c r="C2912" s="2"/>
      <c r="D2912" s="4"/>
      <c r="E2912" s="4"/>
      <c r="F2912" s="4"/>
      <c r="Q2912" s="3"/>
      <c r="R2912" s="3"/>
      <c r="S2912" s="3"/>
      <c r="T2912" s="3"/>
      <c r="U2912" s="3"/>
    </row>
    <row r="2913" spans="2:21" x14ac:dyDescent="0.25">
      <c r="B2913" s="2"/>
      <c r="C2913" s="2"/>
      <c r="D2913" s="4"/>
      <c r="E2913" s="4"/>
      <c r="F2913" s="4"/>
      <c r="Q2913" s="3"/>
      <c r="R2913" s="3"/>
      <c r="S2913" s="3"/>
      <c r="T2913" s="3"/>
      <c r="U2913" s="3"/>
    </row>
    <row r="2914" spans="2:21" x14ac:dyDescent="0.25">
      <c r="B2914" s="2"/>
      <c r="C2914" s="2"/>
      <c r="D2914" s="4"/>
      <c r="E2914" s="4"/>
      <c r="F2914" s="4"/>
      <c r="Q2914" s="3"/>
      <c r="R2914" s="3"/>
      <c r="S2914" s="3"/>
      <c r="T2914" s="3"/>
      <c r="U2914" s="3"/>
    </row>
    <row r="2915" spans="2:21" x14ac:dyDescent="0.25">
      <c r="B2915" s="2"/>
      <c r="C2915" s="2"/>
      <c r="D2915" s="4"/>
      <c r="E2915" s="4"/>
      <c r="F2915" s="4"/>
      <c r="Q2915" s="3"/>
      <c r="R2915" s="3"/>
      <c r="S2915" s="3"/>
      <c r="T2915" s="3"/>
      <c r="U2915" s="3"/>
    </row>
    <row r="2916" spans="2:21" x14ac:dyDescent="0.25">
      <c r="B2916" s="2"/>
      <c r="C2916" s="2"/>
      <c r="D2916" s="4"/>
      <c r="E2916" s="4"/>
      <c r="F2916" s="4"/>
      <c r="Q2916" s="3"/>
      <c r="R2916" s="3"/>
      <c r="S2916" s="3"/>
      <c r="T2916" s="3"/>
      <c r="U2916" s="3"/>
    </row>
    <row r="2917" spans="2:21" x14ac:dyDescent="0.25">
      <c r="B2917" s="2"/>
      <c r="C2917" s="2"/>
      <c r="D2917" s="4"/>
      <c r="E2917" s="4"/>
      <c r="F2917" s="4"/>
      <c r="Q2917" s="3"/>
      <c r="R2917" s="3"/>
      <c r="S2917" s="3"/>
      <c r="T2917" s="3"/>
      <c r="U2917" s="3"/>
    </row>
    <row r="2918" spans="2:21" x14ac:dyDescent="0.25">
      <c r="B2918" s="2"/>
      <c r="C2918" s="2"/>
      <c r="D2918" s="4"/>
      <c r="E2918" s="4"/>
      <c r="F2918" s="4"/>
      <c r="Q2918" s="3"/>
      <c r="R2918" s="3"/>
      <c r="S2918" s="3"/>
      <c r="T2918" s="3"/>
      <c r="U2918" s="3"/>
    </row>
    <row r="2919" spans="2:21" x14ac:dyDescent="0.25">
      <c r="B2919" s="2"/>
      <c r="C2919" s="2"/>
      <c r="D2919" s="4"/>
      <c r="E2919" s="4"/>
      <c r="F2919" s="4"/>
      <c r="Q2919" s="3"/>
      <c r="R2919" s="3"/>
      <c r="S2919" s="3"/>
      <c r="T2919" s="3"/>
      <c r="U2919" s="3"/>
    </row>
    <row r="2920" spans="2:21" x14ac:dyDescent="0.25">
      <c r="B2920" s="2"/>
      <c r="C2920" s="2"/>
      <c r="D2920" s="4"/>
      <c r="E2920" s="4"/>
      <c r="F2920" s="4"/>
      <c r="Q2920" s="3"/>
      <c r="R2920" s="3"/>
      <c r="S2920" s="3"/>
      <c r="T2920" s="3"/>
      <c r="U2920" s="3"/>
    </row>
    <row r="2921" spans="2:21" x14ac:dyDescent="0.25">
      <c r="B2921" s="2"/>
      <c r="C2921" s="2"/>
      <c r="D2921" s="4"/>
      <c r="E2921" s="4"/>
      <c r="F2921" s="4"/>
      <c r="Q2921" s="3"/>
      <c r="R2921" s="3"/>
      <c r="S2921" s="3"/>
      <c r="T2921" s="3"/>
      <c r="U2921" s="3"/>
    </row>
    <row r="2922" spans="2:21" x14ac:dyDescent="0.25">
      <c r="B2922" s="2"/>
      <c r="C2922" s="2"/>
      <c r="D2922" s="4"/>
      <c r="E2922" s="4"/>
      <c r="F2922" s="4"/>
      <c r="Q2922" s="3"/>
      <c r="R2922" s="3"/>
      <c r="S2922" s="3"/>
      <c r="T2922" s="3"/>
      <c r="U2922" s="3"/>
    </row>
    <row r="2923" spans="2:21" x14ac:dyDescent="0.25">
      <c r="B2923" s="2"/>
      <c r="C2923" s="2"/>
      <c r="D2923" s="4"/>
      <c r="E2923" s="4"/>
      <c r="F2923" s="4"/>
      <c r="Q2923" s="3"/>
      <c r="R2923" s="3"/>
      <c r="S2923" s="3"/>
      <c r="T2923" s="3"/>
      <c r="U2923" s="3"/>
    </row>
    <row r="2924" spans="2:21" x14ac:dyDescent="0.25">
      <c r="B2924" s="2"/>
      <c r="C2924" s="2"/>
      <c r="D2924" s="4"/>
      <c r="E2924" s="4"/>
      <c r="F2924" s="4"/>
      <c r="Q2924" s="3"/>
      <c r="R2924" s="3"/>
      <c r="S2924" s="3"/>
      <c r="T2924" s="3"/>
      <c r="U2924" s="3"/>
    </row>
    <row r="2925" spans="2:21" x14ac:dyDescent="0.25">
      <c r="B2925" s="2"/>
      <c r="C2925" s="2"/>
      <c r="D2925" s="4"/>
      <c r="E2925" s="4"/>
      <c r="F2925" s="4"/>
      <c r="Q2925" s="3"/>
      <c r="R2925" s="3"/>
      <c r="S2925" s="3"/>
      <c r="T2925" s="3"/>
      <c r="U2925" s="3"/>
    </row>
    <row r="2926" spans="2:21" x14ac:dyDescent="0.25">
      <c r="B2926" s="2"/>
      <c r="C2926" s="2"/>
      <c r="D2926" s="4"/>
      <c r="E2926" s="4"/>
      <c r="F2926" s="4"/>
      <c r="Q2926" s="3"/>
      <c r="R2926" s="3"/>
      <c r="S2926" s="3"/>
      <c r="T2926" s="3"/>
      <c r="U2926" s="3"/>
    </row>
    <row r="2927" spans="2:21" x14ac:dyDescent="0.25">
      <c r="B2927" s="2"/>
      <c r="C2927" s="2"/>
      <c r="D2927" s="4"/>
      <c r="E2927" s="4"/>
      <c r="F2927" s="4"/>
      <c r="Q2927" s="3"/>
      <c r="R2927" s="3"/>
      <c r="S2927" s="3"/>
      <c r="T2927" s="3"/>
      <c r="U2927" s="3"/>
    </row>
    <row r="2928" spans="2:21" x14ac:dyDescent="0.25">
      <c r="B2928" s="2"/>
      <c r="C2928" s="2"/>
      <c r="D2928" s="4"/>
      <c r="E2928" s="4"/>
      <c r="F2928" s="4"/>
      <c r="Q2928" s="3"/>
      <c r="R2928" s="3"/>
      <c r="S2928" s="3"/>
      <c r="T2928" s="3"/>
      <c r="U2928" s="3"/>
    </row>
    <row r="2929" spans="2:21" x14ac:dyDescent="0.25">
      <c r="B2929" s="2"/>
      <c r="C2929" s="2"/>
      <c r="D2929" s="4"/>
      <c r="E2929" s="4"/>
      <c r="F2929" s="4"/>
      <c r="Q2929" s="3"/>
      <c r="R2929" s="3"/>
      <c r="S2929" s="3"/>
      <c r="T2929" s="3"/>
      <c r="U2929" s="3"/>
    </row>
    <row r="2930" spans="2:21" x14ac:dyDescent="0.25">
      <c r="B2930" s="2"/>
      <c r="C2930" s="2"/>
      <c r="D2930" s="4"/>
      <c r="E2930" s="4"/>
      <c r="F2930" s="4"/>
      <c r="Q2930" s="3"/>
      <c r="R2930" s="3"/>
      <c r="S2930" s="3"/>
      <c r="T2930" s="3"/>
      <c r="U2930" s="3"/>
    </row>
    <row r="2931" spans="2:21" x14ac:dyDescent="0.25">
      <c r="B2931" s="2"/>
      <c r="C2931" s="2"/>
      <c r="D2931" s="4"/>
      <c r="E2931" s="4"/>
      <c r="F2931" s="4"/>
      <c r="Q2931" s="3"/>
      <c r="R2931" s="3"/>
      <c r="S2931" s="3"/>
      <c r="T2931" s="3"/>
      <c r="U2931" s="3"/>
    </row>
    <row r="2932" spans="2:21" x14ac:dyDescent="0.25">
      <c r="B2932" s="2"/>
      <c r="C2932" s="2"/>
      <c r="D2932" s="4"/>
      <c r="E2932" s="4"/>
      <c r="F2932" s="4"/>
      <c r="Q2932" s="3"/>
      <c r="R2932" s="3"/>
      <c r="S2932" s="3"/>
      <c r="T2932" s="3"/>
      <c r="U2932" s="3"/>
    </row>
    <row r="2933" spans="2:21" x14ac:dyDescent="0.25">
      <c r="B2933" s="2"/>
      <c r="C2933" s="2"/>
      <c r="D2933" s="4"/>
      <c r="E2933" s="4"/>
      <c r="F2933" s="4"/>
      <c r="Q2933" s="3"/>
      <c r="R2933" s="3"/>
      <c r="S2933" s="3"/>
      <c r="T2933" s="3"/>
      <c r="U2933" s="3"/>
    </row>
    <row r="2934" spans="2:21" x14ac:dyDescent="0.25">
      <c r="B2934" s="2"/>
      <c r="C2934" s="2"/>
      <c r="D2934" s="4"/>
      <c r="E2934" s="4"/>
      <c r="F2934" s="4"/>
      <c r="Q2934" s="3"/>
      <c r="R2934" s="3"/>
      <c r="S2934" s="3"/>
      <c r="T2934" s="3"/>
      <c r="U2934" s="3"/>
    </row>
    <row r="2935" spans="2:21" x14ac:dyDescent="0.25">
      <c r="B2935" s="2"/>
      <c r="C2935" s="2"/>
      <c r="D2935" s="4"/>
      <c r="E2935" s="4"/>
      <c r="F2935" s="4"/>
      <c r="Q2935" s="3"/>
      <c r="R2935" s="3"/>
      <c r="S2935" s="3"/>
      <c r="T2935" s="3"/>
      <c r="U2935" s="3"/>
    </row>
    <row r="2936" spans="2:21" x14ac:dyDescent="0.25">
      <c r="B2936" s="2"/>
      <c r="C2936" s="2"/>
      <c r="D2936" s="4"/>
      <c r="E2936" s="4"/>
      <c r="F2936" s="4"/>
      <c r="Q2936" s="3"/>
      <c r="R2936" s="3"/>
      <c r="S2936" s="3"/>
      <c r="T2936" s="3"/>
      <c r="U2936" s="3"/>
    </row>
    <row r="2937" spans="2:21" x14ac:dyDescent="0.25">
      <c r="B2937" s="2"/>
      <c r="C2937" s="2"/>
      <c r="D2937" s="4"/>
      <c r="E2937" s="4"/>
      <c r="F2937" s="4"/>
      <c r="Q2937" s="3"/>
      <c r="R2937" s="3"/>
      <c r="S2937" s="3"/>
      <c r="T2937" s="3"/>
      <c r="U2937" s="3"/>
    </row>
    <row r="2938" spans="2:21" x14ac:dyDescent="0.25">
      <c r="B2938" s="2"/>
      <c r="C2938" s="2"/>
      <c r="D2938" s="4"/>
      <c r="E2938" s="4"/>
      <c r="F2938" s="4"/>
      <c r="Q2938" s="3"/>
      <c r="R2938" s="3"/>
      <c r="S2938" s="3"/>
      <c r="T2938" s="3"/>
      <c r="U2938" s="3"/>
    </row>
    <row r="2939" spans="2:21" x14ac:dyDescent="0.25">
      <c r="B2939" s="2"/>
      <c r="C2939" s="2"/>
      <c r="D2939" s="4"/>
      <c r="E2939" s="4"/>
      <c r="F2939" s="4"/>
      <c r="Q2939" s="3"/>
      <c r="R2939" s="3"/>
      <c r="S2939" s="3"/>
      <c r="T2939" s="3"/>
      <c r="U2939" s="3"/>
    </row>
    <row r="2940" spans="2:21" x14ac:dyDescent="0.25">
      <c r="B2940" s="2"/>
      <c r="C2940" s="2"/>
      <c r="D2940" s="4"/>
      <c r="E2940" s="4"/>
      <c r="F2940" s="4"/>
      <c r="Q2940" s="3"/>
      <c r="R2940" s="3"/>
      <c r="S2940" s="3"/>
      <c r="T2940" s="3"/>
      <c r="U2940" s="3"/>
    </row>
    <row r="2941" spans="2:21" x14ac:dyDescent="0.25">
      <c r="B2941" s="2"/>
      <c r="C2941" s="2"/>
      <c r="D2941" s="4"/>
      <c r="E2941" s="4"/>
      <c r="F2941" s="4"/>
      <c r="Q2941" s="3"/>
      <c r="R2941" s="3"/>
      <c r="S2941" s="3"/>
      <c r="T2941" s="3"/>
      <c r="U2941" s="3"/>
    </row>
    <row r="2942" spans="2:21" x14ac:dyDescent="0.25">
      <c r="B2942" s="2"/>
      <c r="C2942" s="2"/>
      <c r="D2942" s="4"/>
      <c r="E2942" s="4"/>
      <c r="F2942" s="4"/>
      <c r="Q2942" s="3"/>
      <c r="R2942" s="3"/>
      <c r="S2942" s="3"/>
      <c r="T2942" s="3"/>
      <c r="U2942" s="3"/>
    </row>
    <row r="2943" spans="2:21" x14ac:dyDescent="0.25">
      <c r="B2943" s="2"/>
      <c r="C2943" s="2"/>
      <c r="D2943" s="4"/>
      <c r="E2943" s="4"/>
      <c r="F2943" s="4"/>
      <c r="Q2943" s="3"/>
      <c r="R2943" s="3"/>
      <c r="S2943" s="3"/>
      <c r="T2943" s="3"/>
      <c r="U2943" s="3"/>
    </row>
    <row r="2944" spans="2:21" x14ac:dyDescent="0.25">
      <c r="B2944" s="2"/>
      <c r="C2944" s="2"/>
      <c r="D2944" s="4"/>
      <c r="E2944" s="4"/>
      <c r="F2944" s="4"/>
      <c r="Q2944" s="3"/>
      <c r="R2944" s="3"/>
      <c r="S2944" s="3"/>
      <c r="T2944" s="3"/>
      <c r="U2944" s="3"/>
    </row>
    <row r="2945" spans="2:21" x14ac:dyDescent="0.25">
      <c r="B2945" s="2"/>
      <c r="C2945" s="2"/>
      <c r="D2945" s="4"/>
      <c r="E2945" s="4"/>
      <c r="F2945" s="4"/>
      <c r="Q2945" s="3"/>
      <c r="R2945" s="3"/>
      <c r="S2945" s="3"/>
      <c r="T2945" s="3"/>
      <c r="U2945" s="3"/>
    </row>
    <row r="2946" spans="2:21" x14ac:dyDescent="0.25">
      <c r="B2946" s="2"/>
      <c r="C2946" s="2"/>
      <c r="D2946" s="4"/>
      <c r="E2946" s="4"/>
      <c r="F2946" s="4"/>
      <c r="Q2946" s="3"/>
      <c r="R2946" s="3"/>
      <c r="S2946" s="3"/>
      <c r="T2946" s="3"/>
      <c r="U2946" s="3"/>
    </row>
    <row r="2947" spans="2:21" x14ac:dyDescent="0.25">
      <c r="B2947" s="2"/>
      <c r="C2947" s="2"/>
      <c r="D2947" s="4"/>
      <c r="E2947" s="4"/>
      <c r="F2947" s="4"/>
      <c r="Q2947" s="3"/>
      <c r="R2947" s="3"/>
      <c r="S2947" s="3"/>
      <c r="T2947" s="3"/>
      <c r="U2947" s="3"/>
    </row>
    <row r="2948" spans="2:21" x14ac:dyDescent="0.25">
      <c r="B2948" s="2"/>
      <c r="C2948" s="2"/>
      <c r="D2948" s="4"/>
      <c r="E2948" s="4"/>
      <c r="F2948" s="4"/>
      <c r="Q2948" s="3"/>
      <c r="R2948" s="3"/>
      <c r="S2948" s="3"/>
      <c r="T2948" s="3"/>
      <c r="U2948" s="3"/>
    </row>
    <row r="2949" spans="2:21" x14ac:dyDescent="0.25">
      <c r="B2949" s="2"/>
      <c r="C2949" s="2"/>
      <c r="D2949" s="4"/>
      <c r="E2949" s="4"/>
      <c r="F2949" s="4"/>
      <c r="Q2949" s="3"/>
      <c r="R2949" s="3"/>
      <c r="S2949" s="3"/>
      <c r="T2949" s="3"/>
      <c r="U2949" s="3"/>
    </row>
    <row r="2950" spans="2:21" x14ac:dyDescent="0.25">
      <c r="B2950" s="2"/>
      <c r="C2950" s="2"/>
      <c r="D2950" s="4"/>
      <c r="E2950" s="4"/>
      <c r="F2950" s="4"/>
      <c r="Q2950" s="3"/>
      <c r="R2950" s="3"/>
      <c r="S2950" s="3"/>
      <c r="T2950" s="3"/>
      <c r="U2950" s="3"/>
    </row>
    <row r="2951" spans="2:21" x14ac:dyDescent="0.25">
      <c r="B2951" s="2"/>
      <c r="C2951" s="2"/>
      <c r="D2951" s="4"/>
      <c r="E2951" s="4"/>
      <c r="F2951" s="4"/>
      <c r="Q2951" s="3"/>
      <c r="R2951" s="3"/>
      <c r="S2951" s="3"/>
      <c r="T2951" s="3"/>
      <c r="U2951" s="3"/>
    </row>
    <row r="2952" spans="2:21" x14ac:dyDescent="0.25">
      <c r="B2952" s="2"/>
      <c r="C2952" s="2"/>
      <c r="D2952" s="4"/>
      <c r="E2952" s="4"/>
      <c r="F2952" s="4"/>
      <c r="Q2952" s="3"/>
      <c r="R2952" s="3"/>
      <c r="S2952" s="3"/>
      <c r="T2952" s="3"/>
      <c r="U2952" s="3"/>
    </row>
    <row r="2953" spans="2:21" x14ac:dyDescent="0.25">
      <c r="B2953" s="2"/>
      <c r="C2953" s="2"/>
      <c r="D2953" s="4"/>
      <c r="E2953" s="4"/>
      <c r="F2953" s="4"/>
      <c r="Q2953" s="3"/>
      <c r="R2953" s="3"/>
      <c r="S2953" s="3"/>
      <c r="T2953" s="3"/>
      <c r="U2953" s="3"/>
    </row>
    <row r="2954" spans="2:21" x14ac:dyDescent="0.25">
      <c r="B2954" s="2"/>
      <c r="C2954" s="2"/>
      <c r="D2954" s="4"/>
      <c r="E2954" s="4"/>
      <c r="F2954" s="4"/>
      <c r="Q2954" s="3"/>
      <c r="R2954" s="3"/>
      <c r="S2954" s="3"/>
      <c r="T2954" s="3"/>
      <c r="U2954" s="3"/>
    </row>
    <row r="2955" spans="2:21" x14ac:dyDescent="0.25">
      <c r="B2955" s="2"/>
      <c r="C2955" s="2"/>
      <c r="D2955" s="4"/>
      <c r="E2955" s="4"/>
      <c r="F2955" s="4"/>
      <c r="Q2955" s="3"/>
      <c r="R2955" s="3"/>
      <c r="S2955" s="3"/>
      <c r="T2955" s="3"/>
      <c r="U2955" s="3"/>
    </row>
    <row r="2956" spans="2:21" x14ac:dyDescent="0.25">
      <c r="B2956" s="2"/>
      <c r="C2956" s="2"/>
      <c r="D2956" s="4"/>
      <c r="E2956" s="4"/>
      <c r="F2956" s="4"/>
      <c r="Q2956" s="3"/>
      <c r="R2956" s="3"/>
      <c r="S2956" s="3"/>
      <c r="T2956" s="3"/>
      <c r="U2956" s="3"/>
    </row>
    <row r="2957" spans="2:21" x14ac:dyDescent="0.25">
      <c r="B2957" s="2"/>
      <c r="C2957" s="2"/>
      <c r="D2957" s="4"/>
      <c r="E2957" s="4"/>
      <c r="F2957" s="4"/>
      <c r="Q2957" s="3"/>
      <c r="R2957" s="3"/>
      <c r="S2957" s="3"/>
      <c r="T2957" s="3"/>
      <c r="U2957" s="3"/>
    </row>
    <row r="2958" spans="2:21" x14ac:dyDescent="0.25">
      <c r="B2958" s="2"/>
      <c r="C2958" s="2"/>
      <c r="D2958" s="4"/>
      <c r="E2958" s="4"/>
      <c r="F2958" s="4"/>
      <c r="Q2958" s="3"/>
      <c r="R2958" s="3"/>
      <c r="S2958" s="3"/>
      <c r="T2958" s="3"/>
      <c r="U2958" s="3"/>
    </row>
    <row r="2959" spans="2:21" x14ac:dyDescent="0.25">
      <c r="B2959" s="2"/>
      <c r="C2959" s="2"/>
      <c r="D2959" s="4"/>
      <c r="E2959" s="4"/>
      <c r="F2959" s="4"/>
      <c r="Q2959" s="3"/>
      <c r="R2959" s="3"/>
      <c r="S2959" s="3"/>
      <c r="T2959" s="3"/>
      <c r="U2959" s="3"/>
    </row>
    <row r="2960" spans="2:21" x14ac:dyDescent="0.25">
      <c r="B2960" s="2"/>
      <c r="C2960" s="2"/>
      <c r="D2960" s="4"/>
      <c r="E2960" s="4"/>
      <c r="F2960" s="4"/>
      <c r="Q2960" s="3"/>
      <c r="R2960" s="3"/>
      <c r="S2960" s="3"/>
      <c r="T2960" s="3"/>
      <c r="U2960" s="3"/>
    </row>
    <row r="2961" spans="2:21" x14ac:dyDescent="0.25">
      <c r="B2961" s="2"/>
      <c r="C2961" s="2"/>
      <c r="D2961" s="4"/>
      <c r="E2961" s="4"/>
      <c r="F2961" s="4"/>
      <c r="Q2961" s="3"/>
      <c r="R2961" s="3"/>
      <c r="S2961" s="3"/>
      <c r="T2961" s="3"/>
      <c r="U2961" s="3"/>
    </row>
    <row r="2962" spans="2:21" x14ac:dyDescent="0.25">
      <c r="B2962" s="2"/>
      <c r="C2962" s="2"/>
      <c r="D2962" s="4"/>
      <c r="E2962" s="4"/>
      <c r="F2962" s="4"/>
      <c r="Q2962" s="3"/>
      <c r="R2962" s="3"/>
      <c r="S2962" s="3"/>
      <c r="T2962" s="3"/>
      <c r="U2962" s="3"/>
    </row>
    <row r="2963" spans="2:21" x14ac:dyDescent="0.25">
      <c r="B2963" s="2"/>
      <c r="C2963" s="2"/>
      <c r="D2963" s="4"/>
      <c r="E2963" s="4"/>
      <c r="F2963" s="4"/>
      <c r="Q2963" s="3"/>
      <c r="R2963" s="3"/>
      <c r="S2963" s="3"/>
      <c r="T2963" s="3"/>
      <c r="U2963" s="3"/>
    </row>
    <row r="2964" spans="2:21" x14ac:dyDescent="0.25">
      <c r="B2964" s="2"/>
      <c r="C2964" s="2"/>
      <c r="D2964" s="4"/>
      <c r="E2964" s="4"/>
      <c r="F2964" s="4"/>
      <c r="Q2964" s="3"/>
      <c r="R2964" s="3"/>
      <c r="S2964" s="3"/>
      <c r="T2964" s="3"/>
      <c r="U2964" s="3"/>
    </row>
    <row r="2965" spans="2:21" x14ac:dyDescent="0.25">
      <c r="B2965" s="2"/>
      <c r="C2965" s="2"/>
      <c r="D2965" s="4"/>
      <c r="E2965" s="4"/>
      <c r="F2965" s="4"/>
      <c r="Q2965" s="3"/>
      <c r="R2965" s="3"/>
      <c r="S2965" s="3"/>
      <c r="T2965" s="3"/>
      <c r="U2965" s="3"/>
    </row>
    <row r="2966" spans="2:21" x14ac:dyDescent="0.25">
      <c r="B2966" s="2"/>
      <c r="C2966" s="2"/>
      <c r="D2966" s="4"/>
      <c r="E2966" s="4"/>
      <c r="F2966" s="4"/>
      <c r="Q2966" s="3"/>
      <c r="R2966" s="3"/>
      <c r="S2966" s="3"/>
      <c r="T2966" s="3"/>
      <c r="U2966" s="3"/>
    </row>
    <row r="2967" spans="2:21" x14ac:dyDescent="0.25">
      <c r="B2967" s="2"/>
      <c r="C2967" s="2"/>
      <c r="D2967" s="4"/>
      <c r="E2967" s="4"/>
      <c r="F2967" s="4"/>
      <c r="Q2967" s="3"/>
      <c r="R2967" s="3"/>
      <c r="S2967" s="3"/>
      <c r="T2967" s="3"/>
      <c r="U2967" s="3"/>
    </row>
    <row r="2968" spans="2:21" x14ac:dyDescent="0.25">
      <c r="B2968" s="2"/>
      <c r="C2968" s="2"/>
      <c r="D2968" s="4"/>
      <c r="E2968" s="4"/>
      <c r="F2968" s="4"/>
      <c r="Q2968" s="3"/>
      <c r="R2968" s="3"/>
      <c r="S2968" s="3"/>
      <c r="T2968" s="3"/>
      <c r="U2968" s="3"/>
    </row>
    <row r="2969" spans="2:21" x14ac:dyDescent="0.25">
      <c r="B2969" s="2"/>
      <c r="C2969" s="2"/>
      <c r="D2969" s="4"/>
      <c r="E2969" s="4"/>
      <c r="F2969" s="4"/>
      <c r="Q2969" s="3"/>
      <c r="R2969" s="3"/>
      <c r="S2969" s="3"/>
      <c r="T2969" s="3"/>
      <c r="U2969" s="3"/>
    </row>
    <row r="2970" spans="2:21" x14ac:dyDescent="0.25">
      <c r="B2970" s="2"/>
      <c r="C2970" s="2"/>
      <c r="D2970" s="4"/>
      <c r="E2970" s="4"/>
      <c r="F2970" s="4"/>
      <c r="Q2970" s="3"/>
      <c r="R2970" s="3"/>
      <c r="S2970" s="3"/>
      <c r="T2970" s="3"/>
      <c r="U2970" s="3"/>
    </row>
    <row r="2971" spans="2:21" x14ac:dyDescent="0.25">
      <c r="B2971" s="2"/>
      <c r="C2971" s="2"/>
      <c r="D2971" s="4"/>
      <c r="E2971" s="4"/>
      <c r="F2971" s="4"/>
      <c r="Q2971" s="3"/>
      <c r="R2971" s="3"/>
      <c r="S2971" s="3"/>
      <c r="T2971" s="3"/>
      <c r="U2971" s="3"/>
    </row>
    <row r="2972" spans="2:21" x14ac:dyDescent="0.25">
      <c r="B2972" s="2"/>
      <c r="C2972" s="2"/>
      <c r="D2972" s="4"/>
      <c r="E2972" s="4"/>
      <c r="F2972" s="4"/>
      <c r="Q2972" s="3"/>
      <c r="R2972" s="3"/>
      <c r="S2972" s="3"/>
      <c r="T2972" s="3"/>
      <c r="U2972" s="3"/>
    </row>
    <row r="2973" spans="2:21" x14ac:dyDescent="0.25">
      <c r="B2973" s="2"/>
      <c r="C2973" s="2"/>
      <c r="D2973" s="4"/>
      <c r="E2973" s="4"/>
      <c r="F2973" s="4"/>
      <c r="Q2973" s="3"/>
      <c r="R2973" s="3"/>
      <c r="S2973" s="3"/>
      <c r="T2973" s="3"/>
      <c r="U2973" s="3"/>
    </row>
    <row r="2974" spans="2:21" x14ac:dyDescent="0.25">
      <c r="B2974" s="2"/>
      <c r="C2974" s="2"/>
      <c r="D2974" s="4"/>
      <c r="E2974" s="4"/>
      <c r="F2974" s="4"/>
      <c r="Q2974" s="3"/>
      <c r="R2974" s="3"/>
      <c r="S2974" s="3"/>
      <c r="T2974" s="3"/>
      <c r="U2974" s="3"/>
    </row>
    <row r="2975" spans="2:21" x14ac:dyDescent="0.25">
      <c r="B2975" s="2"/>
      <c r="C2975" s="2"/>
      <c r="D2975" s="4"/>
      <c r="E2975" s="4"/>
      <c r="F2975" s="4"/>
      <c r="Q2975" s="3"/>
      <c r="R2975" s="3"/>
      <c r="S2975" s="3"/>
      <c r="T2975" s="3"/>
      <c r="U2975" s="3"/>
    </row>
    <row r="2976" spans="2:21" x14ac:dyDescent="0.25">
      <c r="B2976" s="2"/>
      <c r="C2976" s="2"/>
      <c r="D2976" s="4"/>
      <c r="E2976" s="4"/>
      <c r="F2976" s="4"/>
      <c r="Q2976" s="3"/>
      <c r="R2976" s="3"/>
      <c r="S2976" s="3"/>
      <c r="T2976" s="3"/>
      <c r="U2976" s="3"/>
    </row>
    <row r="2977" spans="2:21" x14ac:dyDescent="0.25">
      <c r="B2977" s="2"/>
      <c r="C2977" s="2"/>
      <c r="D2977" s="4"/>
      <c r="E2977" s="4"/>
      <c r="F2977" s="4"/>
      <c r="Q2977" s="3"/>
      <c r="R2977" s="3"/>
      <c r="S2977" s="3"/>
      <c r="T2977" s="3"/>
      <c r="U2977" s="3"/>
    </row>
    <row r="2978" spans="2:21" x14ac:dyDescent="0.25">
      <c r="B2978" s="2"/>
      <c r="C2978" s="2"/>
      <c r="D2978" s="4"/>
      <c r="E2978" s="4"/>
      <c r="F2978" s="4"/>
      <c r="Q2978" s="3"/>
      <c r="R2978" s="3"/>
      <c r="S2978" s="3"/>
      <c r="T2978" s="3"/>
      <c r="U2978" s="3"/>
    </row>
    <row r="2979" spans="2:21" x14ac:dyDescent="0.25">
      <c r="B2979" s="2"/>
      <c r="C2979" s="2"/>
      <c r="D2979" s="4"/>
      <c r="E2979" s="4"/>
      <c r="F2979" s="4"/>
      <c r="Q2979" s="3"/>
      <c r="R2979" s="3"/>
      <c r="S2979" s="3"/>
      <c r="T2979" s="3"/>
      <c r="U2979" s="3"/>
    </row>
    <row r="2980" spans="2:21" x14ac:dyDescent="0.25">
      <c r="B2980" s="2"/>
      <c r="C2980" s="2"/>
      <c r="D2980" s="4"/>
      <c r="E2980" s="4"/>
      <c r="F2980" s="4"/>
      <c r="Q2980" s="3"/>
      <c r="R2980" s="3"/>
      <c r="S2980" s="3"/>
      <c r="T2980" s="3"/>
      <c r="U2980" s="3"/>
    </row>
    <row r="2981" spans="2:21" x14ac:dyDescent="0.25">
      <c r="B2981" s="2"/>
      <c r="C2981" s="2"/>
      <c r="D2981" s="4"/>
      <c r="E2981" s="4"/>
      <c r="F2981" s="4"/>
      <c r="Q2981" s="3"/>
      <c r="R2981" s="3"/>
      <c r="S2981" s="3"/>
      <c r="T2981" s="3"/>
      <c r="U2981" s="3"/>
    </row>
    <row r="2982" spans="2:21" x14ac:dyDescent="0.25">
      <c r="B2982" s="2"/>
      <c r="C2982" s="2"/>
      <c r="D2982" s="4"/>
      <c r="E2982" s="4"/>
      <c r="F2982" s="4"/>
      <c r="Q2982" s="3"/>
      <c r="R2982" s="3"/>
      <c r="S2982" s="3"/>
      <c r="T2982" s="3"/>
      <c r="U2982" s="3"/>
    </row>
    <row r="2983" spans="2:21" x14ac:dyDescent="0.25">
      <c r="B2983" s="2"/>
      <c r="C2983" s="2"/>
      <c r="D2983" s="4"/>
      <c r="E2983" s="4"/>
      <c r="F2983" s="4"/>
      <c r="Q2983" s="3"/>
      <c r="R2983" s="3"/>
      <c r="S2983" s="3"/>
      <c r="T2983" s="3"/>
      <c r="U2983" s="3"/>
    </row>
    <row r="2984" spans="2:21" x14ac:dyDescent="0.25">
      <c r="B2984" s="2"/>
      <c r="C2984" s="2"/>
      <c r="D2984" s="4"/>
      <c r="E2984" s="4"/>
      <c r="F2984" s="4"/>
      <c r="Q2984" s="3"/>
      <c r="R2984" s="3"/>
      <c r="S2984" s="3"/>
      <c r="T2984" s="3"/>
      <c r="U2984" s="3"/>
    </row>
    <row r="2985" spans="2:21" x14ac:dyDescent="0.25">
      <c r="B2985" s="2"/>
      <c r="C2985" s="2"/>
      <c r="D2985" s="4"/>
      <c r="E2985" s="4"/>
      <c r="F2985" s="4"/>
      <c r="Q2985" s="3"/>
      <c r="R2985" s="3"/>
      <c r="S2985" s="3"/>
      <c r="T2985" s="3"/>
      <c r="U2985" s="3"/>
    </row>
    <row r="2986" spans="2:21" x14ac:dyDescent="0.25">
      <c r="B2986" s="2"/>
      <c r="C2986" s="2"/>
      <c r="D2986" s="4"/>
      <c r="E2986" s="4"/>
      <c r="F2986" s="4"/>
      <c r="Q2986" s="3"/>
      <c r="R2986" s="3"/>
      <c r="S2986" s="3"/>
      <c r="T2986" s="3"/>
      <c r="U2986" s="3"/>
    </row>
    <row r="2987" spans="2:21" x14ac:dyDescent="0.25">
      <c r="B2987" s="2"/>
      <c r="C2987" s="2"/>
      <c r="D2987" s="4"/>
      <c r="E2987" s="4"/>
      <c r="F2987" s="4"/>
      <c r="Q2987" s="3"/>
      <c r="R2987" s="3"/>
      <c r="S2987" s="3"/>
      <c r="T2987" s="3"/>
      <c r="U2987" s="3"/>
    </row>
    <row r="2988" spans="2:21" x14ac:dyDescent="0.25">
      <c r="B2988" s="2"/>
      <c r="C2988" s="2"/>
      <c r="D2988" s="4"/>
      <c r="E2988" s="4"/>
      <c r="F2988" s="4"/>
      <c r="Q2988" s="3"/>
      <c r="R2988" s="3"/>
      <c r="S2988" s="3"/>
      <c r="T2988" s="3"/>
      <c r="U2988" s="3"/>
    </row>
    <row r="2989" spans="2:21" x14ac:dyDescent="0.25">
      <c r="B2989" s="2"/>
      <c r="C2989" s="2"/>
      <c r="D2989" s="4"/>
      <c r="E2989" s="4"/>
      <c r="F2989" s="4"/>
      <c r="Q2989" s="3"/>
      <c r="R2989" s="3"/>
      <c r="S2989" s="3"/>
      <c r="T2989" s="3"/>
      <c r="U2989" s="3"/>
    </row>
    <row r="2990" spans="2:21" x14ac:dyDescent="0.25">
      <c r="B2990" s="2"/>
      <c r="C2990" s="2"/>
      <c r="D2990" s="4"/>
      <c r="E2990" s="4"/>
      <c r="F2990" s="4"/>
      <c r="Q2990" s="3"/>
      <c r="R2990" s="3"/>
      <c r="S2990" s="3"/>
      <c r="T2990" s="3"/>
      <c r="U2990" s="3"/>
    </row>
    <row r="2991" spans="2:21" x14ac:dyDescent="0.25">
      <c r="B2991" s="2"/>
      <c r="C2991" s="2"/>
      <c r="D2991" s="4"/>
      <c r="E2991" s="4"/>
      <c r="F2991" s="4"/>
      <c r="Q2991" s="3"/>
      <c r="R2991" s="3"/>
      <c r="S2991" s="3"/>
      <c r="T2991" s="3"/>
      <c r="U2991" s="3"/>
    </row>
    <row r="2992" spans="2:21" x14ac:dyDescent="0.25">
      <c r="B2992" s="2"/>
      <c r="C2992" s="2"/>
      <c r="D2992" s="4"/>
      <c r="E2992" s="4"/>
      <c r="F2992" s="4"/>
      <c r="Q2992" s="3"/>
      <c r="R2992" s="3"/>
      <c r="S2992" s="3"/>
      <c r="T2992" s="3"/>
      <c r="U2992" s="3"/>
    </row>
    <row r="2993" spans="2:21" x14ac:dyDescent="0.25">
      <c r="B2993" s="2"/>
      <c r="C2993" s="2"/>
      <c r="D2993" s="4"/>
      <c r="E2993" s="4"/>
      <c r="F2993" s="4"/>
      <c r="Q2993" s="3"/>
      <c r="R2993" s="3"/>
      <c r="S2993" s="3"/>
      <c r="T2993" s="3"/>
      <c r="U2993" s="3"/>
    </row>
    <row r="2994" spans="2:21" x14ac:dyDescent="0.25">
      <c r="B2994" s="2"/>
      <c r="C2994" s="2"/>
      <c r="D2994" s="4"/>
      <c r="E2994" s="4"/>
      <c r="F2994" s="4"/>
      <c r="Q2994" s="3"/>
      <c r="R2994" s="3"/>
      <c r="S2994" s="3"/>
      <c r="T2994" s="3"/>
      <c r="U2994" s="3"/>
    </row>
    <row r="2995" spans="2:21" x14ac:dyDescent="0.25">
      <c r="B2995" s="2"/>
      <c r="C2995" s="2"/>
      <c r="D2995" s="4"/>
      <c r="E2995" s="4"/>
      <c r="F2995" s="4"/>
      <c r="Q2995" s="3"/>
      <c r="R2995" s="3"/>
      <c r="S2995" s="3"/>
      <c r="T2995" s="3"/>
      <c r="U2995" s="3"/>
    </row>
    <row r="2996" spans="2:21" x14ac:dyDescent="0.25">
      <c r="B2996" s="2"/>
      <c r="C2996" s="2"/>
      <c r="D2996" s="4"/>
      <c r="E2996" s="4"/>
      <c r="F2996" s="4"/>
      <c r="Q2996" s="3"/>
      <c r="R2996" s="3"/>
      <c r="S2996" s="3"/>
      <c r="T2996" s="3"/>
      <c r="U2996" s="3"/>
    </row>
    <row r="2997" spans="2:21" x14ac:dyDescent="0.25">
      <c r="B2997" s="2"/>
      <c r="C2997" s="2"/>
      <c r="D2997" s="4"/>
      <c r="E2997" s="4"/>
      <c r="F2997" s="4"/>
      <c r="Q2997" s="3"/>
      <c r="R2997" s="3"/>
      <c r="S2997" s="3"/>
      <c r="T2997" s="3"/>
      <c r="U2997" s="3"/>
    </row>
    <row r="2998" spans="2:21" x14ac:dyDescent="0.25">
      <c r="B2998" s="2"/>
      <c r="C2998" s="2"/>
      <c r="D2998" s="4"/>
      <c r="E2998" s="4"/>
      <c r="F2998" s="4"/>
      <c r="Q2998" s="3"/>
      <c r="R2998" s="3"/>
      <c r="S2998" s="3"/>
      <c r="T2998" s="3"/>
      <c r="U2998" s="3"/>
    </row>
    <row r="2999" spans="2:21" x14ac:dyDescent="0.25">
      <c r="B2999" s="2"/>
      <c r="C2999" s="2"/>
      <c r="D2999" s="4"/>
      <c r="E2999" s="4"/>
      <c r="F2999" s="4"/>
      <c r="Q2999" s="3"/>
      <c r="R2999" s="3"/>
      <c r="S2999" s="3"/>
      <c r="T2999" s="3"/>
      <c r="U2999" s="3"/>
    </row>
    <row r="3000" spans="2:21" x14ac:dyDescent="0.25">
      <c r="B3000" s="2"/>
      <c r="C3000" s="2"/>
      <c r="D3000" s="4"/>
      <c r="E3000" s="4"/>
      <c r="F3000" s="4"/>
      <c r="Q3000" s="3"/>
      <c r="R3000" s="3"/>
      <c r="S3000" s="3"/>
      <c r="T3000" s="3"/>
      <c r="U3000" s="3"/>
    </row>
    <row r="3001" spans="2:21" x14ac:dyDescent="0.25">
      <c r="B3001" s="2"/>
      <c r="C3001" s="2"/>
      <c r="D3001" s="4"/>
      <c r="E3001" s="4"/>
      <c r="F3001" s="4"/>
      <c r="Q3001" s="3"/>
      <c r="R3001" s="3"/>
      <c r="S3001" s="3"/>
      <c r="T3001" s="3"/>
      <c r="U3001" s="3"/>
    </row>
    <row r="3002" spans="2:21" x14ac:dyDescent="0.25">
      <c r="B3002" s="2"/>
      <c r="C3002" s="2"/>
      <c r="D3002" s="4"/>
      <c r="E3002" s="4"/>
      <c r="F3002" s="4"/>
      <c r="Q3002" s="3"/>
      <c r="R3002" s="3"/>
      <c r="S3002" s="3"/>
      <c r="T3002" s="3"/>
      <c r="U3002" s="3"/>
    </row>
    <row r="3003" spans="2:21" x14ac:dyDescent="0.25">
      <c r="B3003" s="2"/>
      <c r="C3003" s="2"/>
      <c r="D3003" s="4"/>
      <c r="E3003" s="4"/>
      <c r="F3003" s="4"/>
      <c r="Q3003" s="3"/>
      <c r="R3003" s="3"/>
      <c r="S3003" s="3"/>
      <c r="T3003" s="3"/>
      <c r="U3003" s="3"/>
    </row>
    <row r="3004" spans="2:21" x14ac:dyDescent="0.25">
      <c r="B3004" s="2"/>
      <c r="C3004" s="2"/>
      <c r="D3004" s="4"/>
      <c r="E3004" s="4"/>
      <c r="F3004" s="4"/>
      <c r="Q3004" s="3"/>
      <c r="R3004" s="3"/>
      <c r="S3004" s="3"/>
      <c r="T3004" s="3"/>
      <c r="U3004" s="3"/>
    </row>
    <row r="3005" spans="2:21" x14ac:dyDescent="0.25">
      <c r="B3005" s="2"/>
      <c r="C3005" s="2"/>
      <c r="D3005" s="4"/>
      <c r="E3005" s="4"/>
      <c r="F3005" s="4"/>
      <c r="Q3005" s="3"/>
      <c r="R3005" s="3"/>
      <c r="S3005" s="3"/>
      <c r="T3005" s="3"/>
      <c r="U3005" s="3"/>
    </row>
    <row r="3006" spans="2:21" x14ac:dyDescent="0.25">
      <c r="B3006" s="2"/>
      <c r="C3006" s="2"/>
      <c r="D3006" s="4"/>
      <c r="E3006" s="4"/>
      <c r="F3006" s="4"/>
      <c r="Q3006" s="3"/>
      <c r="R3006" s="3"/>
      <c r="S3006" s="3"/>
      <c r="T3006" s="3"/>
      <c r="U3006" s="3"/>
    </row>
    <row r="3007" spans="2:21" x14ac:dyDescent="0.25">
      <c r="B3007" s="2"/>
      <c r="C3007" s="2"/>
      <c r="D3007" s="4"/>
      <c r="E3007" s="4"/>
      <c r="F3007" s="4"/>
      <c r="Q3007" s="3"/>
      <c r="R3007" s="3"/>
      <c r="S3007" s="3"/>
      <c r="T3007" s="3"/>
      <c r="U3007" s="3"/>
    </row>
    <row r="3008" spans="2:21" x14ac:dyDescent="0.25">
      <c r="B3008" s="2"/>
      <c r="C3008" s="2"/>
      <c r="D3008" s="4"/>
      <c r="E3008" s="4"/>
      <c r="F3008" s="4"/>
      <c r="Q3008" s="3"/>
      <c r="R3008" s="3"/>
      <c r="S3008" s="3"/>
      <c r="T3008" s="3"/>
      <c r="U3008" s="3"/>
    </row>
    <row r="3009" spans="2:21" x14ac:dyDescent="0.25">
      <c r="B3009" s="2"/>
      <c r="C3009" s="2"/>
      <c r="D3009" s="4"/>
      <c r="E3009" s="4"/>
      <c r="F3009" s="4"/>
      <c r="Q3009" s="3"/>
      <c r="R3009" s="3"/>
      <c r="S3009" s="3"/>
      <c r="T3009" s="3"/>
      <c r="U3009" s="3"/>
    </row>
    <row r="3010" spans="2:21" x14ac:dyDescent="0.25">
      <c r="B3010" s="2"/>
      <c r="C3010" s="2"/>
      <c r="D3010" s="4"/>
      <c r="E3010" s="4"/>
      <c r="F3010" s="4"/>
      <c r="Q3010" s="3"/>
      <c r="R3010" s="3"/>
      <c r="S3010" s="3"/>
      <c r="T3010" s="3"/>
      <c r="U3010" s="3"/>
    </row>
    <row r="3011" spans="2:21" x14ac:dyDescent="0.25">
      <c r="B3011" s="2"/>
      <c r="C3011" s="2"/>
      <c r="D3011" s="4"/>
      <c r="E3011" s="4"/>
      <c r="F3011" s="4"/>
      <c r="Q3011" s="3"/>
      <c r="R3011" s="3"/>
      <c r="S3011" s="3"/>
      <c r="T3011" s="3"/>
      <c r="U3011" s="3"/>
    </row>
    <row r="3012" spans="2:21" x14ac:dyDescent="0.25">
      <c r="B3012" s="2"/>
      <c r="C3012" s="2"/>
      <c r="D3012" s="4"/>
      <c r="E3012" s="4"/>
      <c r="F3012" s="4"/>
      <c r="Q3012" s="3"/>
      <c r="R3012" s="3"/>
      <c r="S3012" s="3"/>
      <c r="T3012" s="3"/>
      <c r="U3012" s="3"/>
    </row>
    <row r="3013" spans="2:21" x14ac:dyDescent="0.25">
      <c r="B3013" s="2"/>
      <c r="C3013" s="2"/>
      <c r="D3013" s="4"/>
      <c r="E3013" s="4"/>
      <c r="F3013" s="4"/>
      <c r="Q3013" s="3"/>
      <c r="R3013" s="3"/>
      <c r="S3013" s="3"/>
      <c r="T3013" s="3"/>
      <c r="U3013" s="3"/>
    </row>
    <row r="3014" spans="2:21" x14ac:dyDescent="0.25">
      <c r="B3014" s="2"/>
      <c r="C3014" s="2"/>
      <c r="D3014" s="4"/>
      <c r="E3014" s="4"/>
      <c r="F3014" s="4"/>
      <c r="Q3014" s="3"/>
      <c r="R3014" s="3"/>
      <c r="S3014" s="3"/>
      <c r="T3014" s="3"/>
      <c r="U3014" s="3"/>
    </row>
    <row r="3015" spans="2:21" x14ac:dyDescent="0.25">
      <c r="B3015" s="2"/>
      <c r="C3015" s="2"/>
      <c r="D3015" s="4"/>
      <c r="E3015" s="4"/>
      <c r="F3015" s="4"/>
      <c r="Q3015" s="3"/>
      <c r="R3015" s="3"/>
      <c r="S3015" s="3"/>
      <c r="T3015" s="3"/>
      <c r="U3015" s="3"/>
    </row>
    <row r="3016" spans="2:21" x14ac:dyDescent="0.25">
      <c r="B3016" s="2"/>
      <c r="C3016" s="2"/>
      <c r="D3016" s="4"/>
      <c r="E3016" s="4"/>
      <c r="F3016" s="4"/>
      <c r="Q3016" s="3"/>
      <c r="R3016" s="3"/>
      <c r="S3016" s="3"/>
      <c r="T3016" s="3"/>
      <c r="U3016" s="3"/>
    </row>
    <row r="3017" spans="2:21" x14ac:dyDescent="0.25">
      <c r="B3017" s="2"/>
      <c r="C3017" s="2"/>
      <c r="D3017" s="4"/>
      <c r="E3017" s="4"/>
      <c r="F3017" s="4"/>
      <c r="Q3017" s="3"/>
      <c r="R3017" s="3"/>
      <c r="S3017" s="3"/>
      <c r="T3017" s="3"/>
      <c r="U3017" s="3"/>
    </row>
    <row r="3018" spans="2:21" x14ac:dyDescent="0.25">
      <c r="B3018" s="2"/>
      <c r="C3018" s="2"/>
      <c r="D3018" s="4"/>
      <c r="E3018" s="4"/>
      <c r="F3018" s="4"/>
      <c r="Q3018" s="3"/>
      <c r="R3018" s="3"/>
      <c r="S3018" s="3"/>
      <c r="T3018" s="3"/>
      <c r="U3018" s="3"/>
    </row>
    <row r="3019" spans="2:21" x14ac:dyDescent="0.25">
      <c r="B3019" s="2"/>
      <c r="C3019" s="2"/>
      <c r="D3019" s="4"/>
      <c r="E3019" s="4"/>
      <c r="F3019" s="4"/>
      <c r="Q3019" s="3"/>
      <c r="R3019" s="3"/>
      <c r="S3019" s="3"/>
      <c r="T3019" s="3"/>
      <c r="U3019" s="3"/>
    </row>
    <row r="3020" spans="2:21" x14ac:dyDescent="0.25">
      <c r="B3020" s="2"/>
      <c r="C3020" s="2"/>
      <c r="D3020" s="4"/>
      <c r="E3020" s="4"/>
      <c r="F3020" s="4"/>
      <c r="Q3020" s="3"/>
      <c r="R3020" s="3"/>
      <c r="S3020" s="3"/>
      <c r="T3020" s="3"/>
      <c r="U3020" s="3"/>
    </row>
    <row r="3021" spans="2:21" x14ac:dyDescent="0.25">
      <c r="B3021" s="2"/>
      <c r="C3021" s="2"/>
      <c r="D3021" s="4"/>
      <c r="E3021" s="4"/>
      <c r="F3021" s="4"/>
      <c r="Q3021" s="3"/>
      <c r="R3021" s="3"/>
      <c r="S3021" s="3"/>
      <c r="T3021" s="3"/>
      <c r="U3021" s="3"/>
    </row>
    <row r="3022" spans="2:21" x14ac:dyDescent="0.25">
      <c r="B3022" s="2"/>
      <c r="C3022" s="2"/>
      <c r="D3022" s="4"/>
      <c r="E3022" s="4"/>
      <c r="F3022" s="4"/>
      <c r="Q3022" s="3"/>
      <c r="R3022" s="3"/>
      <c r="S3022" s="3"/>
      <c r="T3022" s="3"/>
      <c r="U3022" s="3"/>
    </row>
    <row r="3023" spans="2:21" x14ac:dyDescent="0.25">
      <c r="B3023" s="2"/>
      <c r="C3023" s="2"/>
      <c r="D3023" s="4"/>
      <c r="E3023" s="4"/>
      <c r="F3023" s="4"/>
      <c r="Q3023" s="3"/>
      <c r="R3023" s="3"/>
      <c r="S3023" s="3"/>
      <c r="T3023" s="3"/>
      <c r="U3023" s="3"/>
    </row>
    <row r="3024" spans="2:21" x14ac:dyDescent="0.25">
      <c r="B3024" s="2"/>
      <c r="C3024" s="2"/>
      <c r="D3024" s="4"/>
      <c r="E3024" s="4"/>
      <c r="F3024" s="4"/>
      <c r="Q3024" s="3"/>
      <c r="R3024" s="3"/>
      <c r="S3024" s="3"/>
      <c r="T3024" s="3"/>
      <c r="U3024" s="3"/>
    </row>
    <row r="3025" spans="2:21" x14ac:dyDescent="0.25">
      <c r="B3025" s="2"/>
      <c r="C3025" s="2"/>
      <c r="D3025" s="4"/>
      <c r="E3025" s="4"/>
      <c r="F3025" s="4"/>
      <c r="Q3025" s="3"/>
      <c r="R3025" s="3"/>
      <c r="S3025" s="3"/>
      <c r="T3025" s="3"/>
      <c r="U3025" s="3"/>
    </row>
    <row r="3026" spans="2:21" x14ac:dyDescent="0.25">
      <c r="B3026" s="2"/>
      <c r="C3026" s="2"/>
      <c r="D3026" s="4"/>
      <c r="E3026" s="4"/>
      <c r="F3026" s="4"/>
      <c r="Q3026" s="3"/>
      <c r="R3026" s="3"/>
      <c r="S3026" s="3"/>
      <c r="T3026" s="3"/>
      <c r="U3026" s="3"/>
    </row>
    <row r="3027" spans="2:21" x14ac:dyDescent="0.25">
      <c r="B3027" s="2"/>
      <c r="C3027" s="2"/>
      <c r="D3027" s="4"/>
      <c r="E3027" s="4"/>
      <c r="F3027" s="4"/>
      <c r="Q3027" s="3"/>
      <c r="R3027" s="3"/>
      <c r="S3027" s="3"/>
      <c r="T3027" s="3"/>
      <c r="U3027" s="3"/>
    </row>
    <row r="3028" spans="2:21" x14ac:dyDescent="0.25">
      <c r="B3028" s="2"/>
      <c r="C3028" s="2"/>
      <c r="D3028" s="4"/>
      <c r="E3028" s="4"/>
      <c r="F3028" s="4"/>
      <c r="Q3028" s="3"/>
      <c r="R3028" s="3"/>
      <c r="S3028" s="3"/>
      <c r="T3028" s="3"/>
      <c r="U3028" s="3"/>
    </row>
    <row r="3029" spans="2:21" x14ac:dyDescent="0.25">
      <c r="B3029" s="2"/>
      <c r="C3029" s="2"/>
      <c r="D3029" s="4"/>
      <c r="E3029" s="4"/>
      <c r="F3029" s="4"/>
      <c r="Q3029" s="3"/>
      <c r="R3029" s="3"/>
      <c r="S3029" s="3"/>
      <c r="T3029" s="3"/>
      <c r="U3029" s="3"/>
    </row>
    <row r="3030" spans="2:21" x14ac:dyDescent="0.25">
      <c r="B3030" s="2"/>
      <c r="C3030" s="2"/>
      <c r="D3030" s="4"/>
      <c r="E3030" s="4"/>
      <c r="F3030" s="4"/>
      <c r="Q3030" s="3"/>
      <c r="R3030" s="3"/>
      <c r="S3030" s="3"/>
      <c r="T3030" s="3"/>
      <c r="U3030" s="3"/>
    </row>
    <row r="3031" spans="2:21" x14ac:dyDescent="0.25">
      <c r="B3031" s="2"/>
      <c r="C3031" s="2"/>
      <c r="D3031" s="4"/>
      <c r="E3031" s="4"/>
      <c r="F3031" s="4"/>
      <c r="Q3031" s="3"/>
      <c r="R3031" s="3"/>
      <c r="S3031" s="3"/>
      <c r="T3031" s="3"/>
      <c r="U3031" s="3"/>
    </row>
    <row r="3032" spans="2:21" x14ac:dyDescent="0.25">
      <c r="B3032" s="2"/>
      <c r="C3032" s="2"/>
      <c r="D3032" s="4"/>
      <c r="E3032" s="4"/>
      <c r="F3032" s="4"/>
      <c r="Q3032" s="3"/>
      <c r="R3032" s="3"/>
      <c r="S3032" s="3"/>
      <c r="T3032" s="3"/>
      <c r="U3032" s="3"/>
    </row>
    <row r="3033" spans="2:21" x14ac:dyDescent="0.25">
      <c r="B3033" s="2"/>
      <c r="C3033" s="2"/>
      <c r="D3033" s="4"/>
      <c r="E3033" s="4"/>
      <c r="F3033" s="4"/>
      <c r="Q3033" s="3"/>
      <c r="R3033" s="3"/>
      <c r="S3033" s="3"/>
      <c r="T3033" s="3"/>
      <c r="U3033" s="3"/>
    </row>
    <row r="3034" spans="2:21" x14ac:dyDescent="0.25">
      <c r="B3034" s="2"/>
      <c r="C3034" s="2"/>
      <c r="D3034" s="4"/>
      <c r="E3034" s="4"/>
      <c r="F3034" s="4"/>
      <c r="Q3034" s="3"/>
      <c r="R3034" s="3"/>
      <c r="S3034" s="3"/>
      <c r="T3034" s="3"/>
      <c r="U3034" s="3"/>
    </row>
    <row r="3035" spans="2:21" x14ac:dyDescent="0.25">
      <c r="B3035" s="2"/>
      <c r="C3035" s="2"/>
      <c r="D3035" s="4"/>
      <c r="E3035" s="4"/>
      <c r="F3035" s="4"/>
      <c r="Q3035" s="3"/>
      <c r="R3035" s="3"/>
      <c r="S3035" s="3"/>
      <c r="T3035" s="3"/>
      <c r="U3035" s="3"/>
    </row>
    <row r="3036" spans="2:21" x14ac:dyDescent="0.25">
      <c r="B3036" s="2"/>
      <c r="C3036" s="2"/>
      <c r="D3036" s="4"/>
      <c r="E3036" s="4"/>
      <c r="F3036" s="4"/>
      <c r="Q3036" s="3"/>
      <c r="R3036" s="3"/>
      <c r="S3036" s="3"/>
      <c r="T3036" s="3"/>
      <c r="U3036" s="3"/>
    </row>
    <row r="3037" spans="2:21" x14ac:dyDescent="0.25">
      <c r="B3037" s="2"/>
      <c r="C3037" s="2"/>
      <c r="D3037" s="4"/>
      <c r="E3037" s="4"/>
      <c r="F3037" s="4"/>
      <c r="Q3037" s="3"/>
      <c r="R3037" s="3"/>
      <c r="S3037" s="3"/>
      <c r="T3037" s="3"/>
      <c r="U3037" s="3"/>
    </row>
    <row r="3038" spans="2:21" x14ac:dyDescent="0.25">
      <c r="B3038" s="2"/>
      <c r="C3038" s="2"/>
      <c r="D3038" s="4"/>
      <c r="E3038" s="4"/>
      <c r="F3038" s="4"/>
      <c r="Q3038" s="3"/>
      <c r="R3038" s="3"/>
      <c r="S3038" s="3"/>
      <c r="T3038" s="3"/>
      <c r="U3038" s="3"/>
    </row>
    <row r="3039" spans="2:21" x14ac:dyDescent="0.25">
      <c r="B3039" s="2"/>
      <c r="C3039" s="2"/>
      <c r="D3039" s="4"/>
      <c r="E3039" s="4"/>
      <c r="F3039" s="4"/>
      <c r="Q3039" s="3"/>
      <c r="R3039" s="3"/>
      <c r="S3039" s="3"/>
      <c r="T3039" s="3"/>
      <c r="U3039" s="3"/>
    </row>
    <row r="3040" spans="2:21" x14ac:dyDescent="0.25">
      <c r="B3040" s="2"/>
      <c r="C3040" s="2"/>
      <c r="D3040" s="4"/>
      <c r="E3040" s="4"/>
      <c r="F3040" s="4"/>
      <c r="Q3040" s="3"/>
      <c r="R3040" s="3"/>
      <c r="S3040" s="3"/>
      <c r="T3040" s="3"/>
      <c r="U3040" s="3"/>
    </row>
    <row r="3041" spans="2:21" x14ac:dyDescent="0.25">
      <c r="B3041" s="2"/>
      <c r="C3041" s="2"/>
      <c r="D3041" s="4"/>
      <c r="E3041" s="4"/>
      <c r="F3041" s="4"/>
      <c r="Q3041" s="3"/>
      <c r="R3041" s="3"/>
      <c r="S3041" s="3"/>
      <c r="T3041" s="3"/>
      <c r="U3041" s="3"/>
    </row>
    <row r="3042" spans="2:21" x14ac:dyDescent="0.25">
      <c r="B3042" s="2"/>
      <c r="C3042" s="2"/>
      <c r="D3042" s="4"/>
      <c r="E3042" s="4"/>
      <c r="F3042" s="4"/>
      <c r="Q3042" s="3"/>
      <c r="R3042" s="3"/>
      <c r="S3042" s="3"/>
      <c r="T3042" s="3"/>
      <c r="U3042" s="3"/>
    </row>
    <row r="3043" spans="2:21" x14ac:dyDescent="0.25">
      <c r="B3043" s="2"/>
      <c r="C3043" s="2"/>
      <c r="D3043" s="4"/>
      <c r="E3043" s="4"/>
      <c r="F3043" s="4"/>
      <c r="Q3043" s="3"/>
      <c r="R3043" s="3"/>
      <c r="S3043" s="3"/>
      <c r="T3043" s="3"/>
      <c r="U3043" s="3"/>
    </row>
    <row r="3044" spans="2:21" x14ac:dyDescent="0.25">
      <c r="B3044" s="2"/>
      <c r="C3044" s="2"/>
      <c r="D3044" s="4"/>
      <c r="E3044" s="4"/>
      <c r="F3044" s="4"/>
      <c r="Q3044" s="3"/>
      <c r="R3044" s="3"/>
      <c r="S3044" s="3"/>
      <c r="T3044" s="3"/>
      <c r="U3044" s="3"/>
    </row>
    <row r="3045" spans="2:21" x14ac:dyDescent="0.25">
      <c r="B3045" s="2"/>
      <c r="C3045" s="2"/>
      <c r="D3045" s="4"/>
      <c r="E3045" s="4"/>
      <c r="F3045" s="4"/>
      <c r="Q3045" s="3"/>
      <c r="R3045" s="3"/>
      <c r="S3045" s="3"/>
      <c r="T3045" s="3"/>
      <c r="U3045" s="3"/>
    </row>
    <row r="3046" spans="2:21" x14ac:dyDescent="0.25">
      <c r="B3046" s="2"/>
      <c r="C3046" s="2"/>
      <c r="D3046" s="4"/>
      <c r="E3046" s="4"/>
      <c r="F3046" s="4"/>
      <c r="Q3046" s="3"/>
      <c r="R3046" s="3"/>
      <c r="S3046" s="3"/>
      <c r="T3046" s="3"/>
      <c r="U3046" s="3"/>
    </row>
    <row r="3047" spans="2:21" x14ac:dyDescent="0.25">
      <c r="B3047" s="2"/>
      <c r="C3047" s="2"/>
      <c r="D3047" s="4"/>
      <c r="E3047" s="4"/>
      <c r="F3047" s="4"/>
      <c r="Q3047" s="3"/>
      <c r="R3047" s="3"/>
      <c r="S3047" s="3"/>
      <c r="T3047" s="3"/>
      <c r="U3047" s="3"/>
    </row>
    <row r="3048" spans="2:21" x14ac:dyDescent="0.25">
      <c r="B3048" s="2"/>
      <c r="C3048" s="2"/>
      <c r="D3048" s="4"/>
      <c r="E3048" s="4"/>
      <c r="F3048" s="4"/>
      <c r="Q3048" s="3"/>
      <c r="R3048" s="3"/>
      <c r="S3048" s="3"/>
      <c r="T3048" s="3"/>
      <c r="U3048" s="3"/>
    </row>
    <row r="3049" spans="2:21" x14ac:dyDescent="0.25">
      <c r="B3049" s="2"/>
      <c r="C3049" s="2"/>
      <c r="D3049" s="4"/>
      <c r="E3049" s="4"/>
      <c r="F3049" s="4"/>
      <c r="Q3049" s="3"/>
      <c r="R3049" s="3"/>
      <c r="S3049" s="3"/>
      <c r="T3049" s="3"/>
      <c r="U3049" s="3"/>
    </row>
    <row r="3050" spans="2:21" x14ac:dyDescent="0.25">
      <c r="B3050" s="2"/>
      <c r="C3050" s="2"/>
      <c r="D3050" s="4"/>
      <c r="E3050" s="4"/>
      <c r="F3050" s="4"/>
      <c r="Q3050" s="3"/>
      <c r="R3050" s="3"/>
      <c r="S3050" s="3"/>
      <c r="T3050" s="3"/>
      <c r="U3050" s="3"/>
    </row>
    <row r="3051" spans="2:21" x14ac:dyDescent="0.25">
      <c r="B3051" s="2"/>
      <c r="C3051" s="2"/>
      <c r="D3051" s="4"/>
      <c r="E3051" s="4"/>
      <c r="F3051" s="4"/>
      <c r="Q3051" s="3"/>
      <c r="R3051" s="3"/>
      <c r="S3051" s="3"/>
      <c r="T3051" s="3"/>
      <c r="U3051" s="3"/>
    </row>
    <row r="3052" spans="2:21" x14ac:dyDescent="0.25">
      <c r="B3052" s="2"/>
      <c r="C3052" s="2"/>
      <c r="D3052" s="4"/>
      <c r="E3052" s="4"/>
      <c r="F3052" s="4"/>
      <c r="Q3052" s="3"/>
      <c r="R3052" s="3"/>
      <c r="S3052" s="3"/>
      <c r="T3052" s="3"/>
      <c r="U3052" s="3"/>
    </row>
    <row r="3053" spans="2:21" x14ac:dyDescent="0.25">
      <c r="B3053" s="2"/>
      <c r="C3053" s="2"/>
      <c r="D3053" s="4"/>
      <c r="E3053" s="4"/>
      <c r="F3053" s="4"/>
      <c r="Q3053" s="3"/>
      <c r="R3053" s="3"/>
      <c r="S3053" s="3"/>
      <c r="T3053" s="3"/>
      <c r="U3053" s="3"/>
    </row>
    <row r="3054" spans="2:21" x14ac:dyDescent="0.25">
      <c r="B3054" s="2"/>
      <c r="C3054" s="2"/>
      <c r="D3054" s="4"/>
      <c r="E3054" s="4"/>
      <c r="F3054" s="4"/>
      <c r="Q3054" s="3"/>
      <c r="R3054" s="3"/>
      <c r="S3054" s="3"/>
      <c r="T3054" s="3"/>
      <c r="U3054" s="3"/>
    </row>
    <row r="3055" spans="2:21" x14ac:dyDescent="0.25">
      <c r="B3055" s="2"/>
      <c r="C3055" s="2"/>
      <c r="D3055" s="4"/>
      <c r="E3055" s="4"/>
      <c r="F3055" s="4"/>
      <c r="Q3055" s="3"/>
      <c r="R3055" s="3"/>
      <c r="S3055" s="3"/>
      <c r="T3055" s="3"/>
      <c r="U3055" s="3"/>
    </row>
    <row r="3056" spans="2:21" x14ac:dyDescent="0.25">
      <c r="B3056" s="2"/>
      <c r="C3056" s="2"/>
      <c r="D3056" s="4"/>
      <c r="E3056" s="4"/>
      <c r="F3056" s="4"/>
      <c r="Q3056" s="3"/>
      <c r="R3056" s="3"/>
      <c r="S3056" s="3"/>
      <c r="T3056" s="3"/>
      <c r="U3056" s="3"/>
    </row>
    <row r="3057" spans="2:21" x14ac:dyDescent="0.25">
      <c r="B3057" s="2"/>
      <c r="C3057" s="2"/>
      <c r="D3057" s="4"/>
      <c r="E3057" s="4"/>
      <c r="F3057" s="4"/>
      <c r="Q3057" s="3"/>
      <c r="R3057" s="3"/>
      <c r="S3057" s="3"/>
      <c r="T3057" s="3"/>
      <c r="U3057" s="3"/>
    </row>
    <row r="3058" spans="2:21" x14ac:dyDescent="0.25">
      <c r="B3058" s="2"/>
      <c r="C3058" s="2"/>
      <c r="D3058" s="4"/>
      <c r="E3058" s="4"/>
      <c r="F3058" s="4"/>
      <c r="Q3058" s="3"/>
      <c r="R3058" s="3"/>
      <c r="S3058" s="3"/>
      <c r="T3058" s="3"/>
      <c r="U3058" s="3"/>
    </row>
    <row r="3059" spans="2:21" x14ac:dyDescent="0.25">
      <c r="B3059" s="2"/>
      <c r="C3059" s="2"/>
      <c r="D3059" s="4"/>
      <c r="E3059" s="4"/>
      <c r="F3059" s="4"/>
      <c r="Q3059" s="3"/>
      <c r="R3059" s="3"/>
      <c r="S3059" s="3"/>
      <c r="T3059" s="3"/>
      <c r="U3059" s="3"/>
    </row>
    <row r="3060" spans="2:21" x14ac:dyDescent="0.25">
      <c r="B3060" s="2"/>
      <c r="C3060" s="2"/>
      <c r="D3060" s="4"/>
      <c r="E3060" s="4"/>
      <c r="F3060" s="4"/>
      <c r="Q3060" s="3"/>
      <c r="R3060" s="3"/>
      <c r="S3060" s="3"/>
      <c r="T3060" s="3"/>
      <c r="U3060" s="3"/>
    </row>
    <row r="3061" spans="2:21" x14ac:dyDescent="0.25">
      <c r="B3061" s="2"/>
      <c r="C3061" s="2"/>
      <c r="D3061" s="4"/>
      <c r="E3061" s="4"/>
      <c r="F3061" s="4"/>
      <c r="Q3061" s="3"/>
      <c r="R3061" s="3"/>
      <c r="S3061" s="3"/>
      <c r="T3061" s="3"/>
      <c r="U3061" s="3"/>
    </row>
    <row r="3062" spans="2:21" x14ac:dyDescent="0.25">
      <c r="B3062" s="2"/>
      <c r="C3062" s="2"/>
      <c r="D3062" s="4"/>
      <c r="E3062" s="4"/>
      <c r="F3062" s="4"/>
      <c r="Q3062" s="3"/>
      <c r="R3062" s="3"/>
      <c r="S3062" s="3"/>
      <c r="T3062" s="3"/>
      <c r="U3062" s="3"/>
    </row>
    <row r="3063" spans="2:21" x14ac:dyDescent="0.25">
      <c r="B3063" s="2"/>
      <c r="C3063" s="2"/>
      <c r="D3063" s="4"/>
      <c r="E3063" s="4"/>
      <c r="F3063" s="4"/>
      <c r="Q3063" s="3"/>
      <c r="R3063" s="3"/>
      <c r="S3063" s="3"/>
      <c r="T3063" s="3"/>
      <c r="U3063" s="3"/>
    </row>
    <row r="3064" spans="2:21" x14ac:dyDescent="0.25">
      <c r="B3064" s="2"/>
      <c r="C3064" s="2"/>
      <c r="D3064" s="4"/>
      <c r="E3064" s="4"/>
      <c r="F3064" s="4"/>
      <c r="Q3064" s="3"/>
      <c r="R3064" s="3"/>
      <c r="S3064" s="3"/>
      <c r="T3064" s="3"/>
      <c r="U3064" s="3"/>
    </row>
    <row r="3065" spans="2:21" x14ac:dyDescent="0.25">
      <c r="B3065" s="2"/>
      <c r="C3065" s="2"/>
      <c r="D3065" s="4"/>
      <c r="E3065" s="4"/>
      <c r="F3065" s="4"/>
      <c r="Q3065" s="3"/>
      <c r="R3065" s="3"/>
      <c r="S3065" s="3"/>
      <c r="T3065" s="3"/>
      <c r="U3065" s="3"/>
    </row>
    <row r="3066" spans="2:21" x14ac:dyDescent="0.25">
      <c r="B3066" s="2"/>
      <c r="C3066" s="2"/>
      <c r="D3066" s="4"/>
      <c r="E3066" s="4"/>
      <c r="F3066" s="4"/>
      <c r="Q3066" s="3"/>
      <c r="R3066" s="3"/>
      <c r="S3066" s="3"/>
      <c r="T3066" s="3"/>
      <c r="U3066" s="3"/>
    </row>
    <row r="3067" spans="2:21" x14ac:dyDescent="0.25">
      <c r="B3067" s="2"/>
      <c r="C3067" s="2"/>
      <c r="D3067" s="4"/>
      <c r="E3067" s="4"/>
      <c r="F3067" s="4"/>
      <c r="Q3067" s="3"/>
      <c r="R3067" s="3"/>
      <c r="S3067" s="3"/>
      <c r="T3067" s="3"/>
      <c r="U3067" s="3"/>
    </row>
    <row r="3068" spans="2:21" x14ac:dyDescent="0.25">
      <c r="B3068" s="2"/>
      <c r="C3068" s="2"/>
      <c r="D3068" s="4"/>
      <c r="E3068" s="4"/>
      <c r="F3068" s="4"/>
      <c r="Q3068" s="3"/>
      <c r="R3068" s="3"/>
      <c r="S3068" s="3"/>
      <c r="T3068" s="3"/>
      <c r="U3068" s="3"/>
    </row>
    <row r="3069" spans="2:21" x14ac:dyDescent="0.25">
      <c r="B3069" s="2"/>
      <c r="C3069" s="2"/>
      <c r="D3069" s="4"/>
      <c r="E3069" s="4"/>
      <c r="F3069" s="4"/>
      <c r="Q3069" s="3"/>
      <c r="R3069" s="3"/>
      <c r="S3069" s="3"/>
      <c r="T3069" s="3"/>
      <c r="U3069" s="3"/>
    </row>
    <row r="3070" spans="2:21" x14ac:dyDescent="0.25">
      <c r="B3070" s="2"/>
      <c r="C3070" s="2"/>
      <c r="D3070" s="4"/>
      <c r="E3070" s="4"/>
      <c r="F3070" s="4"/>
      <c r="Q3070" s="3"/>
      <c r="R3070" s="3"/>
      <c r="S3070" s="3"/>
      <c r="T3070" s="3"/>
      <c r="U3070" s="3"/>
    </row>
    <row r="3071" spans="2:21" x14ac:dyDescent="0.25">
      <c r="B3071" s="2"/>
      <c r="C3071" s="2"/>
      <c r="D3071" s="4"/>
      <c r="E3071" s="4"/>
      <c r="F3071" s="4"/>
      <c r="Q3071" s="3"/>
      <c r="R3071" s="3"/>
      <c r="S3071" s="3"/>
      <c r="T3071" s="3"/>
      <c r="U3071" s="3"/>
    </row>
    <row r="3072" spans="2:21" x14ac:dyDescent="0.25">
      <c r="B3072" s="2"/>
      <c r="C3072" s="2"/>
      <c r="D3072" s="4"/>
      <c r="E3072" s="4"/>
      <c r="F3072" s="4"/>
      <c r="Q3072" s="3"/>
      <c r="R3072" s="3"/>
      <c r="S3072" s="3"/>
      <c r="T3072" s="3"/>
      <c r="U3072" s="3"/>
    </row>
    <row r="3073" spans="2:21" x14ac:dyDescent="0.25">
      <c r="B3073" s="2"/>
      <c r="C3073" s="2"/>
      <c r="D3073" s="4"/>
      <c r="E3073" s="4"/>
      <c r="F3073" s="4"/>
      <c r="Q3073" s="3"/>
      <c r="R3073" s="3"/>
      <c r="S3073" s="3"/>
      <c r="T3073" s="3"/>
      <c r="U3073" s="3"/>
    </row>
    <row r="3074" spans="2:21" x14ac:dyDescent="0.25">
      <c r="B3074" s="2"/>
      <c r="C3074" s="2"/>
      <c r="D3074" s="4"/>
      <c r="E3074" s="4"/>
      <c r="F3074" s="4"/>
      <c r="Q3074" s="3"/>
      <c r="R3074" s="3"/>
      <c r="S3074" s="3"/>
      <c r="T3074" s="3"/>
      <c r="U3074" s="3"/>
    </row>
    <row r="3075" spans="2:21" x14ac:dyDescent="0.25">
      <c r="B3075" s="2"/>
      <c r="C3075" s="2"/>
      <c r="D3075" s="4"/>
      <c r="E3075" s="4"/>
      <c r="F3075" s="4"/>
      <c r="Q3075" s="3"/>
      <c r="R3075" s="3"/>
      <c r="S3075" s="3"/>
      <c r="T3075" s="3"/>
      <c r="U3075" s="3"/>
    </row>
    <row r="3076" spans="2:21" x14ac:dyDescent="0.25">
      <c r="B3076" s="2"/>
      <c r="C3076" s="2"/>
      <c r="D3076" s="4"/>
      <c r="E3076" s="4"/>
      <c r="F3076" s="4"/>
      <c r="Q3076" s="3"/>
      <c r="R3076" s="3"/>
      <c r="S3076" s="3"/>
      <c r="T3076" s="3"/>
      <c r="U3076" s="3"/>
    </row>
    <row r="3077" spans="2:21" x14ac:dyDescent="0.25">
      <c r="B3077" s="2"/>
      <c r="C3077" s="2"/>
      <c r="D3077" s="4"/>
      <c r="E3077" s="4"/>
      <c r="F3077" s="4"/>
      <c r="Q3077" s="3"/>
      <c r="R3077" s="3"/>
      <c r="S3077" s="3"/>
      <c r="T3077" s="3"/>
      <c r="U3077" s="3"/>
    </row>
    <row r="3078" spans="2:21" x14ac:dyDescent="0.25">
      <c r="B3078" s="2"/>
      <c r="C3078" s="2"/>
      <c r="D3078" s="4"/>
      <c r="E3078" s="4"/>
      <c r="F3078" s="4"/>
      <c r="Q3078" s="3"/>
      <c r="R3078" s="3"/>
      <c r="S3078" s="3"/>
      <c r="T3078" s="3"/>
      <c r="U3078" s="3"/>
    </row>
    <row r="3079" spans="2:21" x14ac:dyDescent="0.25">
      <c r="B3079" s="2"/>
      <c r="C3079" s="2"/>
      <c r="D3079" s="4"/>
      <c r="E3079" s="4"/>
      <c r="F3079" s="4"/>
      <c r="Q3079" s="3"/>
      <c r="R3079" s="3"/>
      <c r="S3079" s="3"/>
      <c r="T3079" s="3"/>
      <c r="U3079" s="3"/>
    </row>
    <row r="3080" spans="2:21" x14ac:dyDescent="0.25">
      <c r="B3080" s="2"/>
      <c r="C3080" s="2"/>
      <c r="D3080" s="4"/>
      <c r="E3080" s="4"/>
      <c r="F3080" s="4"/>
      <c r="Q3080" s="3"/>
      <c r="R3080" s="3"/>
      <c r="S3080" s="3"/>
      <c r="T3080" s="3"/>
      <c r="U3080" s="3"/>
    </row>
    <row r="3081" spans="2:21" x14ac:dyDescent="0.25">
      <c r="B3081" s="2"/>
      <c r="C3081" s="2"/>
      <c r="D3081" s="4"/>
      <c r="E3081" s="4"/>
      <c r="F3081" s="4"/>
      <c r="Q3081" s="3"/>
      <c r="R3081" s="3"/>
      <c r="S3081" s="3"/>
      <c r="T3081" s="3"/>
      <c r="U3081" s="3"/>
    </row>
    <row r="3082" spans="2:21" x14ac:dyDescent="0.25">
      <c r="B3082" s="2"/>
      <c r="C3082" s="2"/>
      <c r="D3082" s="4"/>
      <c r="E3082" s="4"/>
      <c r="F3082" s="4"/>
      <c r="Q3082" s="3"/>
      <c r="R3082" s="3"/>
      <c r="S3082" s="3"/>
      <c r="T3082" s="3"/>
      <c r="U3082" s="3"/>
    </row>
    <row r="3083" spans="2:21" x14ac:dyDescent="0.25">
      <c r="B3083" s="2"/>
      <c r="C3083" s="2"/>
      <c r="D3083" s="4"/>
      <c r="E3083" s="4"/>
      <c r="F3083" s="4"/>
      <c r="Q3083" s="3"/>
      <c r="R3083" s="3"/>
      <c r="S3083" s="3"/>
      <c r="T3083" s="3"/>
      <c r="U3083" s="3"/>
    </row>
    <row r="3084" spans="2:21" x14ac:dyDescent="0.25">
      <c r="B3084" s="2"/>
      <c r="C3084" s="2"/>
      <c r="D3084" s="4"/>
      <c r="E3084" s="4"/>
      <c r="F3084" s="4"/>
      <c r="Q3084" s="3"/>
      <c r="R3084" s="3"/>
      <c r="S3084" s="3"/>
      <c r="T3084" s="3"/>
      <c r="U3084" s="3"/>
    </row>
    <row r="3085" spans="2:21" x14ac:dyDescent="0.25">
      <c r="B3085" s="2"/>
      <c r="C3085" s="2"/>
      <c r="D3085" s="4"/>
      <c r="E3085" s="4"/>
      <c r="F3085" s="4"/>
      <c r="Q3085" s="3"/>
      <c r="R3085" s="3"/>
      <c r="S3085" s="3"/>
      <c r="T3085" s="3"/>
      <c r="U3085" s="3"/>
    </row>
    <row r="3086" spans="2:21" x14ac:dyDescent="0.25">
      <c r="B3086" s="2"/>
      <c r="C3086" s="2"/>
      <c r="D3086" s="4"/>
      <c r="E3086" s="4"/>
      <c r="F3086" s="4"/>
      <c r="Q3086" s="3"/>
      <c r="R3086" s="3"/>
      <c r="S3086" s="3"/>
      <c r="T3086" s="3"/>
      <c r="U3086" s="3"/>
    </row>
    <row r="3087" spans="2:21" x14ac:dyDescent="0.25">
      <c r="B3087" s="2"/>
      <c r="C3087" s="2"/>
      <c r="D3087" s="4"/>
      <c r="E3087" s="4"/>
      <c r="F3087" s="4"/>
      <c r="Q3087" s="3"/>
      <c r="R3087" s="3"/>
      <c r="S3087" s="3"/>
      <c r="T3087" s="3"/>
      <c r="U3087" s="3"/>
    </row>
    <row r="3088" spans="2:21" x14ac:dyDescent="0.25">
      <c r="B3088" s="2"/>
      <c r="C3088" s="2"/>
      <c r="D3088" s="4"/>
      <c r="E3088" s="4"/>
      <c r="F3088" s="4"/>
      <c r="Q3088" s="3"/>
      <c r="R3088" s="3"/>
      <c r="S3088" s="3"/>
      <c r="T3088" s="3"/>
      <c r="U3088" s="3"/>
    </row>
    <row r="3089" spans="2:21" x14ac:dyDescent="0.25">
      <c r="B3089" s="2"/>
      <c r="C3089" s="2"/>
      <c r="D3089" s="4"/>
      <c r="E3089" s="4"/>
      <c r="F3089" s="4"/>
      <c r="Q3089" s="3"/>
      <c r="R3089" s="3"/>
      <c r="S3089" s="3"/>
      <c r="T3089" s="3"/>
      <c r="U3089" s="3"/>
    </row>
    <row r="3090" spans="2:21" x14ac:dyDescent="0.25">
      <c r="B3090" s="2"/>
      <c r="C3090" s="2"/>
      <c r="D3090" s="4"/>
      <c r="E3090" s="4"/>
      <c r="F3090" s="4"/>
      <c r="Q3090" s="3"/>
      <c r="R3090" s="3"/>
      <c r="S3090" s="3"/>
      <c r="T3090" s="3"/>
      <c r="U3090" s="3"/>
    </row>
    <row r="3091" spans="2:21" x14ac:dyDescent="0.25">
      <c r="B3091" s="2"/>
      <c r="C3091" s="2"/>
      <c r="D3091" s="4"/>
      <c r="E3091" s="4"/>
      <c r="F3091" s="4"/>
      <c r="Q3091" s="3"/>
      <c r="R3091" s="3"/>
      <c r="S3091" s="3"/>
      <c r="T3091" s="3"/>
      <c r="U3091" s="3"/>
    </row>
    <row r="3092" spans="2:21" x14ac:dyDescent="0.25">
      <c r="B3092" s="2"/>
      <c r="C3092" s="2"/>
      <c r="D3092" s="4"/>
      <c r="E3092" s="4"/>
      <c r="F3092" s="4"/>
      <c r="Q3092" s="3"/>
      <c r="R3092" s="3"/>
      <c r="S3092" s="3"/>
      <c r="T3092" s="3"/>
      <c r="U3092" s="3"/>
    </row>
    <row r="3093" spans="2:21" x14ac:dyDescent="0.25">
      <c r="B3093" s="2"/>
      <c r="C3093" s="2"/>
      <c r="D3093" s="4"/>
      <c r="E3093" s="4"/>
      <c r="F3093" s="4"/>
      <c r="Q3093" s="3"/>
      <c r="R3093" s="3"/>
      <c r="S3093" s="3"/>
      <c r="T3093" s="3"/>
      <c r="U3093" s="3"/>
    </row>
    <row r="3094" spans="2:21" x14ac:dyDescent="0.25">
      <c r="B3094" s="2"/>
      <c r="C3094" s="2"/>
      <c r="D3094" s="4"/>
      <c r="E3094" s="4"/>
      <c r="F3094" s="4"/>
      <c r="Q3094" s="3"/>
      <c r="R3094" s="3"/>
      <c r="S3094" s="3"/>
      <c r="T3094" s="3"/>
      <c r="U3094" s="3"/>
    </row>
    <row r="3095" spans="2:21" x14ac:dyDescent="0.25">
      <c r="B3095" s="2"/>
      <c r="C3095" s="2"/>
      <c r="D3095" s="4"/>
      <c r="E3095" s="4"/>
      <c r="F3095" s="4"/>
      <c r="Q3095" s="3"/>
      <c r="R3095" s="3"/>
      <c r="S3095" s="3"/>
      <c r="T3095" s="3"/>
      <c r="U3095" s="3"/>
    </row>
    <row r="3096" spans="2:21" x14ac:dyDescent="0.25">
      <c r="B3096" s="2"/>
      <c r="C3096" s="2"/>
      <c r="D3096" s="4"/>
      <c r="E3096" s="4"/>
      <c r="F3096" s="4"/>
      <c r="Q3096" s="3"/>
      <c r="R3096" s="3"/>
      <c r="S3096" s="3"/>
      <c r="T3096" s="3"/>
      <c r="U3096" s="3"/>
    </row>
    <row r="3097" spans="2:21" x14ac:dyDescent="0.25">
      <c r="B3097" s="2"/>
      <c r="C3097" s="2"/>
      <c r="D3097" s="4"/>
      <c r="E3097" s="4"/>
      <c r="F3097" s="4"/>
      <c r="Q3097" s="3"/>
      <c r="R3097" s="3"/>
      <c r="S3097" s="3"/>
      <c r="T3097" s="3"/>
      <c r="U3097" s="3"/>
    </row>
    <row r="3098" spans="2:21" x14ac:dyDescent="0.25">
      <c r="B3098" s="2"/>
      <c r="C3098" s="2"/>
      <c r="D3098" s="4"/>
      <c r="E3098" s="4"/>
      <c r="F3098" s="4"/>
      <c r="Q3098" s="3"/>
      <c r="R3098" s="3"/>
      <c r="S3098" s="3"/>
      <c r="T3098" s="3"/>
      <c r="U3098" s="3"/>
    </row>
    <row r="3099" spans="2:21" x14ac:dyDescent="0.25">
      <c r="B3099" s="2"/>
      <c r="C3099" s="2"/>
      <c r="D3099" s="4"/>
      <c r="E3099" s="4"/>
      <c r="F3099" s="4"/>
      <c r="Q3099" s="3"/>
      <c r="R3099" s="3"/>
      <c r="S3099" s="3"/>
      <c r="T3099" s="3"/>
      <c r="U3099" s="3"/>
    </row>
    <row r="3100" spans="2:21" x14ac:dyDescent="0.25">
      <c r="B3100" s="2"/>
      <c r="C3100" s="2"/>
      <c r="D3100" s="4"/>
      <c r="E3100" s="4"/>
      <c r="F3100" s="4"/>
      <c r="Q3100" s="3"/>
      <c r="R3100" s="3"/>
      <c r="S3100" s="3"/>
      <c r="T3100" s="3"/>
      <c r="U3100" s="3"/>
    </row>
    <row r="3101" spans="2:21" x14ac:dyDescent="0.25">
      <c r="B3101" s="2"/>
      <c r="C3101" s="2"/>
      <c r="D3101" s="4"/>
      <c r="E3101" s="4"/>
      <c r="F3101" s="4"/>
      <c r="Q3101" s="3"/>
      <c r="R3101" s="3"/>
      <c r="S3101" s="3"/>
      <c r="T3101" s="3"/>
      <c r="U3101" s="3"/>
    </row>
    <row r="3102" spans="2:21" x14ac:dyDescent="0.25">
      <c r="B3102" s="2"/>
      <c r="C3102" s="2"/>
      <c r="D3102" s="4"/>
      <c r="E3102" s="4"/>
      <c r="F3102" s="4"/>
      <c r="Q3102" s="3"/>
      <c r="R3102" s="3"/>
      <c r="S3102" s="3"/>
      <c r="T3102" s="3"/>
      <c r="U3102" s="3"/>
    </row>
    <row r="3103" spans="2:21" x14ac:dyDescent="0.25">
      <c r="B3103" s="2"/>
      <c r="C3103" s="2"/>
      <c r="D3103" s="4"/>
      <c r="E3103" s="4"/>
      <c r="F3103" s="4"/>
      <c r="Q3103" s="3"/>
      <c r="R3103" s="3"/>
      <c r="S3103" s="3"/>
      <c r="T3103" s="3"/>
      <c r="U3103" s="3"/>
    </row>
    <row r="3104" spans="2:21" x14ac:dyDescent="0.25">
      <c r="B3104" s="2"/>
      <c r="C3104" s="2"/>
      <c r="D3104" s="4"/>
      <c r="E3104" s="4"/>
      <c r="F3104" s="4"/>
      <c r="Q3104" s="3"/>
      <c r="R3104" s="3"/>
      <c r="S3104" s="3"/>
      <c r="T3104" s="3"/>
      <c r="U3104" s="3"/>
    </row>
    <row r="3105" spans="2:21" x14ac:dyDescent="0.25">
      <c r="B3105" s="2"/>
      <c r="C3105" s="2"/>
      <c r="D3105" s="4"/>
      <c r="E3105" s="4"/>
      <c r="F3105" s="4"/>
      <c r="Q3105" s="3"/>
      <c r="R3105" s="3"/>
      <c r="S3105" s="3"/>
      <c r="T3105" s="3"/>
      <c r="U3105" s="3"/>
    </row>
    <row r="3106" spans="2:21" x14ac:dyDescent="0.25">
      <c r="B3106" s="2"/>
      <c r="C3106" s="2"/>
      <c r="D3106" s="4"/>
      <c r="E3106" s="4"/>
      <c r="F3106" s="4"/>
      <c r="Q3106" s="3"/>
      <c r="R3106" s="3"/>
      <c r="S3106" s="3"/>
      <c r="T3106" s="3"/>
      <c r="U3106" s="3"/>
    </row>
    <row r="3107" spans="2:21" x14ac:dyDescent="0.25">
      <c r="B3107" s="2"/>
      <c r="C3107" s="2"/>
      <c r="D3107" s="4"/>
      <c r="E3107" s="4"/>
      <c r="F3107" s="4"/>
      <c r="Q3107" s="3"/>
      <c r="R3107" s="3"/>
      <c r="S3107" s="3"/>
      <c r="T3107" s="3"/>
      <c r="U3107" s="3"/>
    </row>
    <row r="3108" spans="2:21" x14ac:dyDescent="0.25">
      <c r="B3108" s="2"/>
      <c r="C3108" s="2"/>
      <c r="D3108" s="4"/>
      <c r="E3108" s="4"/>
      <c r="F3108" s="4"/>
      <c r="Q3108" s="3"/>
      <c r="R3108" s="3"/>
      <c r="S3108" s="3"/>
      <c r="T3108" s="3"/>
      <c r="U3108" s="3"/>
    </row>
    <row r="3109" spans="2:21" x14ac:dyDescent="0.25">
      <c r="B3109" s="2"/>
      <c r="C3109" s="2"/>
      <c r="D3109" s="4"/>
      <c r="E3109" s="4"/>
      <c r="F3109" s="4"/>
      <c r="Q3109" s="3"/>
      <c r="R3109" s="3"/>
      <c r="S3109" s="3"/>
      <c r="T3109" s="3"/>
      <c r="U3109" s="3"/>
    </row>
    <row r="3110" spans="2:21" x14ac:dyDescent="0.25">
      <c r="B3110" s="2"/>
      <c r="C3110" s="2"/>
      <c r="D3110" s="4"/>
      <c r="E3110" s="4"/>
      <c r="F3110" s="4"/>
      <c r="Q3110" s="3"/>
      <c r="R3110" s="3"/>
      <c r="S3110" s="3"/>
      <c r="T3110" s="3"/>
      <c r="U3110" s="3"/>
    </row>
    <row r="3111" spans="2:21" x14ac:dyDescent="0.25">
      <c r="B3111" s="2"/>
      <c r="C3111" s="2"/>
      <c r="D3111" s="4"/>
      <c r="E3111" s="4"/>
      <c r="F3111" s="4"/>
      <c r="Q3111" s="3"/>
      <c r="R3111" s="3"/>
      <c r="S3111" s="3"/>
      <c r="T3111" s="3"/>
      <c r="U3111" s="3"/>
    </row>
    <row r="3112" spans="2:21" x14ac:dyDescent="0.25">
      <c r="B3112" s="2"/>
      <c r="C3112" s="2"/>
      <c r="D3112" s="4"/>
      <c r="E3112" s="4"/>
      <c r="F3112" s="4"/>
      <c r="Q3112" s="3"/>
      <c r="R3112" s="3"/>
      <c r="S3112" s="3"/>
      <c r="T3112" s="3"/>
      <c r="U3112" s="3"/>
    </row>
    <row r="3113" spans="2:21" x14ac:dyDescent="0.25">
      <c r="B3113" s="2"/>
      <c r="C3113" s="2"/>
      <c r="D3113" s="4"/>
      <c r="E3113" s="4"/>
      <c r="F3113" s="4"/>
      <c r="Q3113" s="3"/>
      <c r="R3113" s="3"/>
      <c r="S3113" s="3"/>
      <c r="T3113" s="3"/>
      <c r="U3113" s="3"/>
    </row>
    <row r="3114" spans="2:21" x14ac:dyDescent="0.25">
      <c r="B3114" s="2"/>
      <c r="C3114" s="2"/>
      <c r="D3114" s="4"/>
      <c r="E3114" s="4"/>
      <c r="F3114" s="4"/>
      <c r="Q3114" s="3"/>
      <c r="R3114" s="3"/>
      <c r="S3114" s="3"/>
      <c r="T3114" s="3"/>
      <c r="U3114" s="3"/>
    </row>
    <row r="3115" spans="2:21" x14ac:dyDescent="0.25">
      <c r="B3115" s="2"/>
      <c r="C3115" s="2"/>
      <c r="D3115" s="4"/>
      <c r="E3115" s="4"/>
      <c r="F3115" s="4"/>
      <c r="Q3115" s="3"/>
      <c r="R3115" s="3"/>
      <c r="S3115" s="3"/>
      <c r="T3115" s="3"/>
      <c r="U3115" s="3"/>
    </row>
    <row r="3116" spans="2:21" x14ac:dyDescent="0.25">
      <c r="B3116" s="2"/>
      <c r="C3116" s="2"/>
      <c r="D3116" s="4"/>
      <c r="E3116" s="4"/>
      <c r="F3116" s="4"/>
      <c r="Q3116" s="3"/>
      <c r="R3116" s="3"/>
      <c r="S3116" s="3"/>
      <c r="T3116" s="3"/>
      <c r="U3116" s="3"/>
    </row>
    <row r="3117" spans="2:21" x14ac:dyDescent="0.25">
      <c r="B3117" s="2"/>
      <c r="C3117" s="2"/>
      <c r="D3117" s="4"/>
      <c r="E3117" s="4"/>
      <c r="F3117" s="4"/>
      <c r="Q3117" s="3"/>
      <c r="R3117" s="3"/>
      <c r="S3117" s="3"/>
      <c r="T3117" s="3"/>
      <c r="U3117" s="3"/>
    </row>
    <row r="3118" spans="2:21" x14ac:dyDescent="0.25">
      <c r="B3118" s="2"/>
      <c r="C3118" s="2"/>
      <c r="D3118" s="4"/>
      <c r="E3118" s="4"/>
      <c r="F3118" s="4"/>
      <c r="Q3118" s="3"/>
      <c r="R3118" s="3"/>
      <c r="S3118" s="3"/>
      <c r="T3118" s="3"/>
      <c r="U3118" s="3"/>
    </row>
    <row r="3119" spans="2:21" x14ac:dyDescent="0.25">
      <c r="B3119" s="2"/>
      <c r="C3119" s="2"/>
      <c r="D3119" s="4"/>
      <c r="E3119" s="4"/>
      <c r="F3119" s="4"/>
      <c r="Q3119" s="3"/>
      <c r="R3119" s="3"/>
      <c r="S3119" s="3"/>
      <c r="T3119" s="3"/>
      <c r="U3119" s="3"/>
    </row>
    <row r="3120" spans="2:21" x14ac:dyDescent="0.25">
      <c r="B3120" s="2"/>
      <c r="C3120" s="2"/>
      <c r="D3120" s="4"/>
      <c r="E3120" s="4"/>
      <c r="F3120" s="4"/>
      <c r="Q3120" s="3"/>
      <c r="R3120" s="3"/>
      <c r="S3120" s="3"/>
      <c r="T3120" s="3"/>
      <c r="U3120" s="3"/>
    </row>
    <row r="3121" spans="2:21" x14ac:dyDescent="0.25">
      <c r="B3121" s="2"/>
      <c r="C3121" s="2"/>
      <c r="D3121" s="4"/>
      <c r="E3121" s="4"/>
      <c r="F3121" s="4"/>
      <c r="Q3121" s="3"/>
      <c r="R3121" s="3"/>
      <c r="S3121" s="3"/>
      <c r="T3121" s="3"/>
      <c r="U3121" s="3"/>
    </row>
    <row r="3122" spans="2:21" x14ac:dyDescent="0.25">
      <c r="B3122" s="2"/>
      <c r="C3122" s="2"/>
      <c r="D3122" s="4"/>
      <c r="E3122" s="4"/>
      <c r="F3122" s="4"/>
      <c r="Q3122" s="3"/>
      <c r="R3122" s="3"/>
      <c r="S3122" s="3"/>
      <c r="T3122" s="3"/>
      <c r="U3122" s="3"/>
    </row>
    <row r="3123" spans="2:21" x14ac:dyDescent="0.25">
      <c r="B3123" s="2"/>
      <c r="C3123" s="2"/>
      <c r="D3123" s="4"/>
      <c r="E3123" s="4"/>
      <c r="F3123" s="4"/>
      <c r="Q3123" s="3"/>
      <c r="R3123" s="3"/>
      <c r="S3123" s="3"/>
      <c r="T3123" s="3"/>
      <c r="U3123" s="3"/>
    </row>
    <row r="3124" spans="2:21" x14ac:dyDescent="0.25">
      <c r="B3124" s="2"/>
      <c r="C3124" s="2"/>
      <c r="D3124" s="4"/>
      <c r="E3124" s="4"/>
      <c r="F3124" s="4"/>
      <c r="Q3124" s="3"/>
      <c r="R3124" s="3"/>
      <c r="S3124" s="3"/>
      <c r="T3124" s="3"/>
      <c r="U3124" s="3"/>
    </row>
    <row r="3125" spans="2:21" x14ac:dyDescent="0.25">
      <c r="B3125" s="2"/>
      <c r="C3125" s="2"/>
      <c r="D3125" s="4"/>
      <c r="E3125" s="4"/>
      <c r="F3125" s="4"/>
      <c r="Q3125" s="3"/>
      <c r="R3125" s="3"/>
      <c r="S3125" s="3"/>
      <c r="T3125" s="3"/>
      <c r="U3125" s="3"/>
    </row>
    <row r="3126" spans="2:21" x14ac:dyDescent="0.25">
      <c r="B3126" s="2"/>
      <c r="C3126" s="2"/>
      <c r="D3126" s="4"/>
      <c r="E3126" s="4"/>
      <c r="F3126" s="4"/>
      <c r="Q3126" s="3"/>
      <c r="R3126" s="3"/>
      <c r="S3126" s="3"/>
      <c r="T3126" s="3"/>
      <c r="U3126" s="3"/>
    </row>
    <row r="3127" spans="2:21" x14ac:dyDescent="0.25">
      <c r="B3127" s="2"/>
      <c r="C3127" s="2"/>
      <c r="D3127" s="4"/>
      <c r="E3127" s="4"/>
      <c r="F3127" s="4"/>
      <c r="Q3127" s="3"/>
      <c r="R3127" s="3"/>
      <c r="S3127" s="3"/>
      <c r="T3127" s="3"/>
      <c r="U3127" s="3"/>
    </row>
    <row r="3128" spans="2:21" x14ac:dyDescent="0.25">
      <c r="B3128" s="2"/>
      <c r="C3128" s="2"/>
      <c r="D3128" s="4"/>
      <c r="E3128" s="4"/>
      <c r="F3128" s="4"/>
      <c r="Q3128" s="3"/>
      <c r="R3128" s="3"/>
      <c r="S3128" s="3"/>
      <c r="T3128" s="3"/>
      <c r="U3128" s="3"/>
    </row>
    <row r="3129" spans="2:21" x14ac:dyDescent="0.25">
      <c r="B3129" s="2"/>
      <c r="C3129" s="2"/>
      <c r="D3129" s="4"/>
      <c r="E3129" s="4"/>
      <c r="F3129" s="4"/>
      <c r="Q3129" s="3"/>
      <c r="R3129" s="3"/>
      <c r="S3129" s="3"/>
      <c r="T3129" s="3"/>
      <c r="U3129" s="3"/>
    </row>
    <row r="3130" spans="2:21" x14ac:dyDescent="0.25">
      <c r="B3130" s="2"/>
      <c r="C3130" s="2"/>
      <c r="D3130" s="4"/>
      <c r="E3130" s="4"/>
      <c r="F3130" s="4"/>
      <c r="Q3130" s="3"/>
      <c r="R3130" s="3"/>
      <c r="S3130" s="3"/>
      <c r="T3130" s="3"/>
      <c r="U3130" s="3"/>
    </row>
    <row r="3131" spans="2:21" x14ac:dyDescent="0.25">
      <c r="B3131" s="2"/>
      <c r="C3131" s="2"/>
      <c r="D3131" s="4"/>
      <c r="E3131" s="4"/>
      <c r="F3131" s="4"/>
      <c r="Q3131" s="3"/>
      <c r="R3131" s="3"/>
      <c r="S3131" s="3"/>
      <c r="T3131" s="3"/>
      <c r="U3131" s="3"/>
    </row>
    <row r="3132" spans="2:21" x14ac:dyDescent="0.25">
      <c r="B3132" s="2"/>
      <c r="C3132" s="2"/>
      <c r="D3132" s="4"/>
      <c r="E3132" s="4"/>
      <c r="F3132" s="4"/>
      <c r="Q3132" s="3"/>
      <c r="R3132" s="3"/>
      <c r="S3132" s="3"/>
      <c r="T3132" s="3"/>
      <c r="U3132" s="3"/>
    </row>
    <row r="3133" spans="2:21" x14ac:dyDescent="0.25">
      <c r="B3133" s="2"/>
      <c r="C3133" s="2"/>
      <c r="D3133" s="4"/>
      <c r="E3133" s="4"/>
      <c r="F3133" s="4"/>
      <c r="Q3133" s="3"/>
      <c r="R3133" s="3"/>
      <c r="S3133" s="3"/>
      <c r="T3133" s="3"/>
      <c r="U3133" s="3"/>
    </row>
    <row r="3134" spans="2:21" x14ac:dyDescent="0.25">
      <c r="B3134" s="2"/>
      <c r="C3134" s="2"/>
      <c r="D3134" s="4"/>
      <c r="E3134" s="4"/>
      <c r="F3134" s="4"/>
      <c r="Q3134" s="3"/>
      <c r="R3134" s="3"/>
      <c r="S3134" s="3"/>
      <c r="T3134" s="3"/>
      <c r="U3134" s="3"/>
    </row>
    <row r="3135" spans="2:21" x14ac:dyDescent="0.25">
      <c r="B3135" s="2"/>
      <c r="C3135" s="2"/>
      <c r="D3135" s="4"/>
      <c r="E3135" s="4"/>
      <c r="F3135" s="4"/>
      <c r="Q3135" s="3"/>
      <c r="R3135" s="3"/>
      <c r="S3135" s="3"/>
      <c r="T3135" s="3"/>
      <c r="U3135" s="3"/>
    </row>
    <row r="3136" spans="2:21" x14ac:dyDescent="0.25">
      <c r="B3136" s="2"/>
      <c r="C3136" s="2"/>
      <c r="D3136" s="4"/>
      <c r="E3136" s="4"/>
      <c r="F3136" s="4"/>
      <c r="Q3136" s="3"/>
      <c r="R3136" s="3"/>
      <c r="S3136" s="3"/>
      <c r="T3136" s="3"/>
      <c r="U3136" s="3"/>
    </row>
    <row r="3137" spans="2:21" x14ac:dyDescent="0.25">
      <c r="B3137" s="2"/>
      <c r="C3137" s="2"/>
      <c r="D3137" s="4"/>
      <c r="E3137" s="4"/>
      <c r="F3137" s="4"/>
      <c r="Q3137" s="3"/>
      <c r="R3137" s="3"/>
      <c r="S3137" s="3"/>
      <c r="T3137" s="3"/>
      <c r="U3137" s="3"/>
    </row>
    <row r="3138" spans="2:21" x14ac:dyDescent="0.25">
      <c r="B3138" s="2"/>
      <c r="C3138" s="2"/>
      <c r="D3138" s="4"/>
      <c r="E3138" s="4"/>
      <c r="F3138" s="4"/>
      <c r="Q3138" s="3"/>
      <c r="R3138" s="3"/>
      <c r="S3138" s="3"/>
      <c r="T3138" s="3"/>
      <c r="U3138" s="3"/>
    </row>
    <row r="3139" spans="2:21" x14ac:dyDescent="0.25">
      <c r="B3139" s="2"/>
      <c r="C3139" s="2"/>
      <c r="D3139" s="4"/>
      <c r="E3139" s="4"/>
      <c r="F3139" s="4"/>
      <c r="Q3139" s="3"/>
      <c r="R3139" s="3"/>
      <c r="S3139" s="3"/>
      <c r="T3139" s="3"/>
      <c r="U3139" s="3"/>
    </row>
    <row r="3140" spans="2:21" x14ac:dyDescent="0.25">
      <c r="B3140" s="2"/>
      <c r="C3140" s="2"/>
      <c r="D3140" s="4"/>
      <c r="E3140" s="4"/>
      <c r="F3140" s="4"/>
      <c r="Q3140" s="3"/>
      <c r="R3140" s="3"/>
      <c r="S3140" s="3"/>
      <c r="T3140" s="3"/>
      <c r="U3140" s="3"/>
    </row>
    <row r="3141" spans="2:21" x14ac:dyDescent="0.25">
      <c r="B3141" s="2"/>
      <c r="C3141" s="2"/>
      <c r="D3141" s="4"/>
      <c r="E3141" s="4"/>
      <c r="F3141" s="4"/>
      <c r="Q3141" s="3"/>
      <c r="R3141" s="3"/>
      <c r="S3141" s="3"/>
      <c r="T3141" s="3"/>
      <c r="U3141" s="3"/>
    </row>
    <row r="3142" spans="2:21" x14ac:dyDescent="0.25">
      <c r="B3142" s="2"/>
      <c r="C3142" s="2"/>
      <c r="D3142" s="4"/>
      <c r="E3142" s="4"/>
      <c r="F3142" s="4"/>
      <c r="Q3142" s="3"/>
      <c r="R3142" s="3"/>
      <c r="S3142" s="3"/>
      <c r="T3142" s="3"/>
      <c r="U3142" s="3"/>
    </row>
    <row r="3143" spans="2:21" x14ac:dyDescent="0.25">
      <c r="B3143" s="2"/>
      <c r="C3143" s="2"/>
      <c r="D3143" s="4"/>
      <c r="E3143" s="4"/>
      <c r="F3143" s="4"/>
      <c r="Q3143" s="3"/>
      <c r="R3143" s="3"/>
      <c r="S3143" s="3"/>
      <c r="T3143" s="3"/>
      <c r="U3143" s="3"/>
    </row>
    <row r="3144" spans="2:21" x14ac:dyDescent="0.25">
      <c r="B3144" s="2"/>
      <c r="C3144" s="2"/>
      <c r="D3144" s="4"/>
      <c r="E3144" s="4"/>
      <c r="F3144" s="4"/>
      <c r="Q3144" s="3"/>
      <c r="R3144" s="3"/>
      <c r="S3144" s="3"/>
      <c r="T3144" s="3"/>
      <c r="U3144" s="3"/>
    </row>
    <row r="3145" spans="2:21" x14ac:dyDescent="0.25">
      <c r="B3145" s="2"/>
      <c r="C3145" s="2"/>
      <c r="D3145" s="4"/>
      <c r="E3145" s="4"/>
      <c r="F3145" s="4"/>
      <c r="Q3145" s="3"/>
      <c r="R3145" s="3"/>
      <c r="S3145" s="3"/>
      <c r="T3145" s="3"/>
      <c r="U3145" s="3"/>
    </row>
    <row r="3146" spans="2:21" x14ac:dyDescent="0.25">
      <c r="B3146" s="2"/>
      <c r="C3146" s="2"/>
      <c r="D3146" s="4"/>
      <c r="E3146" s="4"/>
      <c r="F3146" s="4"/>
      <c r="Q3146" s="3"/>
      <c r="R3146" s="3"/>
      <c r="S3146" s="3"/>
      <c r="T3146" s="3"/>
      <c r="U3146" s="3"/>
    </row>
    <row r="3147" spans="2:21" x14ac:dyDescent="0.25">
      <c r="B3147" s="2"/>
      <c r="C3147" s="2"/>
      <c r="D3147" s="4"/>
      <c r="E3147" s="4"/>
      <c r="F3147" s="4"/>
      <c r="Q3147" s="3"/>
      <c r="R3147" s="3"/>
      <c r="S3147" s="3"/>
      <c r="T3147" s="3"/>
      <c r="U3147" s="3"/>
    </row>
    <row r="3148" spans="2:21" x14ac:dyDescent="0.25">
      <c r="B3148" s="2"/>
      <c r="C3148" s="2"/>
      <c r="D3148" s="4"/>
      <c r="E3148" s="4"/>
      <c r="F3148" s="4"/>
      <c r="Q3148" s="3"/>
      <c r="R3148" s="3"/>
      <c r="S3148" s="3"/>
      <c r="T3148" s="3"/>
      <c r="U3148" s="3"/>
    </row>
    <row r="3149" spans="2:21" x14ac:dyDescent="0.25">
      <c r="B3149" s="2"/>
      <c r="C3149" s="2"/>
      <c r="D3149" s="4"/>
      <c r="E3149" s="4"/>
      <c r="F3149" s="4"/>
      <c r="Q3149" s="3"/>
      <c r="R3149" s="3"/>
      <c r="S3149" s="3"/>
      <c r="T3149" s="3"/>
      <c r="U3149" s="3"/>
    </row>
    <row r="3150" spans="2:21" x14ac:dyDescent="0.25">
      <c r="B3150" s="2"/>
      <c r="C3150" s="2"/>
      <c r="D3150" s="4"/>
      <c r="E3150" s="4"/>
      <c r="F3150" s="4"/>
      <c r="Q3150" s="3"/>
      <c r="R3150" s="3"/>
      <c r="S3150" s="3"/>
      <c r="T3150" s="3"/>
      <c r="U3150" s="3"/>
    </row>
    <row r="3151" spans="2:21" x14ac:dyDescent="0.25">
      <c r="B3151" s="2"/>
      <c r="C3151" s="2"/>
      <c r="D3151" s="4"/>
      <c r="E3151" s="4"/>
      <c r="F3151" s="4"/>
      <c r="Q3151" s="3"/>
      <c r="R3151" s="3"/>
      <c r="S3151" s="3"/>
      <c r="T3151" s="3"/>
      <c r="U3151" s="3"/>
    </row>
    <row r="3152" spans="2:21" x14ac:dyDescent="0.25">
      <c r="B3152" s="2"/>
      <c r="C3152" s="2"/>
      <c r="D3152" s="4"/>
      <c r="E3152" s="4"/>
      <c r="F3152" s="4"/>
      <c r="Q3152" s="3"/>
      <c r="R3152" s="3"/>
      <c r="S3152" s="3"/>
      <c r="T3152" s="3"/>
      <c r="U3152" s="3"/>
    </row>
    <row r="3153" spans="2:21" x14ac:dyDescent="0.25">
      <c r="B3153" s="2"/>
      <c r="C3153" s="2"/>
      <c r="D3153" s="4"/>
      <c r="E3153" s="4"/>
      <c r="F3153" s="4"/>
      <c r="Q3153" s="3"/>
      <c r="R3153" s="3"/>
      <c r="S3153" s="3"/>
      <c r="T3153" s="3"/>
      <c r="U3153" s="3"/>
    </row>
    <row r="3154" spans="2:21" x14ac:dyDescent="0.25">
      <c r="B3154" s="2"/>
      <c r="C3154" s="2"/>
      <c r="D3154" s="4"/>
      <c r="E3154" s="4"/>
      <c r="F3154" s="4"/>
      <c r="Q3154" s="3"/>
      <c r="R3154" s="3"/>
      <c r="S3154" s="3"/>
      <c r="T3154" s="3"/>
      <c r="U3154" s="3"/>
    </row>
    <row r="3155" spans="2:21" x14ac:dyDescent="0.25">
      <c r="B3155" s="2"/>
      <c r="C3155" s="2"/>
      <c r="D3155" s="4"/>
      <c r="E3155" s="4"/>
      <c r="F3155" s="4"/>
      <c r="Q3155" s="3"/>
      <c r="R3155" s="3"/>
      <c r="S3155" s="3"/>
      <c r="T3155" s="3"/>
      <c r="U3155" s="3"/>
    </row>
    <row r="3156" spans="2:21" x14ac:dyDescent="0.25">
      <c r="B3156" s="2"/>
      <c r="C3156" s="2"/>
      <c r="D3156" s="4"/>
      <c r="E3156" s="4"/>
      <c r="F3156" s="4"/>
      <c r="Q3156" s="3"/>
      <c r="R3156" s="3"/>
      <c r="S3156" s="3"/>
      <c r="T3156" s="3"/>
      <c r="U3156" s="3"/>
    </row>
    <row r="3157" spans="2:21" x14ac:dyDescent="0.25">
      <c r="B3157" s="2"/>
      <c r="C3157" s="2"/>
      <c r="D3157" s="4"/>
      <c r="E3157" s="4"/>
      <c r="F3157" s="4"/>
      <c r="Q3157" s="3"/>
      <c r="R3157" s="3"/>
      <c r="S3157" s="3"/>
      <c r="T3157" s="3"/>
      <c r="U3157" s="3"/>
    </row>
    <row r="3158" spans="2:21" x14ac:dyDescent="0.25">
      <c r="B3158" s="2"/>
      <c r="C3158" s="2"/>
      <c r="D3158" s="4"/>
      <c r="E3158" s="4"/>
      <c r="F3158" s="4"/>
      <c r="Q3158" s="3"/>
      <c r="R3158" s="3"/>
      <c r="S3158" s="3"/>
      <c r="T3158" s="3"/>
      <c r="U3158" s="3"/>
    </row>
    <row r="3159" spans="2:21" x14ac:dyDescent="0.25">
      <c r="B3159" s="2"/>
      <c r="C3159" s="2"/>
      <c r="D3159" s="4"/>
      <c r="E3159" s="4"/>
      <c r="F3159" s="4"/>
      <c r="Q3159" s="3"/>
      <c r="R3159" s="3"/>
      <c r="S3159" s="3"/>
      <c r="T3159" s="3"/>
      <c r="U3159" s="3"/>
    </row>
    <row r="3160" spans="2:21" x14ac:dyDescent="0.25">
      <c r="B3160" s="2"/>
      <c r="C3160" s="2"/>
      <c r="D3160" s="4"/>
      <c r="E3160" s="4"/>
      <c r="F3160" s="4"/>
      <c r="Q3160" s="3"/>
      <c r="R3160" s="3"/>
      <c r="S3160" s="3"/>
      <c r="T3160" s="3"/>
      <c r="U3160" s="3"/>
    </row>
    <row r="3161" spans="2:21" x14ac:dyDescent="0.25">
      <c r="B3161" s="2"/>
      <c r="C3161" s="2"/>
      <c r="D3161" s="4"/>
      <c r="E3161" s="4"/>
      <c r="F3161" s="4"/>
      <c r="Q3161" s="3"/>
      <c r="R3161" s="3"/>
      <c r="S3161" s="3"/>
      <c r="T3161" s="3"/>
      <c r="U3161" s="3"/>
    </row>
    <row r="3162" spans="2:21" x14ac:dyDescent="0.25">
      <c r="B3162" s="2"/>
      <c r="C3162" s="2"/>
      <c r="D3162" s="4"/>
      <c r="E3162" s="4"/>
      <c r="F3162" s="4"/>
      <c r="Q3162" s="3"/>
      <c r="R3162" s="3"/>
      <c r="S3162" s="3"/>
      <c r="T3162" s="3"/>
      <c r="U3162" s="3"/>
    </row>
    <row r="3163" spans="2:21" x14ac:dyDescent="0.25">
      <c r="B3163" s="2"/>
      <c r="C3163" s="2"/>
      <c r="D3163" s="4"/>
      <c r="E3163" s="4"/>
      <c r="F3163" s="4"/>
      <c r="Q3163" s="3"/>
      <c r="R3163" s="3"/>
      <c r="S3163" s="3"/>
      <c r="T3163" s="3"/>
      <c r="U3163" s="3"/>
    </row>
    <row r="3164" spans="2:21" x14ac:dyDescent="0.25">
      <c r="B3164" s="2"/>
      <c r="C3164" s="2"/>
      <c r="D3164" s="4"/>
      <c r="E3164" s="4"/>
      <c r="F3164" s="4"/>
      <c r="Q3164" s="3"/>
      <c r="R3164" s="3"/>
      <c r="S3164" s="3"/>
      <c r="T3164" s="3"/>
      <c r="U3164" s="3"/>
    </row>
    <row r="3165" spans="2:21" x14ac:dyDescent="0.25">
      <c r="B3165" s="2"/>
      <c r="C3165" s="2"/>
      <c r="D3165" s="4"/>
      <c r="E3165" s="4"/>
      <c r="F3165" s="4"/>
      <c r="Q3165" s="3"/>
      <c r="R3165" s="3"/>
      <c r="S3165" s="3"/>
      <c r="T3165" s="3"/>
      <c r="U3165" s="3"/>
    </row>
    <row r="3166" spans="2:21" x14ac:dyDescent="0.25">
      <c r="B3166" s="2"/>
      <c r="C3166" s="2"/>
      <c r="D3166" s="4"/>
      <c r="E3166" s="4"/>
      <c r="F3166" s="4"/>
      <c r="Q3166" s="3"/>
      <c r="R3166" s="3"/>
      <c r="S3166" s="3"/>
      <c r="T3166" s="3"/>
      <c r="U3166" s="3"/>
    </row>
    <row r="3167" spans="2:21" x14ac:dyDescent="0.25">
      <c r="B3167" s="2"/>
      <c r="C3167" s="2"/>
      <c r="D3167" s="4"/>
      <c r="E3167" s="4"/>
      <c r="F3167" s="4"/>
      <c r="Q3167" s="3"/>
      <c r="R3167" s="3"/>
      <c r="S3167" s="3"/>
      <c r="T3167" s="3"/>
      <c r="U3167" s="3"/>
    </row>
    <row r="3168" spans="2:21" x14ac:dyDescent="0.25">
      <c r="B3168" s="2"/>
      <c r="C3168" s="2"/>
      <c r="D3168" s="4"/>
      <c r="E3168" s="4"/>
      <c r="F3168" s="4"/>
      <c r="Q3168" s="3"/>
      <c r="R3168" s="3"/>
      <c r="S3168" s="3"/>
      <c r="T3168" s="3"/>
      <c r="U3168" s="3"/>
    </row>
    <row r="3169" spans="2:21" x14ac:dyDescent="0.25">
      <c r="B3169" s="2"/>
      <c r="C3169" s="2"/>
      <c r="D3169" s="4"/>
      <c r="E3169" s="4"/>
      <c r="F3169" s="4"/>
      <c r="Q3169" s="3"/>
      <c r="R3169" s="3"/>
      <c r="S3169" s="3"/>
      <c r="T3169" s="3"/>
      <c r="U3169" s="3"/>
    </row>
    <row r="3170" spans="2:21" x14ac:dyDescent="0.25">
      <c r="B3170" s="2"/>
      <c r="C3170" s="2"/>
      <c r="D3170" s="4"/>
      <c r="E3170" s="4"/>
      <c r="F3170" s="4"/>
      <c r="Q3170" s="3"/>
      <c r="R3170" s="3"/>
      <c r="S3170" s="3"/>
      <c r="T3170" s="3"/>
      <c r="U3170" s="3"/>
    </row>
    <row r="3171" spans="2:21" x14ac:dyDescent="0.25">
      <c r="B3171" s="2"/>
      <c r="C3171" s="2"/>
      <c r="D3171" s="4"/>
      <c r="E3171" s="4"/>
      <c r="F3171" s="4"/>
      <c r="Q3171" s="3"/>
      <c r="R3171" s="3"/>
      <c r="S3171" s="3"/>
      <c r="T3171" s="3"/>
      <c r="U3171" s="3"/>
    </row>
    <row r="3172" spans="2:21" x14ac:dyDescent="0.25">
      <c r="B3172" s="2"/>
      <c r="C3172" s="2"/>
      <c r="D3172" s="4"/>
      <c r="E3172" s="4"/>
      <c r="F3172" s="4"/>
      <c r="Q3172" s="3"/>
      <c r="R3172" s="3"/>
      <c r="S3172" s="3"/>
      <c r="T3172" s="3"/>
      <c r="U3172" s="3"/>
    </row>
    <row r="3173" spans="2:21" x14ac:dyDescent="0.25">
      <c r="B3173" s="2"/>
      <c r="C3173" s="2"/>
      <c r="D3173" s="4"/>
      <c r="E3173" s="4"/>
      <c r="F3173" s="4"/>
      <c r="Q3173" s="3"/>
      <c r="R3173" s="3"/>
      <c r="S3173" s="3"/>
      <c r="T3173" s="3"/>
      <c r="U3173" s="3"/>
    </row>
    <row r="3174" spans="2:21" x14ac:dyDescent="0.25">
      <c r="B3174" s="2"/>
      <c r="C3174" s="2"/>
      <c r="D3174" s="4"/>
      <c r="E3174" s="4"/>
      <c r="F3174" s="4"/>
      <c r="Q3174" s="3"/>
      <c r="R3174" s="3"/>
      <c r="S3174" s="3"/>
      <c r="T3174" s="3"/>
      <c r="U3174" s="3"/>
    </row>
    <row r="3175" spans="2:21" x14ac:dyDescent="0.25">
      <c r="B3175" s="2"/>
      <c r="C3175" s="2"/>
      <c r="D3175" s="4"/>
      <c r="E3175" s="4"/>
      <c r="F3175" s="4"/>
      <c r="Q3175" s="3"/>
      <c r="R3175" s="3"/>
      <c r="S3175" s="3"/>
      <c r="T3175" s="3"/>
      <c r="U3175" s="3"/>
    </row>
    <row r="3176" spans="2:21" x14ac:dyDescent="0.25">
      <c r="B3176" s="2"/>
      <c r="C3176" s="2"/>
      <c r="D3176" s="4"/>
      <c r="E3176" s="4"/>
      <c r="F3176" s="4"/>
      <c r="Q3176" s="3"/>
      <c r="R3176" s="3"/>
      <c r="S3176" s="3"/>
      <c r="T3176" s="3"/>
      <c r="U3176" s="3"/>
    </row>
    <row r="3177" spans="2:21" x14ac:dyDescent="0.25">
      <c r="B3177" s="2"/>
      <c r="C3177" s="2"/>
      <c r="D3177" s="4"/>
      <c r="E3177" s="4"/>
      <c r="F3177" s="4"/>
      <c r="Q3177" s="3"/>
      <c r="R3177" s="3"/>
      <c r="S3177" s="3"/>
      <c r="T3177" s="3"/>
      <c r="U3177" s="3"/>
    </row>
    <row r="3178" spans="2:21" x14ac:dyDescent="0.25">
      <c r="B3178" s="2"/>
      <c r="C3178" s="2"/>
      <c r="D3178" s="4"/>
      <c r="E3178" s="4"/>
      <c r="F3178" s="4"/>
      <c r="Q3178" s="3"/>
      <c r="R3178" s="3"/>
      <c r="S3178" s="3"/>
      <c r="T3178" s="3"/>
      <c r="U3178" s="3"/>
    </row>
    <row r="3179" spans="2:21" x14ac:dyDescent="0.25">
      <c r="B3179" s="2"/>
      <c r="C3179" s="2"/>
      <c r="D3179" s="4"/>
      <c r="E3179" s="4"/>
      <c r="F3179" s="4"/>
      <c r="Q3179" s="3"/>
      <c r="R3179" s="3"/>
      <c r="S3179" s="3"/>
      <c r="T3179" s="3"/>
      <c r="U3179" s="3"/>
    </row>
    <row r="3180" spans="2:21" x14ac:dyDescent="0.25">
      <c r="B3180" s="2"/>
      <c r="C3180" s="2"/>
      <c r="D3180" s="4"/>
      <c r="E3180" s="4"/>
      <c r="F3180" s="4"/>
      <c r="Q3180" s="3"/>
      <c r="R3180" s="3"/>
      <c r="S3180" s="3"/>
      <c r="T3180" s="3"/>
      <c r="U3180" s="3"/>
    </row>
    <row r="3181" spans="2:21" x14ac:dyDescent="0.25">
      <c r="B3181" s="2"/>
      <c r="C3181" s="2"/>
      <c r="D3181" s="4"/>
      <c r="E3181" s="4"/>
      <c r="F3181" s="4"/>
      <c r="Q3181" s="3"/>
      <c r="R3181" s="3"/>
      <c r="S3181" s="3"/>
      <c r="T3181" s="3"/>
      <c r="U3181" s="3"/>
    </row>
    <row r="3182" spans="2:21" x14ac:dyDescent="0.25">
      <c r="B3182" s="2"/>
      <c r="C3182" s="2"/>
      <c r="D3182" s="4"/>
      <c r="E3182" s="4"/>
      <c r="F3182" s="4"/>
      <c r="Q3182" s="3"/>
      <c r="R3182" s="3"/>
      <c r="S3182" s="3"/>
      <c r="T3182" s="3"/>
      <c r="U3182" s="3"/>
    </row>
    <row r="3183" spans="2:21" x14ac:dyDescent="0.25">
      <c r="B3183" s="2"/>
      <c r="C3183" s="2"/>
      <c r="D3183" s="4"/>
      <c r="E3183" s="4"/>
      <c r="F3183" s="4"/>
      <c r="Q3183" s="3"/>
      <c r="R3183" s="3"/>
      <c r="S3183" s="3"/>
      <c r="T3183" s="3"/>
      <c r="U3183" s="3"/>
    </row>
    <row r="3184" spans="2:21" x14ac:dyDescent="0.25">
      <c r="B3184" s="2"/>
      <c r="C3184" s="2"/>
      <c r="D3184" s="4"/>
      <c r="E3184" s="4"/>
      <c r="F3184" s="4"/>
      <c r="Q3184" s="3"/>
      <c r="R3184" s="3"/>
      <c r="S3184" s="3"/>
      <c r="T3184" s="3"/>
      <c r="U3184" s="3"/>
    </row>
    <row r="3185" spans="2:21" x14ac:dyDescent="0.25">
      <c r="B3185" s="2"/>
      <c r="C3185" s="2"/>
      <c r="D3185" s="4"/>
      <c r="E3185" s="4"/>
      <c r="F3185" s="4"/>
      <c r="Q3185" s="3"/>
      <c r="R3185" s="3"/>
      <c r="S3185" s="3"/>
      <c r="T3185" s="3"/>
      <c r="U3185" s="3"/>
    </row>
    <row r="3186" spans="2:21" x14ac:dyDescent="0.25">
      <c r="B3186" s="2"/>
      <c r="C3186" s="2"/>
      <c r="D3186" s="4"/>
      <c r="E3186" s="4"/>
      <c r="F3186" s="4"/>
      <c r="Q3186" s="3"/>
      <c r="R3186" s="3"/>
      <c r="S3186" s="3"/>
      <c r="T3186" s="3"/>
      <c r="U3186" s="3"/>
    </row>
    <row r="3187" spans="2:21" x14ac:dyDescent="0.25">
      <c r="B3187" s="2"/>
      <c r="C3187" s="2"/>
      <c r="D3187" s="4"/>
      <c r="E3187" s="4"/>
      <c r="F3187" s="4"/>
      <c r="Q3187" s="3"/>
      <c r="R3187" s="3"/>
      <c r="S3187" s="3"/>
      <c r="T3187" s="3"/>
      <c r="U3187" s="3"/>
    </row>
    <row r="3188" spans="2:21" x14ac:dyDescent="0.25">
      <c r="B3188" s="2"/>
      <c r="C3188" s="2"/>
      <c r="D3188" s="4"/>
      <c r="E3188" s="4"/>
      <c r="F3188" s="4"/>
      <c r="Q3188" s="3"/>
      <c r="R3188" s="3"/>
      <c r="S3188" s="3"/>
      <c r="T3188" s="3"/>
      <c r="U3188" s="3"/>
    </row>
    <row r="3189" spans="2:21" x14ac:dyDescent="0.25">
      <c r="B3189" s="2"/>
      <c r="C3189" s="2"/>
      <c r="D3189" s="4"/>
      <c r="E3189" s="4"/>
      <c r="F3189" s="4"/>
      <c r="Q3189" s="3"/>
      <c r="R3189" s="3"/>
      <c r="S3189" s="3"/>
      <c r="T3189" s="3"/>
      <c r="U3189" s="3"/>
    </row>
    <row r="3190" spans="2:21" x14ac:dyDescent="0.25">
      <c r="B3190" s="2"/>
      <c r="C3190" s="2"/>
      <c r="D3190" s="4"/>
      <c r="E3190" s="4"/>
      <c r="F3190" s="4"/>
      <c r="Q3190" s="3"/>
      <c r="R3190" s="3"/>
      <c r="S3190" s="3"/>
      <c r="T3190" s="3"/>
      <c r="U3190" s="3"/>
    </row>
    <row r="3191" spans="2:21" x14ac:dyDescent="0.25">
      <c r="B3191" s="2"/>
      <c r="C3191" s="2"/>
      <c r="D3191" s="4"/>
      <c r="E3191" s="4"/>
      <c r="F3191" s="4"/>
      <c r="Q3191" s="3"/>
      <c r="R3191" s="3"/>
      <c r="S3191" s="3"/>
      <c r="T3191" s="3"/>
      <c r="U3191" s="3"/>
    </row>
    <row r="3192" spans="2:21" x14ac:dyDescent="0.25">
      <c r="B3192" s="2"/>
      <c r="C3192" s="2"/>
      <c r="D3192" s="4"/>
      <c r="E3192" s="4"/>
      <c r="F3192" s="4"/>
      <c r="Q3192" s="3"/>
      <c r="R3192" s="3"/>
      <c r="S3192" s="3"/>
      <c r="T3192" s="3"/>
      <c r="U3192" s="3"/>
    </row>
    <row r="3193" spans="2:21" x14ac:dyDescent="0.25">
      <c r="B3193" s="2"/>
      <c r="C3193" s="2"/>
      <c r="D3193" s="4"/>
      <c r="E3193" s="4"/>
      <c r="F3193" s="4"/>
      <c r="Q3193" s="3"/>
      <c r="R3193" s="3"/>
      <c r="S3193" s="3"/>
      <c r="T3193" s="3"/>
      <c r="U3193" s="3"/>
    </row>
    <row r="3194" spans="2:21" x14ac:dyDescent="0.25">
      <c r="B3194" s="2"/>
      <c r="C3194" s="2"/>
      <c r="D3194" s="4"/>
      <c r="E3194" s="4"/>
      <c r="F3194" s="4"/>
      <c r="Q3194" s="3"/>
      <c r="R3194" s="3"/>
      <c r="S3194" s="3"/>
      <c r="T3194" s="3"/>
      <c r="U3194" s="3"/>
    </row>
    <row r="3195" spans="2:21" x14ac:dyDescent="0.25">
      <c r="B3195" s="2"/>
      <c r="C3195" s="2"/>
      <c r="D3195" s="4"/>
      <c r="E3195" s="4"/>
      <c r="F3195" s="4"/>
      <c r="Q3195" s="3"/>
      <c r="R3195" s="3"/>
      <c r="S3195" s="3"/>
      <c r="T3195" s="3"/>
      <c r="U3195" s="3"/>
    </row>
    <row r="3196" spans="2:21" x14ac:dyDescent="0.25">
      <c r="B3196" s="2"/>
      <c r="C3196" s="2"/>
      <c r="D3196" s="4"/>
      <c r="E3196" s="4"/>
      <c r="F3196" s="4"/>
      <c r="Q3196" s="3"/>
      <c r="R3196" s="3"/>
      <c r="S3196" s="3"/>
      <c r="T3196" s="3"/>
      <c r="U3196" s="3"/>
    </row>
    <row r="3197" spans="2:21" x14ac:dyDescent="0.25">
      <c r="B3197" s="2"/>
      <c r="C3197" s="2"/>
      <c r="D3197" s="4"/>
      <c r="E3197" s="4"/>
      <c r="F3197" s="4"/>
      <c r="Q3197" s="3"/>
      <c r="R3197" s="3"/>
      <c r="S3197" s="3"/>
      <c r="T3197" s="3"/>
      <c r="U3197" s="3"/>
    </row>
    <row r="3198" spans="2:21" x14ac:dyDescent="0.25">
      <c r="B3198" s="2"/>
      <c r="C3198" s="2"/>
      <c r="D3198" s="4"/>
      <c r="E3198" s="4"/>
      <c r="F3198" s="4"/>
      <c r="Q3198" s="3"/>
      <c r="R3198" s="3"/>
      <c r="S3198" s="3"/>
      <c r="T3198" s="3"/>
      <c r="U3198" s="3"/>
    </row>
    <row r="3199" spans="2:21" x14ac:dyDescent="0.25">
      <c r="B3199" s="2"/>
      <c r="C3199" s="2"/>
      <c r="D3199" s="4"/>
      <c r="E3199" s="4"/>
      <c r="F3199" s="4"/>
      <c r="Q3199" s="3"/>
      <c r="R3199" s="3"/>
      <c r="S3199" s="3"/>
      <c r="T3199" s="3"/>
      <c r="U3199" s="3"/>
    </row>
    <row r="3200" spans="2:21" x14ac:dyDescent="0.25">
      <c r="B3200" s="2"/>
      <c r="C3200" s="2"/>
      <c r="D3200" s="4"/>
      <c r="E3200" s="4"/>
      <c r="F3200" s="4"/>
      <c r="Q3200" s="3"/>
      <c r="R3200" s="3"/>
      <c r="S3200" s="3"/>
      <c r="T3200" s="3"/>
      <c r="U3200" s="3"/>
    </row>
    <row r="3201" spans="2:21" x14ac:dyDescent="0.25">
      <c r="B3201" s="2"/>
      <c r="C3201" s="2"/>
      <c r="D3201" s="4"/>
      <c r="E3201" s="4"/>
      <c r="F3201" s="4"/>
      <c r="Q3201" s="3"/>
      <c r="R3201" s="3"/>
      <c r="S3201" s="3"/>
      <c r="T3201" s="3"/>
      <c r="U3201" s="3"/>
    </row>
    <row r="3202" spans="2:21" x14ac:dyDescent="0.25">
      <c r="B3202" s="2"/>
      <c r="C3202" s="2"/>
      <c r="D3202" s="4"/>
      <c r="E3202" s="4"/>
      <c r="F3202" s="4"/>
      <c r="Q3202" s="3"/>
      <c r="R3202" s="3"/>
      <c r="S3202" s="3"/>
      <c r="T3202" s="3"/>
      <c r="U3202" s="3"/>
    </row>
    <row r="3203" spans="2:21" x14ac:dyDescent="0.25">
      <c r="B3203" s="2"/>
      <c r="C3203" s="2"/>
      <c r="D3203" s="4"/>
      <c r="E3203" s="4"/>
      <c r="F3203" s="4"/>
      <c r="Q3203" s="3"/>
      <c r="R3203" s="3"/>
      <c r="S3203" s="3"/>
      <c r="T3203" s="3"/>
      <c r="U3203" s="3"/>
    </row>
    <row r="3204" spans="2:21" x14ac:dyDescent="0.25">
      <c r="B3204" s="2"/>
      <c r="C3204" s="2"/>
      <c r="D3204" s="4"/>
      <c r="E3204" s="4"/>
      <c r="F3204" s="4"/>
      <c r="Q3204" s="3"/>
      <c r="R3204" s="3"/>
      <c r="S3204" s="3"/>
      <c r="T3204" s="3"/>
      <c r="U3204" s="3"/>
    </row>
    <row r="3205" spans="2:21" x14ac:dyDescent="0.25">
      <c r="B3205" s="2"/>
      <c r="C3205" s="2"/>
      <c r="D3205" s="4"/>
      <c r="E3205" s="4"/>
      <c r="F3205" s="4"/>
      <c r="Q3205" s="3"/>
      <c r="R3205" s="3"/>
      <c r="S3205" s="3"/>
      <c r="T3205" s="3"/>
      <c r="U3205" s="3"/>
    </row>
    <row r="3206" spans="2:21" x14ac:dyDescent="0.25">
      <c r="B3206" s="2"/>
      <c r="C3206" s="2"/>
      <c r="D3206" s="4"/>
      <c r="E3206" s="4"/>
      <c r="F3206" s="4"/>
      <c r="Q3206" s="3"/>
      <c r="R3206" s="3"/>
      <c r="S3206" s="3"/>
      <c r="T3206" s="3"/>
      <c r="U3206" s="3"/>
    </row>
    <row r="3207" spans="2:21" x14ac:dyDescent="0.25">
      <c r="B3207" s="2"/>
      <c r="C3207" s="2"/>
      <c r="D3207" s="4"/>
      <c r="E3207" s="4"/>
      <c r="F3207" s="4"/>
      <c r="Q3207" s="3"/>
      <c r="R3207" s="3"/>
      <c r="S3207" s="3"/>
      <c r="T3207" s="3"/>
      <c r="U3207" s="3"/>
    </row>
    <row r="3208" spans="2:21" x14ac:dyDescent="0.25">
      <c r="B3208" s="2"/>
      <c r="C3208" s="2"/>
      <c r="D3208" s="4"/>
      <c r="E3208" s="4"/>
      <c r="F3208" s="4"/>
      <c r="Q3208" s="3"/>
      <c r="R3208" s="3"/>
      <c r="S3208" s="3"/>
      <c r="T3208" s="3"/>
      <c r="U3208" s="3"/>
    </row>
    <row r="3209" spans="2:21" x14ac:dyDescent="0.25">
      <c r="B3209" s="2"/>
      <c r="C3209" s="2"/>
      <c r="D3209" s="4"/>
      <c r="E3209" s="4"/>
      <c r="F3209" s="4"/>
      <c r="Q3209" s="3"/>
      <c r="R3209" s="3"/>
      <c r="S3209" s="3"/>
      <c r="T3209" s="3"/>
      <c r="U3209" s="3"/>
    </row>
    <row r="3210" spans="2:21" x14ac:dyDescent="0.25">
      <c r="B3210" s="2"/>
      <c r="C3210" s="2"/>
      <c r="D3210" s="4"/>
      <c r="E3210" s="4"/>
      <c r="F3210" s="4"/>
      <c r="Q3210" s="3"/>
      <c r="R3210" s="3"/>
      <c r="S3210" s="3"/>
      <c r="T3210" s="3"/>
      <c r="U3210" s="3"/>
    </row>
    <row r="3211" spans="2:21" x14ac:dyDescent="0.25">
      <c r="B3211" s="2"/>
      <c r="C3211" s="2"/>
      <c r="D3211" s="4"/>
      <c r="E3211" s="4"/>
      <c r="F3211" s="4"/>
      <c r="Q3211" s="3"/>
      <c r="R3211" s="3"/>
      <c r="S3211" s="3"/>
      <c r="T3211" s="3"/>
      <c r="U3211" s="3"/>
    </row>
    <row r="3212" spans="2:21" x14ac:dyDescent="0.25">
      <c r="B3212" s="2"/>
      <c r="C3212" s="2"/>
      <c r="D3212" s="4"/>
      <c r="E3212" s="4"/>
      <c r="F3212" s="4"/>
      <c r="Q3212" s="3"/>
      <c r="R3212" s="3"/>
      <c r="S3212" s="3"/>
      <c r="T3212" s="3"/>
      <c r="U3212" s="3"/>
    </row>
    <row r="3213" spans="2:21" x14ac:dyDescent="0.25">
      <c r="B3213" s="2"/>
      <c r="C3213" s="2"/>
      <c r="D3213" s="4"/>
      <c r="E3213" s="4"/>
      <c r="F3213" s="4"/>
      <c r="Q3213" s="3"/>
      <c r="R3213" s="3"/>
      <c r="S3213" s="3"/>
      <c r="T3213" s="3"/>
      <c r="U3213" s="3"/>
    </row>
    <row r="3214" spans="2:21" x14ac:dyDescent="0.25">
      <c r="B3214" s="2"/>
      <c r="C3214" s="2"/>
      <c r="D3214" s="4"/>
      <c r="E3214" s="4"/>
      <c r="F3214" s="4"/>
      <c r="Q3214" s="3"/>
      <c r="R3214" s="3"/>
      <c r="S3214" s="3"/>
      <c r="T3214" s="3"/>
      <c r="U3214" s="3"/>
    </row>
    <row r="3215" spans="2:21" x14ac:dyDescent="0.25">
      <c r="B3215" s="2"/>
      <c r="C3215" s="2"/>
      <c r="D3215" s="4"/>
      <c r="E3215" s="4"/>
      <c r="F3215" s="4"/>
      <c r="Q3215" s="3"/>
      <c r="R3215" s="3"/>
      <c r="S3215" s="3"/>
      <c r="T3215" s="3"/>
      <c r="U3215" s="3"/>
    </row>
    <row r="3216" spans="2:21" x14ac:dyDescent="0.25">
      <c r="B3216" s="2"/>
      <c r="C3216" s="2"/>
      <c r="D3216" s="4"/>
      <c r="E3216" s="4"/>
      <c r="F3216" s="4"/>
      <c r="Q3216" s="3"/>
      <c r="R3216" s="3"/>
      <c r="S3216" s="3"/>
      <c r="T3216" s="3"/>
      <c r="U3216" s="3"/>
    </row>
    <row r="3217" spans="2:21" x14ac:dyDescent="0.25">
      <c r="B3217" s="2"/>
      <c r="C3217" s="2"/>
      <c r="D3217" s="4"/>
      <c r="E3217" s="4"/>
      <c r="F3217" s="4"/>
      <c r="Q3217" s="3"/>
      <c r="R3217" s="3"/>
      <c r="S3217" s="3"/>
      <c r="T3217" s="3"/>
      <c r="U3217" s="3"/>
    </row>
    <row r="3218" spans="2:21" x14ac:dyDescent="0.25">
      <c r="B3218" s="2"/>
      <c r="C3218" s="2"/>
      <c r="D3218" s="4"/>
      <c r="E3218" s="4"/>
      <c r="F3218" s="4"/>
      <c r="Q3218" s="3"/>
      <c r="R3218" s="3"/>
      <c r="S3218" s="3"/>
      <c r="T3218" s="3"/>
      <c r="U3218" s="3"/>
    </row>
    <row r="3219" spans="2:21" x14ac:dyDescent="0.25">
      <c r="B3219" s="2"/>
      <c r="C3219" s="2"/>
      <c r="D3219" s="4"/>
      <c r="E3219" s="4"/>
      <c r="F3219" s="4"/>
      <c r="Q3219" s="3"/>
      <c r="R3219" s="3"/>
      <c r="S3219" s="3"/>
      <c r="T3219" s="3"/>
      <c r="U3219" s="3"/>
    </row>
    <row r="3220" spans="2:21" x14ac:dyDescent="0.25">
      <c r="B3220" s="2"/>
      <c r="C3220" s="2"/>
      <c r="D3220" s="4"/>
      <c r="E3220" s="4"/>
      <c r="F3220" s="4"/>
      <c r="Q3220" s="3"/>
      <c r="R3220" s="3"/>
      <c r="S3220" s="3"/>
      <c r="T3220" s="3"/>
      <c r="U3220" s="3"/>
    </row>
    <row r="3221" spans="2:21" x14ac:dyDescent="0.25">
      <c r="B3221" s="2"/>
      <c r="C3221" s="2"/>
      <c r="D3221" s="4"/>
      <c r="E3221" s="4"/>
      <c r="F3221" s="4"/>
      <c r="Q3221" s="3"/>
      <c r="R3221" s="3"/>
      <c r="S3221" s="3"/>
      <c r="T3221" s="3"/>
      <c r="U3221" s="3"/>
    </row>
    <row r="3222" spans="2:21" x14ac:dyDescent="0.25">
      <c r="B3222" s="2"/>
      <c r="C3222" s="2"/>
      <c r="D3222" s="4"/>
      <c r="E3222" s="4"/>
      <c r="F3222" s="4"/>
      <c r="Q3222" s="3"/>
      <c r="R3222" s="3"/>
      <c r="S3222" s="3"/>
      <c r="T3222" s="3"/>
      <c r="U3222" s="3"/>
    </row>
    <row r="3223" spans="2:21" x14ac:dyDescent="0.25">
      <c r="B3223" s="2"/>
      <c r="C3223" s="2"/>
      <c r="D3223" s="4"/>
      <c r="E3223" s="4"/>
      <c r="F3223" s="4"/>
      <c r="Q3223" s="3"/>
      <c r="R3223" s="3"/>
      <c r="S3223" s="3"/>
      <c r="T3223" s="3"/>
      <c r="U3223" s="3"/>
    </row>
    <row r="3224" spans="2:21" x14ac:dyDescent="0.25">
      <c r="B3224" s="2"/>
      <c r="C3224" s="2"/>
      <c r="D3224" s="4"/>
      <c r="E3224" s="4"/>
      <c r="F3224" s="4"/>
      <c r="Q3224" s="3"/>
      <c r="R3224" s="3"/>
      <c r="S3224" s="3"/>
      <c r="T3224" s="3"/>
      <c r="U3224" s="3"/>
    </row>
    <row r="3225" spans="2:21" x14ac:dyDescent="0.25">
      <c r="B3225" s="2"/>
      <c r="C3225" s="2"/>
      <c r="D3225" s="4"/>
      <c r="E3225" s="4"/>
      <c r="F3225" s="4"/>
      <c r="Q3225" s="3"/>
      <c r="R3225" s="3"/>
      <c r="S3225" s="3"/>
      <c r="T3225" s="3"/>
      <c r="U3225" s="3"/>
    </row>
    <row r="3226" spans="2:21" x14ac:dyDescent="0.25">
      <c r="B3226" s="2"/>
      <c r="C3226" s="2"/>
      <c r="D3226" s="4"/>
      <c r="E3226" s="4"/>
      <c r="F3226" s="4"/>
      <c r="Q3226" s="3"/>
      <c r="R3226" s="3"/>
      <c r="S3226" s="3"/>
      <c r="T3226" s="3"/>
      <c r="U3226" s="3"/>
    </row>
    <row r="3227" spans="2:21" x14ac:dyDescent="0.25">
      <c r="B3227" s="2"/>
      <c r="C3227" s="2"/>
      <c r="D3227" s="4"/>
      <c r="E3227" s="4"/>
      <c r="F3227" s="4"/>
      <c r="Q3227" s="3"/>
      <c r="R3227" s="3"/>
      <c r="S3227" s="3"/>
      <c r="T3227" s="3"/>
      <c r="U3227" s="3"/>
    </row>
    <row r="3228" spans="2:21" x14ac:dyDescent="0.25">
      <c r="B3228" s="2"/>
      <c r="C3228" s="2"/>
      <c r="D3228" s="4"/>
      <c r="E3228" s="4"/>
      <c r="F3228" s="4"/>
      <c r="Q3228" s="3"/>
      <c r="R3228" s="3"/>
      <c r="S3228" s="3"/>
      <c r="T3228" s="3"/>
      <c r="U3228" s="3"/>
    </row>
    <row r="3229" spans="2:21" x14ac:dyDescent="0.25">
      <c r="B3229" s="2"/>
      <c r="C3229" s="2"/>
      <c r="D3229" s="4"/>
      <c r="E3229" s="4"/>
      <c r="F3229" s="4"/>
      <c r="Q3229" s="3"/>
      <c r="R3229" s="3"/>
      <c r="S3229" s="3"/>
      <c r="T3229" s="3"/>
      <c r="U3229" s="3"/>
    </row>
    <row r="3230" spans="2:21" x14ac:dyDescent="0.25">
      <c r="B3230" s="2"/>
      <c r="C3230" s="2"/>
      <c r="D3230" s="4"/>
      <c r="E3230" s="4"/>
      <c r="F3230" s="4"/>
      <c r="Q3230" s="3"/>
      <c r="R3230" s="3"/>
      <c r="S3230" s="3"/>
      <c r="T3230" s="3"/>
      <c r="U3230" s="3"/>
    </row>
    <row r="3231" spans="2:21" x14ac:dyDescent="0.25">
      <c r="B3231" s="2"/>
      <c r="C3231" s="2"/>
      <c r="D3231" s="4"/>
      <c r="E3231" s="4"/>
      <c r="F3231" s="4"/>
      <c r="Q3231" s="3"/>
      <c r="R3231" s="3"/>
      <c r="S3231" s="3"/>
      <c r="T3231" s="3"/>
      <c r="U3231" s="3"/>
    </row>
    <row r="3232" spans="2:21" x14ac:dyDescent="0.25">
      <c r="B3232" s="2"/>
      <c r="C3232" s="2"/>
      <c r="D3232" s="4"/>
      <c r="E3232" s="4"/>
      <c r="F3232" s="4"/>
      <c r="Q3232" s="3"/>
      <c r="R3232" s="3"/>
      <c r="S3232" s="3"/>
      <c r="T3232" s="3"/>
      <c r="U3232" s="3"/>
    </row>
    <row r="3233" spans="2:21" x14ac:dyDescent="0.25">
      <c r="B3233" s="2"/>
      <c r="C3233" s="2"/>
      <c r="D3233" s="4"/>
      <c r="E3233" s="4"/>
      <c r="F3233" s="4"/>
      <c r="Q3233" s="3"/>
      <c r="R3233" s="3"/>
      <c r="S3233" s="3"/>
      <c r="T3233" s="3"/>
      <c r="U3233" s="3"/>
    </row>
    <row r="3234" spans="2:21" x14ac:dyDescent="0.25">
      <c r="B3234" s="2"/>
      <c r="C3234" s="2"/>
      <c r="D3234" s="4"/>
      <c r="E3234" s="4"/>
      <c r="F3234" s="4"/>
      <c r="Q3234" s="3"/>
      <c r="R3234" s="3"/>
      <c r="S3234" s="3"/>
      <c r="T3234" s="3"/>
      <c r="U3234" s="3"/>
    </row>
    <row r="3235" spans="2:21" x14ac:dyDescent="0.25">
      <c r="B3235" s="2"/>
      <c r="C3235" s="2"/>
      <c r="D3235" s="4"/>
      <c r="E3235" s="4"/>
      <c r="F3235" s="4"/>
      <c r="Q3235" s="3"/>
      <c r="R3235" s="3"/>
      <c r="S3235" s="3"/>
      <c r="T3235" s="3"/>
      <c r="U3235" s="3"/>
    </row>
    <row r="3236" spans="2:21" x14ac:dyDescent="0.25">
      <c r="B3236" s="2"/>
      <c r="C3236" s="2"/>
      <c r="D3236" s="4"/>
      <c r="E3236" s="4"/>
      <c r="F3236" s="4"/>
      <c r="Q3236" s="3"/>
      <c r="R3236" s="3"/>
      <c r="S3236" s="3"/>
      <c r="T3236" s="3"/>
      <c r="U3236" s="3"/>
    </row>
    <row r="3237" spans="2:21" x14ac:dyDescent="0.25">
      <c r="B3237" s="2"/>
      <c r="C3237" s="2"/>
      <c r="D3237" s="4"/>
      <c r="E3237" s="4"/>
      <c r="F3237" s="4"/>
      <c r="Q3237" s="3"/>
      <c r="R3237" s="3"/>
      <c r="S3237" s="3"/>
      <c r="T3237" s="3"/>
      <c r="U3237" s="3"/>
    </row>
    <row r="3238" spans="2:21" x14ac:dyDescent="0.25">
      <c r="B3238" s="2"/>
      <c r="C3238" s="2"/>
      <c r="D3238" s="4"/>
      <c r="E3238" s="4"/>
      <c r="F3238" s="4"/>
      <c r="Q3238" s="3"/>
      <c r="R3238" s="3"/>
      <c r="S3238" s="3"/>
      <c r="T3238" s="3"/>
      <c r="U3238" s="3"/>
    </row>
    <row r="3239" spans="2:21" x14ac:dyDescent="0.25">
      <c r="B3239" s="2"/>
      <c r="C3239" s="2"/>
      <c r="D3239" s="4"/>
      <c r="E3239" s="4"/>
      <c r="F3239" s="4"/>
      <c r="Q3239" s="3"/>
      <c r="R3239" s="3"/>
      <c r="S3239" s="3"/>
      <c r="T3239" s="3"/>
      <c r="U3239" s="3"/>
    </row>
    <row r="3240" spans="2:21" x14ac:dyDescent="0.25">
      <c r="B3240" s="2"/>
      <c r="C3240" s="2"/>
      <c r="D3240" s="4"/>
      <c r="E3240" s="4"/>
      <c r="F3240" s="4"/>
      <c r="Q3240" s="3"/>
      <c r="R3240" s="3"/>
      <c r="S3240" s="3"/>
      <c r="T3240" s="3"/>
      <c r="U3240" s="3"/>
    </row>
    <row r="3241" spans="2:21" x14ac:dyDescent="0.25">
      <c r="B3241" s="2"/>
      <c r="C3241" s="2"/>
      <c r="D3241" s="4"/>
      <c r="E3241" s="4"/>
      <c r="F3241" s="4"/>
      <c r="Q3241" s="3"/>
      <c r="R3241" s="3"/>
      <c r="S3241" s="3"/>
      <c r="T3241" s="3"/>
      <c r="U3241" s="3"/>
    </row>
    <row r="3242" spans="2:21" x14ac:dyDescent="0.25">
      <c r="B3242" s="2"/>
      <c r="C3242" s="2"/>
      <c r="D3242" s="4"/>
      <c r="E3242" s="4"/>
      <c r="F3242" s="4"/>
      <c r="Q3242" s="3"/>
      <c r="R3242" s="3"/>
      <c r="S3242" s="3"/>
      <c r="T3242" s="3"/>
      <c r="U3242" s="3"/>
    </row>
    <row r="3243" spans="2:21" x14ac:dyDescent="0.25">
      <c r="B3243" s="2"/>
      <c r="C3243" s="2"/>
      <c r="D3243" s="4"/>
      <c r="E3243" s="4"/>
      <c r="F3243" s="4"/>
      <c r="Q3243" s="3"/>
      <c r="R3243" s="3"/>
      <c r="S3243" s="3"/>
      <c r="T3243" s="3"/>
      <c r="U3243" s="3"/>
    </row>
    <row r="3244" spans="2:21" x14ac:dyDescent="0.25">
      <c r="B3244" s="2"/>
      <c r="C3244" s="2"/>
      <c r="D3244" s="4"/>
      <c r="E3244" s="4"/>
      <c r="F3244" s="4"/>
      <c r="Q3244" s="3"/>
      <c r="R3244" s="3"/>
      <c r="S3244" s="3"/>
      <c r="T3244" s="3"/>
      <c r="U3244" s="3"/>
    </row>
    <row r="3245" spans="2:21" x14ac:dyDescent="0.25">
      <c r="B3245" s="2"/>
      <c r="C3245" s="2"/>
      <c r="D3245" s="4"/>
      <c r="E3245" s="4"/>
      <c r="F3245" s="4"/>
      <c r="Q3245" s="3"/>
      <c r="R3245" s="3"/>
      <c r="S3245" s="3"/>
      <c r="T3245" s="3"/>
      <c r="U3245" s="3"/>
    </row>
    <row r="3246" spans="2:21" x14ac:dyDescent="0.25">
      <c r="B3246" s="2"/>
      <c r="C3246" s="2"/>
      <c r="D3246" s="4"/>
      <c r="E3246" s="4"/>
      <c r="F3246" s="4"/>
      <c r="Q3246" s="3"/>
      <c r="R3246" s="3"/>
      <c r="S3246" s="3"/>
      <c r="T3246" s="3"/>
      <c r="U3246" s="3"/>
    </row>
    <row r="3247" spans="2:21" x14ac:dyDescent="0.25">
      <c r="B3247" s="2"/>
      <c r="C3247" s="2"/>
      <c r="D3247" s="4"/>
      <c r="E3247" s="4"/>
      <c r="F3247" s="4"/>
      <c r="Q3247" s="3"/>
      <c r="R3247" s="3"/>
      <c r="S3247" s="3"/>
      <c r="T3247" s="3"/>
      <c r="U3247" s="3"/>
    </row>
    <row r="3248" spans="2:21" x14ac:dyDescent="0.25">
      <c r="B3248" s="2"/>
      <c r="C3248" s="2"/>
      <c r="D3248" s="4"/>
      <c r="E3248" s="4"/>
      <c r="F3248" s="4"/>
      <c r="Q3248" s="3"/>
      <c r="R3248" s="3"/>
      <c r="S3248" s="3"/>
      <c r="T3248" s="3"/>
      <c r="U3248" s="3"/>
    </row>
    <row r="3249" spans="2:21" x14ac:dyDescent="0.25">
      <c r="B3249" s="2"/>
      <c r="C3249" s="2"/>
      <c r="D3249" s="4"/>
      <c r="E3249" s="4"/>
      <c r="F3249" s="4"/>
      <c r="Q3249" s="3"/>
      <c r="R3249" s="3"/>
      <c r="S3249" s="3"/>
      <c r="T3249" s="3"/>
      <c r="U3249" s="3"/>
    </row>
    <row r="3250" spans="2:21" x14ac:dyDescent="0.25">
      <c r="B3250" s="2"/>
      <c r="C3250" s="2"/>
      <c r="D3250" s="4"/>
      <c r="E3250" s="4"/>
      <c r="F3250" s="4"/>
      <c r="Q3250" s="3"/>
      <c r="R3250" s="3"/>
      <c r="S3250" s="3"/>
      <c r="T3250" s="3"/>
      <c r="U3250" s="3"/>
    </row>
    <row r="3251" spans="2:21" x14ac:dyDescent="0.25">
      <c r="B3251" s="2"/>
      <c r="C3251" s="2"/>
      <c r="D3251" s="4"/>
      <c r="E3251" s="4"/>
      <c r="F3251" s="4"/>
      <c r="Q3251" s="3"/>
      <c r="R3251" s="3"/>
      <c r="S3251" s="3"/>
      <c r="T3251" s="3"/>
      <c r="U3251" s="3"/>
    </row>
    <row r="3252" spans="2:21" x14ac:dyDescent="0.25">
      <c r="B3252" s="2"/>
      <c r="C3252" s="2"/>
      <c r="D3252" s="4"/>
      <c r="E3252" s="4"/>
      <c r="F3252" s="4"/>
      <c r="Q3252" s="3"/>
      <c r="R3252" s="3"/>
      <c r="S3252" s="3"/>
      <c r="T3252" s="3"/>
      <c r="U3252" s="3"/>
    </row>
    <row r="3253" spans="2:21" x14ac:dyDescent="0.25">
      <c r="B3253" s="2"/>
      <c r="C3253" s="2"/>
      <c r="D3253" s="4"/>
      <c r="E3253" s="4"/>
      <c r="F3253" s="4"/>
      <c r="Q3253" s="3"/>
      <c r="R3253" s="3"/>
      <c r="S3253" s="3"/>
      <c r="T3253" s="3"/>
      <c r="U3253" s="3"/>
    </row>
    <row r="3254" spans="2:21" x14ac:dyDescent="0.25">
      <c r="B3254" s="2"/>
      <c r="C3254" s="2"/>
      <c r="D3254" s="4"/>
      <c r="E3254" s="4"/>
      <c r="F3254" s="4"/>
      <c r="Q3254" s="3"/>
      <c r="R3254" s="3"/>
      <c r="S3254" s="3"/>
      <c r="T3254" s="3"/>
      <c r="U3254" s="3"/>
    </row>
    <row r="3255" spans="2:21" x14ac:dyDescent="0.25">
      <c r="B3255" s="2"/>
      <c r="C3255" s="2"/>
      <c r="D3255" s="4"/>
      <c r="E3255" s="4"/>
      <c r="F3255" s="4"/>
      <c r="Q3255" s="3"/>
      <c r="R3255" s="3"/>
      <c r="S3255" s="3"/>
      <c r="T3255" s="3"/>
      <c r="U3255" s="3"/>
    </row>
    <row r="3256" spans="2:21" x14ac:dyDescent="0.25">
      <c r="B3256" s="2"/>
      <c r="C3256" s="2"/>
      <c r="D3256" s="4"/>
      <c r="E3256" s="4"/>
      <c r="F3256" s="4"/>
      <c r="Q3256" s="3"/>
      <c r="R3256" s="3"/>
      <c r="S3256" s="3"/>
      <c r="T3256" s="3"/>
      <c r="U3256" s="3"/>
    </row>
    <row r="3257" spans="2:21" x14ac:dyDescent="0.25">
      <c r="B3257" s="2"/>
      <c r="C3257" s="2"/>
      <c r="D3257" s="4"/>
      <c r="E3257" s="4"/>
      <c r="F3257" s="4"/>
      <c r="Q3257" s="3"/>
      <c r="R3257" s="3"/>
      <c r="S3257" s="3"/>
      <c r="T3257" s="3"/>
      <c r="U3257" s="3"/>
    </row>
    <row r="3258" spans="2:21" x14ac:dyDescent="0.25">
      <c r="B3258" s="2"/>
      <c r="C3258" s="2"/>
      <c r="D3258" s="4"/>
      <c r="E3258" s="4"/>
      <c r="F3258" s="4"/>
      <c r="Q3258" s="3"/>
      <c r="R3258" s="3"/>
      <c r="S3258" s="3"/>
      <c r="T3258" s="3"/>
      <c r="U3258" s="3"/>
    </row>
    <row r="3259" spans="2:21" x14ac:dyDescent="0.25">
      <c r="B3259" s="2"/>
      <c r="C3259" s="2"/>
      <c r="D3259" s="4"/>
      <c r="E3259" s="4"/>
      <c r="F3259" s="4"/>
      <c r="Q3259" s="3"/>
      <c r="R3259" s="3"/>
      <c r="S3259" s="3"/>
      <c r="T3259" s="3"/>
      <c r="U3259" s="3"/>
    </row>
    <row r="3260" spans="2:21" x14ac:dyDescent="0.25">
      <c r="B3260" s="2"/>
      <c r="C3260" s="2"/>
      <c r="D3260" s="4"/>
      <c r="E3260" s="4"/>
      <c r="F3260" s="4"/>
      <c r="Q3260" s="3"/>
      <c r="R3260" s="3"/>
      <c r="S3260" s="3"/>
      <c r="T3260" s="3"/>
      <c r="U3260" s="3"/>
    </row>
    <row r="3261" spans="2:21" x14ac:dyDescent="0.25">
      <c r="B3261" s="2"/>
      <c r="C3261" s="2"/>
      <c r="D3261" s="4"/>
      <c r="E3261" s="4"/>
      <c r="F3261" s="4"/>
      <c r="Q3261" s="3"/>
      <c r="R3261" s="3"/>
      <c r="S3261" s="3"/>
      <c r="T3261" s="3"/>
      <c r="U3261" s="3"/>
    </row>
    <row r="3262" spans="2:21" x14ac:dyDescent="0.25">
      <c r="B3262" s="2"/>
      <c r="C3262" s="2"/>
      <c r="D3262" s="4"/>
      <c r="E3262" s="4"/>
      <c r="F3262" s="4"/>
      <c r="Q3262" s="3"/>
      <c r="R3262" s="3"/>
      <c r="S3262" s="3"/>
      <c r="T3262" s="3"/>
      <c r="U3262" s="3"/>
    </row>
    <row r="3263" spans="2:21" x14ac:dyDescent="0.25">
      <c r="B3263" s="2"/>
      <c r="C3263" s="2"/>
      <c r="D3263" s="4"/>
      <c r="E3263" s="4"/>
      <c r="F3263" s="4"/>
      <c r="Q3263" s="3"/>
      <c r="R3263" s="3"/>
      <c r="S3263" s="3"/>
      <c r="T3263" s="3"/>
      <c r="U3263" s="3"/>
    </row>
    <row r="3264" spans="2:21" x14ac:dyDescent="0.25">
      <c r="B3264" s="2"/>
      <c r="C3264" s="2"/>
      <c r="D3264" s="4"/>
      <c r="E3264" s="4"/>
      <c r="F3264" s="4"/>
      <c r="Q3264" s="3"/>
      <c r="R3264" s="3"/>
      <c r="S3264" s="3"/>
      <c r="T3264" s="3"/>
      <c r="U3264" s="3"/>
    </row>
    <row r="3265" spans="2:21" x14ac:dyDescent="0.25">
      <c r="B3265" s="2"/>
      <c r="C3265" s="2"/>
      <c r="D3265" s="4"/>
      <c r="E3265" s="4"/>
      <c r="F3265" s="4"/>
      <c r="Q3265" s="3"/>
      <c r="R3265" s="3"/>
      <c r="S3265" s="3"/>
      <c r="T3265" s="3"/>
      <c r="U3265" s="3"/>
    </row>
    <row r="3266" spans="2:21" x14ac:dyDescent="0.25">
      <c r="B3266" s="2"/>
      <c r="C3266" s="2"/>
      <c r="D3266" s="4"/>
      <c r="E3266" s="4"/>
      <c r="F3266" s="4"/>
      <c r="Q3266" s="3"/>
      <c r="R3266" s="3"/>
      <c r="S3266" s="3"/>
      <c r="T3266" s="3"/>
      <c r="U3266" s="3"/>
    </row>
    <row r="3267" spans="2:21" x14ac:dyDescent="0.25">
      <c r="B3267" s="2"/>
      <c r="C3267" s="2"/>
      <c r="D3267" s="4"/>
      <c r="E3267" s="4"/>
      <c r="F3267" s="4"/>
      <c r="Q3267" s="3"/>
      <c r="R3267" s="3"/>
      <c r="S3267" s="3"/>
      <c r="T3267" s="3"/>
      <c r="U3267" s="3"/>
    </row>
    <row r="3268" spans="2:21" x14ac:dyDescent="0.25">
      <c r="B3268" s="2"/>
      <c r="C3268" s="2"/>
      <c r="D3268" s="4"/>
      <c r="E3268" s="4"/>
      <c r="F3268" s="4"/>
      <c r="Q3268" s="3"/>
      <c r="R3268" s="3"/>
      <c r="S3268" s="3"/>
      <c r="T3268" s="3"/>
      <c r="U3268" s="3"/>
    </row>
    <row r="3269" spans="2:21" x14ac:dyDescent="0.25">
      <c r="B3269" s="2"/>
      <c r="C3269" s="2"/>
      <c r="D3269" s="4"/>
      <c r="E3269" s="4"/>
      <c r="F3269" s="4"/>
      <c r="Q3269" s="3"/>
      <c r="R3269" s="3"/>
      <c r="S3269" s="3"/>
      <c r="T3269" s="3"/>
      <c r="U3269" s="3"/>
    </row>
    <row r="3270" spans="2:21" x14ac:dyDescent="0.25">
      <c r="B3270" s="2"/>
      <c r="C3270" s="2"/>
      <c r="D3270" s="4"/>
      <c r="E3270" s="4"/>
      <c r="F3270" s="4"/>
      <c r="Q3270" s="3"/>
      <c r="R3270" s="3"/>
      <c r="S3270" s="3"/>
      <c r="T3270" s="3"/>
      <c r="U3270" s="3"/>
    </row>
    <row r="3271" spans="2:21" x14ac:dyDescent="0.25">
      <c r="B3271" s="2"/>
      <c r="C3271" s="2"/>
      <c r="D3271" s="4"/>
      <c r="E3271" s="4"/>
      <c r="F3271" s="4"/>
      <c r="Q3271" s="3"/>
      <c r="R3271" s="3"/>
      <c r="S3271" s="3"/>
      <c r="T3271" s="3"/>
      <c r="U3271" s="3"/>
    </row>
    <row r="3272" spans="2:21" x14ac:dyDescent="0.25">
      <c r="B3272" s="2"/>
      <c r="C3272" s="2"/>
      <c r="D3272" s="4"/>
      <c r="E3272" s="4"/>
      <c r="F3272" s="4"/>
      <c r="Q3272" s="3"/>
      <c r="R3272" s="3"/>
      <c r="S3272" s="3"/>
      <c r="T3272" s="3"/>
      <c r="U3272" s="3"/>
    </row>
    <row r="3273" spans="2:21" x14ac:dyDescent="0.25">
      <c r="B3273" s="2"/>
      <c r="C3273" s="2"/>
      <c r="D3273" s="4"/>
      <c r="E3273" s="4"/>
      <c r="F3273" s="4"/>
      <c r="Q3273" s="3"/>
      <c r="R3273" s="3"/>
      <c r="S3273" s="3"/>
      <c r="T3273" s="3"/>
      <c r="U3273" s="3"/>
    </row>
    <row r="3274" spans="2:21" x14ac:dyDescent="0.25">
      <c r="B3274" s="2"/>
      <c r="C3274" s="2"/>
      <c r="D3274" s="4"/>
      <c r="E3274" s="4"/>
      <c r="F3274" s="4"/>
      <c r="Q3274" s="3"/>
      <c r="R3274" s="3"/>
      <c r="S3274" s="3"/>
      <c r="T3274" s="3"/>
      <c r="U3274" s="3"/>
    </row>
    <row r="3275" spans="2:21" x14ac:dyDescent="0.25">
      <c r="B3275" s="2"/>
      <c r="C3275" s="2"/>
      <c r="D3275" s="4"/>
      <c r="E3275" s="4"/>
      <c r="F3275" s="4"/>
      <c r="Q3275" s="3"/>
      <c r="R3275" s="3"/>
      <c r="S3275" s="3"/>
      <c r="T3275" s="3"/>
      <c r="U3275" s="3"/>
    </row>
    <row r="3276" spans="2:21" x14ac:dyDescent="0.25">
      <c r="B3276" s="2"/>
      <c r="C3276" s="2"/>
      <c r="D3276" s="4"/>
      <c r="E3276" s="4"/>
      <c r="F3276" s="4"/>
      <c r="Q3276" s="3"/>
      <c r="R3276" s="3"/>
      <c r="S3276" s="3"/>
      <c r="T3276" s="3"/>
      <c r="U3276" s="3"/>
    </row>
    <row r="3277" spans="2:21" x14ac:dyDescent="0.25">
      <c r="B3277" s="2"/>
      <c r="C3277" s="2"/>
      <c r="D3277" s="4"/>
      <c r="E3277" s="4"/>
      <c r="F3277" s="4"/>
      <c r="Q3277" s="3"/>
      <c r="R3277" s="3"/>
      <c r="S3277" s="3"/>
      <c r="T3277" s="3"/>
      <c r="U3277" s="3"/>
    </row>
    <row r="3278" spans="2:21" x14ac:dyDescent="0.25">
      <c r="B3278" s="2"/>
      <c r="C3278" s="2"/>
      <c r="D3278" s="4"/>
      <c r="E3278" s="4"/>
      <c r="F3278" s="4"/>
      <c r="Q3278" s="3"/>
      <c r="R3278" s="3"/>
      <c r="S3278" s="3"/>
      <c r="T3278" s="3"/>
      <c r="U3278" s="3"/>
    </row>
    <row r="3279" spans="2:21" x14ac:dyDescent="0.25">
      <c r="B3279" s="2"/>
      <c r="C3279" s="2"/>
      <c r="D3279" s="4"/>
      <c r="E3279" s="4"/>
      <c r="F3279" s="4"/>
      <c r="Q3279" s="3"/>
      <c r="R3279" s="3"/>
      <c r="S3279" s="3"/>
      <c r="T3279" s="3"/>
      <c r="U3279" s="3"/>
    </row>
    <row r="3280" spans="2:21" x14ac:dyDescent="0.25">
      <c r="B3280" s="2"/>
      <c r="C3280" s="2"/>
      <c r="D3280" s="4"/>
      <c r="E3280" s="4"/>
      <c r="F3280" s="4"/>
      <c r="Q3280" s="3"/>
      <c r="R3280" s="3"/>
      <c r="S3280" s="3"/>
      <c r="T3280" s="3"/>
      <c r="U3280" s="3"/>
    </row>
    <row r="3281" spans="2:21" x14ac:dyDescent="0.25">
      <c r="B3281" s="2"/>
      <c r="C3281" s="2"/>
      <c r="D3281" s="4"/>
      <c r="E3281" s="4"/>
      <c r="F3281" s="4"/>
      <c r="Q3281" s="3"/>
      <c r="R3281" s="3"/>
      <c r="S3281" s="3"/>
      <c r="T3281" s="3"/>
      <c r="U3281" s="3"/>
    </row>
    <row r="3282" spans="2:21" x14ac:dyDescent="0.25">
      <c r="B3282" s="2"/>
      <c r="C3282" s="2"/>
      <c r="D3282" s="4"/>
      <c r="E3282" s="4"/>
      <c r="F3282" s="4"/>
      <c r="Q3282" s="3"/>
      <c r="R3282" s="3"/>
      <c r="S3282" s="3"/>
      <c r="T3282" s="3"/>
      <c r="U3282" s="3"/>
    </row>
    <row r="3283" spans="2:21" x14ac:dyDescent="0.25">
      <c r="B3283" s="2"/>
      <c r="C3283" s="2"/>
      <c r="D3283" s="4"/>
      <c r="E3283" s="4"/>
      <c r="F3283" s="4"/>
      <c r="Q3283" s="3"/>
      <c r="R3283" s="3"/>
      <c r="S3283" s="3"/>
      <c r="T3283" s="3"/>
      <c r="U3283" s="3"/>
    </row>
    <row r="3284" spans="2:21" x14ac:dyDescent="0.25">
      <c r="B3284" s="2"/>
      <c r="C3284" s="2"/>
      <c r="D3284" s="4"/>
      <c r="E3284" s="4"/>
      <c r="F3284" s="4"/>
      <c r="Q3284" s="3"/>
      <c r="R3284" s="3"/>
      <c r="S3284" s="3"/>
      <c r="T3284" s="3"/>
      <c r="U3284" s="3"/>
    </row>
    <row r="3285" spans="2:21" x14ac:dyDescent="0.25">
      <c r="B3285" s="2"/>
      <c r="C3285" s="2"/>
      <c r="D3285" s="4"/>
      <c r="E3285" s="4"/>
      <c r="F3285" s="4"/>
      <c r="Q3285" s="3"/>
      <c r="R3285" s="3"/>
      <c r="S3285" s="3"/>
      <c r="T3285" s="3"/>
      <c r="U3285" s="3"/>
    </row>
    <row r="3286" spans="2:21" x14ac:dyDescent="0.25">
      <c r="B3286" s="2"/>
      <c r="C3286" s="2"/>
      <c r="D3286" s="4"/>
      <c r="E3286" s="4"/>
      <c r="F3286" s="4"/>
      <c r="Q3286" s="3"/>
      <c r="R3286" s="3"/>
      <c r="S3286" s="3"/>
      <c r="T3286" s="3"/>
      <c r="U3286" s="3"/>
    </row>
    <row r="3287" spans="2:21" x14ac:dyDescent="0.25">
      <c r="B3287" s="2"/>
      <c r="C3287" s="2"/>
      <c r="D3287" s="4"/>
      <c r="E3287" s="4"/>
      <c r="F3287" s="4"/>
      <c r="Q3287" s="3"/>
      <c r="R3287" s="3"/>
      <c r="S3287" s="3"/>
      <c r="T3287" s="3"/>
      <c r="U3287" s="3"/>
    </row>
    <row r="3288" spans="2:21" x14ac:dyDescent="0.25">
      <c r="B3288" s="2"/>
      <c r="C3288" s="2"/>
      <c r="D3288" s="4"/>
      <c r="E3288" s="4"/>
      <c r="F3288" s="4"/>
      <c r="Q3288" s="3"/>
      <c r="R3288" s="3"/>
      <c r="S3288" s="3"/>
      <c r="T3288" s="3"/>
      <c r="U3288" s="3"/>
    </row>
    <row r="3289" spans="2:21" x14ac:dyDescent="0.25">
      <c r="B3289" s="2"/>
      <c r="C3289" s="2"/>
      <c r="D3289" s="4"/>
      <c r="E3289" s="4"/>
      <c r="F3289" s="4"/>
      <c r="Q3289" s="3"/>
      <c r="R3289" s="3"/>
      <c r="S3289" s="3"/>
      <c r="T3289" s="3"/>
      <c r="U3289" s="3"/>
    </row>
    <row r="3290" spans="2:21" x14ac:dyDescent="0.25">
      <c r="B3290" s="2"/>
      <c r="C3290" s="2"/>
      <c r="D3290" s="4"/>
      <c r="E3290" s="4"/>
      <c r="F3290" s="4"/>
      <c r="Q3290" s="3"/>
      <c r="R3290" s="3"/>
      <c r="S3290" s="3"/>
      <c r="T3290" s="3"/>
      <c r="U3290" s="3"/>
    </row>
    <row r="3291" spans="2:21" x14ac:dyDescent="0.25">
      <c r="B3291" s="2"/>
      <c r="C3291" s="2"/>
      <c r="D3291" s="4"/>
      <c r="E3291" s="4"/>
      <c r="F3291" s="4"/>
      <c r="Q3291" s="3"/>
      <c r="R3291" s="3"/>
      <c r="S3291" s="3"/>
      <c r="T3291" s="3"/>
      <c r="U3291" s="3"/>
    </row>
    <row r="3292" spans="2:21" x14ac:dyDescent="0.25">
      <c r="B3292" s="2"/>
      <c r="C3292" s="2"/>
      <c r="D3292" s="4"/>
      <c r="E3292" s="4"/>
      <c r="F3292" s="4"/>
      <c r="Q3292" s="3"/>
      <c r="R3292" s="3"/>
      <c r="S3292" s="3"/>
      <c r="T3292" s="3"/>
      <c r="U3292" s="3"/>
    </row>
    <row r="3293" spans="2:21" x14ac:dyDescent="0.25">
      <c r="B3293" s="2"/>
      <c r="C3293" s="2"/>
      <c r="D3293" s="4"/>
      <c r="E3293" s="4"/>
      <c r="F3293" s="4"/>
      <c r="Q3293" s="3"/>
      <c r="R3293" s="3"/>
      <c r="S3293" s="3"/>
      <c r="T3293" s="3"/>
      <c r="U3293" s="3"/>
    </row>
    <row r="3294" spans="2:21" x14ac:dyDescent="0.25">
      <c r="B3294" s="2"/>
      <c r="C3294" s="2"/>
      <c r="D3294" s="4"/>
      <c r="E3294" s="4"/>
      <c r="F3294" s="4"/>
      <c r="Q3294" s="3"/>
      <c r="R3294" s="3"/>
      <c r="S3294" s="3"/>
      <c r="T3294" s="3"/>
      <c r="U3294" s="3"/>
    </row>
    <row r="3295" spans="2:21" x14ac:dyDescent="0.25">
      <c r="B3295" s="2"/>
      <c r="C3295" s="2"/>
      <c r="D3295" s="4"/>
      <c r="E3295" s="4"/>
      <c r="F3295" s="4"/>
      <c r="Q3295" s="3"/>
      <c r="R3295" s="3"/>
      <c r="S3295" s="3"/>
      <c r="T3295" s="3"/>
      <c r="U3295" s="3"/>
    </row>
    <row r="3296" spans="2:21" x14ac:dyDescent="0.25">
      <c r="B3296" s="2"/>
      <c r="C3296" s="2"/>
      <c r="D3296" s="4"/>
      <c r="E3296" s="4"/>
      <c r="F3296" s="4"/>
      <c r="Q3296" s="3"/>
      <c r="R3296" s="3"/>
      <c r="S3296" s="3"/>
      <c r="T3296" s="3"/>
      <c r="U3296" s="3"/>
    </row>
    <row r="3297" spans="2:21" x14ac:dyDescent="0.25">
      <c r="B3297" s="2"/>
      <c r="C3297" s="2"/>
      <c r="D3297" s="4"/>
      <c r="E3297" s="4"/>
      <c r="F3297" s="4"/>
      <c r="Q3297" s="3"/>
      <c r="R3297" s="3"/>
      <c r="S3297" s="3"/>
      <c r="T3297" s="3"/>
      <c r="U3297" s="3"/>
    </row>
    <row r="3298" spans="2:21" x14ac:dyDescent="0.25">
      <c r="B3298" s="2"/>
      <c r="C3298" s="2"/>
      <c r="D3298" s="4"/>
      <c r="E3298" s="4"/>
      <c r="F3298" s="4"/>
      <c r="Q3298" s="3"/>
      <c r="R3298" s="3"/>
      <c r="S3298" s="3"/>
      <c r="T3298" s="3"/>
      <c r="U3298" s="3"/>
    </row>
    <row r="3299" spans="2:21" x14ac:dyDescent="0.25">
      <c r="B3299" s="2"/>
      <c r="C3299" s="2"/>
      <c r="D3299" s="4"/>
      <c r="E3299" s="4"/>
      <c r="F3299" s="4"/>
      <c r="Q3299" s="3"/>
      <c r="R3299" s="3"/>
      <c r="S3299" s="3"/>
      <c r="T3299" s="3"/>
      <c r="U3299" s="3"/>
    </row>
    <row r="3300" spans="2:21" x14ac:dyDescent="0.25">
      <c r="B3300" s="2"/>
      <c r="C3300" s="2"/>
      <c r="D3300" s="4"/>
      <c r="E3300" s="4"/>
      <c r="F3300" s="4"/>
      <c r="Q3300" s="3"/>
      <c r="R3300" s="3"/>
      <c r="S3300" s="3"/>
      <c r="T3300" s="3"/>
      <c r="U3300" s="3"/>
    </row>
    <row r="3301" spans="2:21" x14ac:dyDescent="0.25">
      <c r="B3301" s="2"/>
      <c r="C3301" s="2"/>
      <c r="D3301" s="4"/>
      <c r="E3301" s="4"/>
      <c r="F3301" s="4"/>
      <c r="Q3301" s="3"/>
      <c r="R3301" s="3"/>
      <c r="S3301" s="3"/>
      <c r="T3301" s="3"/>
      <c r="U3301" s="3"/>
    </row>
    <row r="3302" spans="2:21" x14ac:dyDescent="0.25">
      <c r="B3302" s="2"/>
      <c r="C3302" s="2"/>
      <c r="D3302" s="4"/>
      <c r="E3302" s="4"/>
      <c r="F3302" s="4"/>
      <c r="Q3302" s="3"/>
      <c r="R3302" s="3"/>
      <c r="S3302" s="3"/>
      <c r="T3302" s="3"/>
      <c r="U3302" s="3"/>
    </row>
    <row r="3303" spans="2:21" x14ac:dyDescent="0.25">
      <c r="B3303" s="2"/>
      <c r="C3303" s="2"/>
      <c r="D3303" s="4"/>
      <c r="E3303" s="4"/>
      <c r="F3303" s="4"/>
      <c r="Q3303" s="3"/>
      <c r="R3303" s="3"/>
      <c r="S3303" s="3"/>
      <c r="T3303" s="3"/>
      <c r="U3303" s="3"/>
    </row>
    <row r="3304" spans="2:21" x14ac:dyDescent="0.25">
      <c r="B3304" s="2"/>
      <c r="C3304" s="2"/>
      <c r="D3304" s="4"/>
      <c r="E3304" s="4"/>
      <c r="F3304" s="4"/>
      <c r="Q3304" s="3"/>
      <c r="R3304" s="3"/>
      <c r="S3304" s="3"/>
      <c r="T3304" s="3"/>
      <c r="U3304" s="3"/>
    </row>
    <row r="3305" spans="2:21" x14ac:dyDescent="0.25">
      <c r="B3305" s="2"/>
      <c r="C3305" s="2"/>
      <c r="D3305" s="4"/>
      <c r="E3305" s="4"/>
      <c r="F3305" s="4"/>
      <c r="Q3305" s="3"/>
      <c r="R3305" s="3"/>
      <c r="S3305" s="3"/>
      <c r="T3305" s="3"/>
      <c r="U3305" s="3"/>
    </row>
    <row r="3306" spans="2:21" x14ac:dyDescent="0.25">
      <c r="B3306" s="2"/>
      <c r="C3306" s="2"/>
      <c r="D3306" s="4"/>
      <c r="E3306" s="4"/>
      <c r="F3306" s="4"/>
      <c r="Q3306" s="3"/>
      <c r="R3306" s="3"/>
      <c r="S3306" s="3"/>
      <c r="T3306" s="3"/>
      <c r="U3306" s="3"/>
    </row>
    <row r="3307" spans="2:21" x14ac:dyDescent="0.25">
      <c r="B3307" s="2"/>
      <c r="C3307" s="2"/>
      <c r="D3307" s="4"/>
      <c r="E3307" s="4"/>
      <c r="F3307" s="4"/>
      <c r="Q3307" s="3"/>
      <c r="R3307" s="3"/>
      <c r="S3307" s="3"/>
      <c r="T3307" s="3"/>
      <c r="U3307" s="3"/>
    </row>
    <row r="3308" spans="2:21" x14ac:dyDescent="0.25">
      <c r="B3308" s="2"/>
      <c r="C3308" s="2"/>
      <c r="D3308" s="4"/>
      <c r="E3308" s="4"/>
      <c r="F3308" s="4"/>
      <c r="Q3308" s="3"/>
      <c r="R3308" s="3"/>
      <c r="S3308" s="3"/>
      <c r="T3308" s="3"/>
      <c r="U3308" s="3"/>
    </row>
    <row r="3309" spans="2:21" x14ac:dyDescent="0.25">
      <c r="B3309" s="2"/>
      <c r="C3309" s="2"/>
      <c r="D3309" s="4"/>
      <c r="E3309" s="4"/>
      <c r="F3309" s="4"/>
      <c r="Q3309" s="3"/>
      <c r="R3309" s="3"/>
      <c r="S3309" s="3"/>
      <c r="T3309" s="3"/>
      <c r="U3309" s="3"/>
    </row>
    <row r="3310" spans="2:21" x14ac:dyDescent="0.25">
      <c r="B3310" s="2"/>
      <c r="C3310" s="2"/>
      <c r="D3310" s="4"/>
      <c r="E3310" s="4"/>
      <c r="F3310" s="4"/>
      <c r="Q3310" s="3"/>
      <c r="R3310" s="3"/>
      <c r="S3310" s="3"/>
      <c r="T3310" s="3"/>
      <c r="U3310" s="3"/>
    </row>
    <row r="3311" spans="2:21" x14ac:dyDescent="0.25">
      <c r="B3311" s="2"/>
      <c r="C3311" s="2"/>
      <c r="D3311" s="4"/>
      <c r="E3311" s="4"/>
      <c r="F3311" s="4"/>
      <c r="Q3311" s="3"/>
      <c r="R3311" s="3"/>
      <c r="S3311" s="3"/>
      <c r="T3311" s="3"/>
      <c r="U3311" s="3"/>
    </row>
    <row r="3312" spans="2:21" x14ac:dyDescent="0.25">
      <c r="B3312" s="2"/>
      <c r="C3312" s="2"/>
      <c r="D3312" s="4"/>
      <c r="E3312" s="4"/>
      <c r="F3312" s="4"/>
      <c r="Q3312" s="3"/>
      <c r="R3312" s="3"/>
      <c r="S3312" s="3"/>
      <c r="T3312" s="3"/>
      <c r="U3312" s="3"/>
    </row>
    <row r="3313" spans="2:21" x14ac:dyDescent="0.25">
      <c r="B3313" s="2"/>
      <c r="C3313" s="2"/>
      <c r="D3313" s="4"/>
      <c r="E3313" s="4"/>
      <c r="F3313" s="4"/>
      <c r="Q3313" s="3"/>
      <c r="R3313" s="3"/>
      <c r="S3313" s="3"/>
      <c r="T3313" s="3"/>
      <c r="U3313" s="3"/>
    </row>
    <row r="3314" spans="2:21" x14ac:dyDescent="0.25">
      <c r="B3314" s="2"/>
      <c r="C3314" s="2"/>
      <c r="D3314" s="4"/>
      <c r="E3314" s="4"/>
      <c r="F3314" s="4"/>
      <c r="Q3314" s="3"/>
      <c r="R3314" s="3"/>
      <c r="S3314" s="3"/>
      <c r="T3314" s="3"/>
      <c r="U3314" s="3"/>
    </row>
    <row r="3315" spans="2:21" x14ac:dyDescent="0.25">
      <c r="B3315" s="2"/>
      <c r="C3315" s="2"/>
      <c r="D3315" s="4"/>
      <c r="E3315" s="4"/>
      <c r="F3315" s="4"/>
      <c r="Q3315" s="3"/>
      <c r="R3315" s="3"/>
      <c r="S3315" s="3"/>
      <c r="T3315" s="3"/>
      <c r="U3315" s="3"/>
    </row>
    <row r="3316" spans="2:21" x14ac:dyDescent="0.25">
      <c r="B3316" s="2"/>
      <c r="C3316" s="2"/>
      <c r="D3316" s="4"/>
      <c r="E3316" s="4"/>
      <c r="F3316" s="4"/>
      <c r="Q3316" s="3"/>
      <c r="R3316" s="3"/>
      <c r="S3316" s="3"/>
      <c r="T3316" s="3"/>
      <c r="U3316" s="3"/>
    </row>
    <row r="3317" spans="2:21" x14ac:dyDescent="0.25">
      <c r="B3317" s="2"/>
      <c r="C3317" s="2"/>
      <c r="D3317" s="4"/>
      <c r="E3317" s="4"/>
      <c r="F3317" s="4"/>
      <c r="Q3317" s="3"/>
      <c r="R3317" s="3"/>
      <c r="S3317" s="3"/>
      <c r="T3317" s="3"/>
      <c r="U3317" s="3"/>
    </row>
    <row r="3318" spans="2:21" x14ac:dyDescent="0.25">
      <c r="B3318" s="2"/>
      <c r="C3318" s="2"/>
      <c r="D3318" s="4"/>
      <c r="E3318" s="4"/>
      <c r="F3318" s="4"/>
      <c r="Q3318" s="3"/>
      <c r="R3318" s="3"/>
      <c r="S3318" s="3"/>
      <c r="T3318" s="3"/>
      <c r="U3318" s="3"/>
    </row>
    <row r="3319" spans="2:21" x14ac:dyDescent="0.25">
      <c r="B3319" s="2"/>
      <c r="C3319" s="2"/>
      <c r="D3319" s="4"/>
      <c r="E3319" s="4"/>
      <c r="F3319" s="4"/>
      <c r="Q3319" s="3"/>
      <c r="R3319" s="3"/>
      <c r="S3319" s="3"/>
      <c r="T3319" s="3"/>
      <c r="U3319" s="3"/>
    </row>
    <row r="3320" spans="2:21" x14ac:dyDescent="0.25">
      <c r="B3320" s="2"/>
      <c r="C3320" s="2"/>
      <c r="D3320" s="4"/>
      <c r="E3320" s="4"/>
      <c r="F3320" s="4"/>
      <c r="Q3320" s="3"/>
      <c r="R3320" s="3"/>
      <c r="S3320" s="3"/>
      <c r="T3320" s="3"/>
      <c r="U3320" s="3"/>
    </row>
    <row r="3321" spans="2:21" x14ac:dyDescent="0.25">
      <c r="B3321" s="2"/>
      <c r="C3321" s="2"/>
      <c r="D3321" s="4"/>
      <c r="E3321" s="4"/>
      <c r="F3321" s="4"/>
      <c r="Q3321" s="3"/>
      <c r="R3321" s="3"/>
      <c r="S3321" s="3"/>
      <c r="T3321" s="3"/>
      <c r="U3321" s="3"/>
    </row>
    <row r="3322" spans="2:21" x14ac:dyDescent="0.25">
      <c r="B3322" s="2"/>
      <c r="C3322" s="2"/>
      <c r="D3322" s="4"/>
      <c r="E3322" s="4"/>
      <c r="F3322" s="4"/>
      <c r="Q3322" s="3"/>
      <c r="R3322" s="3"/>
      <c r="S3322" s="3"/>
      <c r="T3322" s="3"/>
      <c r="U3322" s="3"/>
    </row>
    <row r="3323" spans="2:21" x14ac:dyDescent="0.25">
      <c r="B3323" s="2"/>
      <c r="C3323" s="2"/>
      <c r="D3323" s="4"/>
      <c r="E3323" s="4"/>
      <c r="F3323" s="4"/>
      <c r="Q3323" s="3"/>
      <c r="R3323" s="3"/>
      <c r="S3323" s="3"/>
      <c r="T3323" s="3"/>
      <c r="U3323" s="3"/>
    </row>
    <row r="3324" spans="2:21" x14ac:dyDescent="0.25">
      <c r="B3324" s="2"/>
      <c r="C3324" s="2"/>
      <c r="D3324" s="4"/>
      <c r="E3324" s="4"/>
      <c r="F3324" s="4"/>
      <c r="Q3324" s="3"/>
      <c r="R3324" s="3"/>
      <c r="S3324" s="3"/>
      <c r="T3324" s="3"/>
      <c r="U3324" s="3"/>
    </row>
    <row r="3325" spans="2:21" x14ac:dyDescent="0.25">
      <c r="B3325" s="2"/>
      <c r="C3325" s="2"/>
      <c r="D3325" s="4"/>
      <c r="E3325" s="4"/>
      <c r="F3325" s="4"/>
      <c r="Q3325" s="3"/>
      <c r="R3325" s="3"/>
      <c r="S3325" s="3"/>
      <c r="T3325" s="3"/>
      <c r="U3325" s="3"/>
    </row>
    <row r="3326" spans="2:21" x14ac:dyDescent="0.25">
      <c r="B3326" s="2"/>
      <c r="C3326" s="2"/>
      <c r="D3326" s="4"/>
      <c r="E3326" s="4"/>
      <c r="F3326" s="4"/>
      <c r="Q3326" s="3"/>
      <c r="R3326" s="3"/>
      <c r="S3326" s="3"/>
      <c r="T3326" s="3"/>
      <c r="U3326" s="3"/>
    </row>
    <row r="3327" spans="2:21" x14ac:dyDescent="0.25">
      <c r="B3327" s="2"/>
      <c r="C3327" s="2"/>
      <c r="D3327" s="4"/>
      <c r="E3327" s="4"/>
      <c r="F3327" s="4"/>
      <c r="Q3327" s="3"/>
      <c r="R3327" s="3"/>
      <c r="S3327" s="3"/>
      <c r="T3327" s="3"/>
      <c r="U3327" s="3"/>
    </row>
    <row r="3328" spans="2:21" x14ac:dyDescent="0.25">
      <c r="B3328" s="2"/>
      <c r="C3328" s="2"/>
      <c r="D3328" s="4"/>
      <c r="E3328" s="4"/>
      <c r="F3328" s="4"/>
      <c r="Q3328" s="3"/>
      <c r="R3328" s="3"/>
      <c r="S3328" s="3"/>
      <c r="T3328" s="3"/>
      <c r="U3328" s="3"/>
    </row>
    <row r="3329" spans="2:21" x14ac:dyDescent="0.25">
      <c r="B3329" s="2"/>
      <c r="C3329" s="2"/>
      <c r="D3329" s="4"/>
      <c r="E3329" s="4"/>
      <c r="F3329" s="4"/>
      <c r="Q3329" s="3"/>
      <c r="R3329" s="3"/>
      <c r="S3329" s="3"/>
      <c r="T3329" s="3"/>
      <c r="U3329" s="3"/>
    </row>
    <row r="3330" spans="2:21" x14ac:dyDescent="0.25">
      <c r="B3330" s="2"/>
      <c r="C3330" s="2"/>
      <c r="D3330" s="4"/>
      <c r="E3330" s="4"/>
      <c r="F3330" s="4"/>
      <c r="Q3330" s="3"/>
      <c r="R3330" s="3"/>
      <c r="S3330" s="3"/>
      <c r="T3330" s="3"/>
      <c r="U3330" s="3"/>
    </row>
    <row r="3331" spans="2:21" x14ac:dyDescent="0.25">
      <c r="B3331" s="2"/>
      <c r="C3331" s="2"/>
      <c r="D3331" s="4"/>
      <c r="E3331" s="4"/>
      <c r="F3331" s="4"/>
      <c r="Q3331" s="3"/>
      <c r="R3331" s="3"/>
      <c r="S3331" s="3"/>
      <c r="T3331" s="3"/>
      <c r="U3331" s="3"/>
    </row>
    <row r="3332" spans="2:21" x14ac:dyDescent="0.25">
      <c r="B3332" s="2"/>
      <c r="C3332" s="2"/>
      <c r="D3332" s="4"/>
      <c r="E3332" s="4"/>
      <c r="F3332" s="4"/>
      <c r="Q3332" s="3"/>
      <c r="R3332" s="3"/>
      <c r="S3332" s="3"/>
      <c r="T3332" s="3"/>
      <c r="U3332" s="3"/>
    </row>
    <row r="3333" spans="2:21" x14ac:dyDescent="0.25">
      <c r="B3333" s="2"/>
      <c r="C3333" s="2"/>
      <c r="D3333" s="4"/>
      <c r="E3333" s="4"/>
      <c r="F3333" s="4"/>
      <c r="Q3333" s="3"/>
      <c r="R3333" s="3"/>
      <c r="S3333" s="3"/>
      <c r="T3333" s="3"/>
      <c r="U3333" s="3"/>
    </row>
    <row r="3334" spans="2:21" x14ac:dyDescent="0.25">
      <c r="B3334" s="2"/>
      <c r="C3334" s="2"/>
      <c r="D3334" s="4"/>
      <c r="E3334" s="4"/>
      <c r="F3334" s="4"/>
      <c r="Q3334" s="3"/>
      <c r="R3334" s="3"/>
      <c r="S3334" s="3"/>
      <c r="T3334" s="3"/>
      <c r="U3334" s="3"/>
    </row>
    <row r="3335" spans="2:21" x14ac:dyDescent="0.25">
      <c r="B3335" s="2"/>
      <c r="C3335" s="2"/>
      <c r="D3335" s="4"/>
      <c r="E3335" s="4"/>
      <c r="F3335" s="4"/>
      <c r="Q3335" s="3"/>
      <c r="R3335" s="3"/>
      <c r="S3335" s="3"/>
      <c r="T3335" s="3"/>
      <c r="U3335" s="3"/>
    </row>
    <row r="3336" spans="2:21" x14ac:dyDescent="0.25">
      <c r="B3336" s="2"/>
      <c r="C3336" s="2"/>
      <c r="D3336" s="4"/>
      <c r="E3336" s="4"/>
      <c r="F3336" s="4"/>
      <c r="Q3336" s="3"/>
      <c r="R3336" s="3"/>
      <c r="S3336" s="3"/>
      <c r="T3336" s="3"/>
      <c r="U3336" s="3"/>
    </row>
    <row r="3337" spans="2:21" x14ac:dyDescent="0.25">
      <c r="B3337" s="2"/>
      <c r="C3337" s="2"/>
      <c r="D3337" s="4"/>
      <c r="E3337" s="4"/>
      <c r="F3337" s="4"/>
      <c r="Q3337" s="3"/>
      <c r="R3337" s="3"/>
      <c r="S3337" s="3"/>
      <c r="T3337" s="3"/>
      <c r="U3337" s="3"/>
    </row>
    <row r="3338" spans="2:21" x14ac:dyDescent="0.25">
      <c r="B3338" s="2"/>
      <c r="C3338" s="2"/>
      <c r="D3338" s="4"/>
      <c r="E3338" s="4"/>
      <c r="F3338" s="4"/>
      <c r="Q3338" s="3"/>
      <c r="R3338" s="3"/>
      <c r="S3338" s="3"/>
      <c r="T3338" s="3"/>
      <c r="U3338" s="3"/>
    </row>
    <row r="3339" spans="2:21" x14ac:dyDescent="0.25">
      <c r="B3339" s="2"/>
      <c r="C3339" s="2"/>
      <c r="D3339" s="4"/>
      <c r="E3339" s="4"/>
      <c r="F3339" s="4"/>
      <c r="Q3339" s="3"/>
      <c r="R3339" s="3"/>
      <c r="S3339" s="3"/>
      <c r="T3339" s="3"/>
      <c r="U3339" s="3"/>
    </row>
    <row r="3340" spans="2:21" x14ac:dyDescent="0.25">
      <c r="B3340" s="2"/>
      <c r="C3340" s="2"/>
      <c r="D3340" s="4"/>
      <c r="E3340" s="4"/>
      <c r="F3340" s="4"/>
      <c r="Q3340" s="3"/>
      <c r="R3340" s="3"/>
      <c r="S3340" s="3"/>
      <c r="T3340" s="3"/>
      <c r="U3340" s="3"/>
    </row>
    <row r="3341" spans="2:21" x14ac:dyDescent="0.25">
      <c r="B3341" s="2"/>
      <c r="C3341" s="2"/>
      <c r="D3341" s="4"/>
      <c r="E3341" s="4"/>
      <c r="F3341" s="4"/>
      <c r="Q3341" s="3"/>
      <c r="R3341" s="3"/>
      <c r="S3341" s="3"/>
      <c r="T3341" s="3"/>
      <c r="U3341" s="3"/>
    </row>
    <row r="3342" spans="2:21" x14ac:dyDescent="0.25">
      <c r="B3342" s="2"/>
      <c r="C3342" s="2"/>
      <c r="D3342" s="4"/>
      <c r="E3342" s="4"/>
      <c r="F3342" s="4"/>
      <c r="Q3342" s="3"/>
      <c r="R3342" s="3"/>
      <c r="S3342" s="3"/>
      <c r="T3342" s="3"/>
      <c r="U3342" s="3"/>
    </row>
    <row r="3343" spans="2:21" x14ac:dyDescent="0.25">
      <c r="B3343" s="2"/>
      <c r="C3343" s="2"/>
      <c r="D3343" s="4"/>
      <c r="E3343" s="4"/>
      <c r="F3343" s="4"/>
      <c r="Q3343" s="3"/>
      <c r="R3343" s="3"/>
      <c r="S3343" s="3"/>
      <c r="T3343" s="3"/>
      <c r="U3343" s="3"/>
    </row>
    <row r="3344" spans="2:21" x14ac:dyDescent="0.25">
      <c r="B3344" s="2"/>
      <c r="C3344" s="2"/>
      <c r="D3344" s="4"/>
      <c r="E3344" s="4"/>
      <c r="F3344" s="4"/>
      <c r="Q3344" s="3"/>
      <c r="R3344" s="3"/>
      <c r="S3344" s="3"/>
      <c r="T3344" s="3"/>
      <c r="U3344" s="3"/>
    </row>
    <row r="3345" spans="2:21" x14ac:dyDescent="0.25">
      <c r="B3345" s="2"/>
      <c r="C3345" s="2"/>
      <c r="D3345" s="4"/>
      <c r="E3345" s="4"/>
      <c r="F3345" s="4"/>
      <c r="Q3345" s="3"/>
      <c r="R3345" s="3"/>
      <c r="S3345" s="3"/>
      <c r="T3345" s="3"/>
      <c r="U3345" s="3"/>
    </row>
    <row r="3346" spans="2:21" x14ac:dyDescent="0.25">
      <c r="B3346" s="2"/>
      <c r="C3346" s="2"/>
      <c r="D3346" s="4"/>
      <c r="E3346" s="4"/>
      <c r="F3346" s="4"/>
      <c r="Q3346" s="3"/>
      <c r="R3346" s="3"/>
      <c r="S3346" s="3"/>
      <c r="T3346" s="3"/>
      <c r="U3346" s="3"/>
    </row>
    <row r="3347" spans="2:21" x14ac:dyDescent="0.25">
      <c r="B3347" s="2"/>
      <c r="C3347" s="2"/>
      <c r="D3347" s="4"/>
      <c r="E3347" s="4"/>
      <c r="F3347" s="4"/>
      <c r="Q3347" s="3"/>
      <c r="R3347" s="3"/>
      <c r="S3347" s="3"/>
      <c r="T3347" s="3"/>
      <c r="U3347" s="3"/>
    </row>
    <row r="3348" spans="2:21" x14ac:dyDescent="0.25">
      <c r="B3348" s="2"/>
      <c r="C3348" s="2"/>
      <c r="D3348" s="4"/>
      <c r="E3348" s="4"/>
      <c r="F3348" s="4"/>
      <c r="Q3348" s="3"/>
      <c r="R3348" s="3"/>
      <c r="S3348" s="3"/>
      <c r="T3348" s="3"/>
      <c r="U3348" s="3"/>
    </row>
    <row r="3349" spans="2:21" x14ac:dyDescent="0.25">
      <c r="B3349" s="2"/>
      <c r="C3349" s="2"/>
      <c r="D3349" s="4"/>
      <c r="E3349" s="4"/>
      <c r="F3349" s="4"/>
      <c r="Q3349" s="3"/>
      <c r="R3349" s="3"/>
      <c r="S3349" s="3"/>
      <c r="T3349" s="3"/>
      <c r="U3349" s="3"/>
    </row>
    <row r="3350" spans="2:21" x14ac:dyDescent="0.25">
      <c r="B3350" s="2"/>
      <c r="C3350" s="2"/>
      <c r="D3350" s="4"/>
      <c r="E3350" s="4"/>
      <c r="F3350" s="4"/>
      <c r="Q3350" s="3"/>
      <c r="R3350" s="3"/>
      <c r="S3350" s="3"/>
      <c r="T3350" s="3"/>
      <c r="U3350" s="3"/>
    </row>
    <row r="3351" spans="2:21" x14ac:dyDescent="0.25">
      <c r="B3351" s="2"/>
      <c r="C3351" s="2"/>
      <c r="D3351" s="4"/>
      <c r="E3351" s="4"/>
      <c r="F3351" s="4"/>
      <c r="Q3351" s="3"/>
      <c r="R3351" s="3"/>
      <c r="S3351" s="3"/>
      <c r="T3351" s="3"/>
      <c r="U3351" s="3"/>
    </row>
    <row r="3352" spans="2:21" x14ac:dyDescent="0.25">
      <c r="B3352" s="2"/>
      <c r="C3352" s="2"/>
      <c r="D3352" s="4"/>
      <c r="E3352" s="4"/>
      <c r="F3352" s="4"/>
      <c r="Q3352" s="3"/>
      <c r="R3352" s="3"/>
      <c r="S3352" s="3"/>
      <c r="T3352" s="3"/>
      <c r="U3352" s="3"/>
    </row>
    <row r="3353" spans="2:21" x14ac:dyDescent="0.25">
      <c r="B3353" s="2"/>
      <c r="C3353" s="2"/>
      <c r="D3353" s="4"/>
      <c r="E3353" s="4"/>
      <c r="F3353" s="4"/>
      <c r="Q3353" s="3"/>
      <c r="R3353" s="3"/>
      <c r="S3353" s="3"/>
      <c r="T3353" s="3"/>
      <c r="U3353" s="3"/>
    </row>
    <row r="3354" spans="2:21" x14ac:dyDescent="0.25">
      <c r="B3354" s="2"/>
      <c r="C3354" s="2"/>
      <c r="D3354" s="4"/>
      <c r="E3354" s="4"/>
      <c r="F3354" s="4"/>
      <c r="Q3354" s="3"/>
      <c r="R3354" s="3"/>
      <c r="S3354" s="3"/>
      <c r="T3354" s="3"/>
      <c r="U3354" s="3"/>
    </row>
    <row r="3355" spans="2:21" x14ac:dyDescent="0.25">
      <c r="B3355" s="2"/>
      <c r="C3355" s="2"/>
      <c r="D3355" s="4"/>
      <c r="E3355" s="4"/>
      <c r="F3355" s="4"/>
      <c r="Q3355" s="3"/>
      <c r="R3355" s="3"/>
      <c r="S3355" s="3"/>
      <c r="T3355" s="3"/>
      <c r="U3355" s="3"/>
    </row>
    <row r="3356" spans="2:21" x14ac:dyDescent="0.25">
      <c r="B3356" s="2"/>
      <c r="C3356" s="2"/>
      <c r="D3356" s="4"/>
      <c r="E3356" s="4"/>
      <c r="F3356" s="4"/>
      <c r="Q3356" s="3"/>
      <c r="R3356" s="3"/>
      <c r="S3356" s="3"/>
      <c r="T3356" s="3"/>
      <c r="U3356" s="3"/>
    </row>
    <row r="3357" spans="2:21" x14ac:dyDescent="0.25">
      <c r="B3357" s="2"/>
      <c r="C3357" s="2"/>
      <c r="D3357" s="4"/>
      <c r="E3357" s="4"/>
      <c r="F3357" s="4"/>
      <c r="Q3357" s="3"/>
      <c r="R3357" s="3"/>
      <c r="S3357" s="3"/>
      <c r="T3357" s="3"/>
      <c r="U3357" s="3"/>
    </row>
    <row r="3358" spans="2:21" x14ac:dyDescent="0.25">
      <c r="B3358" s="2"/>
      <c r="C3358" s="2"/>
      <c r="D3358" s="4"/>
      <c r="E3358" s="4"/>
      <c r="F3358" s="4"/>
      <c r="Q3358" s="3"/>
      <c r="R3358" s="3"/>
      <c r="S3358" s="3"/>
      <c r="T3358" s="3"/>
      <c r="U3358" s="3"/>
    </row>
    <row r="3359" spans="2:21" x14ac:dyDescent="0.25">
      <c r="B3359" s="2"/>
      <c r="C3359" s="2"/>
      <c r="D3359" s="4"/>
      <c r="E3359" s="4"/>
      <c r="F3359" s="4"/>
      <c r="Q3359" s="3"/>
      <c r="R3359" s="3"/>
      <c r="S3359" s="3"/>
      <c r="T3359" s="3"/>
      <c r="U3359" s="3"/>
    </row>
    <row r="3360" spans="2:21" x14ac:dyDescent="0.25">
      <c r="B3360" s="2"/>
      <c r="C3360" s="2"/>
      <c r="D3360" s="4"/>
      <c r="E3360" s="4"/>
      <c r="F3360" s="4"/>
      <c r="Q3360" s="3"/>
      <c r="R3360" s="3"/>
      <c r="S3360" s="3"/>
      <c r="T3360" s="3"/>
      <c r="U3360" s="3"/>
    </row>
    <row r="3361" spans="2:21" x14ac:dyDescent="0.25">
      <c r="B3361" s="2"/>
      <c r="C3361" s="2"/>
      <c r="D3361" s="4"/>
      <c r="E3361" s="4"/>
      <c r="F3361" s="4"/>
      <c r="Q3361" s="3"/>
      <c r="R3361" s="3"/>
      <c r="S3361" s="3"/>
      <c r="T3361" s="3"/>
      <c r="U3361" s="3"/>
    </row>
    <row r="3362" spans="2:21" x14ac:dyDescent="0.25">
      <c r="B3362" s="2"/>
      <c r="C3362" s="2"/>
      <c r="D3362" s="4"/>
      <c r="E3362" s="4"/>
      <c r="F3362" s="4"/>
      <c r="Q3362" s="3"/>
      <c r="R3362" s="3"/>
      <c r="S3362" s="3"/>
      <c r="T3362" s="3"/>
      <c r="U3362" s="3"/>
    </row>
    <row r="3363" spans="2:21" x14ac:dyDescent="0.25">
      <c r="B3363" s="2"/>
      <c r="C3363" s="2"/>
      <c r="D3363" s="4"/>
      <c r="E3363" s="4"/>
      <c r="F3363" s="4"/>
      <c r="Q3363" s="3"/>
      <c r="R3363" s="3"/>
      <c r="S3363" s="3"/>
      <c r="T3363" s="3"/>
      <c r="U3363" s="3"/>
    </row>
    <row r="3364" spans="2:21" x14ac:dyDescent="0.25">
      <c r="B3364" s="2"/>
      <c r="C3364" s="2"/>
      <c r="D3364" s="4"/>
      <c r="E3364" s="4"/>
      <c r="F3364" s="4"/>
      <c r="Q3364" s="3"/>
      <c r="R3364" s="3"/>
      <c r="S3364" s="3"/>
      <c r="T3364" s="3"/>
      <c r="U3364" s="3"/>
    </row>
    <row r="3365" spans="2:21" x14ac:dyDescent="0.25">
      <c r="B3365" s="2"/>
      <c r="C3365" s="2"/>
      <c r="D3365" s="4"/>
      <c r="E3365" s="4"/>
      <c r="F3365" s="4"/>
      <c r="Q3365" s="3"/>
      <c r="R3365" s="3"/>
      <c r="S3365" s="3"/>
      <c r="T3365" s="3"/>
      <c r="U3365" s="3"/>
    </row>
    <row r="3366" spans="2:21" x14ac:dyDescent="0.25">
      <c r="B3366" s="2"/>
      <c r="C3366" s="2"/>
      <c r="D3366" s="4"/>
      <c r="E3366" s="4"/>
      <c r="F3366" s="4"/>
      <c r="Q3366" s="3"/>
      <c r="R3366" s="3"/>
      <c r="S3366" s="3"/>
      <c r="T3366" s="3"/>
      <c r="U3366" s="3"/>
    </row>
    <row r="3367" spans="2:21" x14ac:dyDescent="0.25">
      <c r="B3367" s="2"/>
      <c r="C3367" s="2"/>
      <c r="D3367" s="4"/>
      <c r="E3367" s="4"/>
      <c r="F3367" s="4"/>
      <c r="Q3367" s="3"/>
      <c r="R3367" s="3"/>
      <c r="S3367" s="3"/>
      <c r="T3367" s="3"/>
      <c r="U3367" s="3"/>
    </row>
    <row r="3368" spans="2:21" x14ac:dyDescent="0.25">
      <c r="B3368" s="2"/>
      <c r="C3368" s="2"/>
      <c r="D3368" s="4"/>
      <c r="E3368" s="4"/>
      <c r="F3368" s="4"/>
      <c r="Q3368" s="3"/>
      <c r="R3368" s="3"/>
      <c r="S3368" s="3"/>
      <c r="T3368" s="3"/>
      <c r="U3368" s="3"/>
    </row>
    <row r="3369" spans="2:21" x14ac:dyDescent="0.25">
      <c r="B3369" s="2"/>
      <c r="C3369" s="2"/>
      <c r="D3369" s="4"/>
      <c r="E3369" s="4"/>
      <c r="F3369" s="4"/>
      <c r="Q3369" s="3"/>
      <c r="R3369" s="3"/>
      <c r="S3369" s="3"/>
      <c r="T3369" s="3"/>
      <c r="U3369" s="3"/>
    </row>
    <row r="3370" spans="2:21" x14ac:dyDescent="0.25">
      <c r="B3370" s="2"/>
      <c r="C3370" s="2"/>
      <c r="D3370" s="4"/>
      <c r="E3370" s="4"/>
      <c r="F3370" s="4"/>
      <c r="Q3370" s="3"/>
      <c r="R3370" s="3"/>
      <c r="S3370" s="3"/>
      <c r="T3370" s="3"/>
      <c r="U3370" s="3"/>
    </row>
    <row r="3371" spans="2:21" x14ac:dyDescent="0.25">
      <c r="B3371" s="2"/>
      <c r="C3371" s="2"/>
      <c r="D3371" s="4"/>
      <c r="E3371" s="4"/>
      <c r="F3371" s="4"/>
      <c r="Q3371" s="3"/>
      <c r="R3371" s="3"/>
      <c r="S3371" s="3"/>
      <c r="T3371" s="3"/>
      <c r="U3371" s="3"/>
    </row>
    <row r="3372" spans="2:21" x14ac:dyDescent="0.25">
      <c r="B3372" s="2"/>
      <c r="C3372" s="2"/>
      <c r="D3372" s="4"/>
      <c r="E3372" s="4"/>
      <c r="F3372" s="4"/>
      <c r="Q3372" s="3"/>
      <c r="R3372" s="3"/>
      <c r="S3372" s="3"/>
      <c r="T3372" s="3"/>
      <c r="U3372" s="3"/>
    </row>
    <row r="3373" spans="2:21" x14ac:dyDescent="0.25">
      <c r="B3373" s="2"/>
      <c r="C3373" s="2"/>
      <c r="D3373" s="4"/>
      <c r="E3373" s="4"/>
      <c r="F3373" s="4"/>
      <c r="Q3373" s="3"/>
      <c r="R3373" s="3"/>
      <c r="S3373" s="3"/>
      <c r="T3373" s="3"/>
      <c r="U3373" s="3"/>
    </row>
    <row r="3374" spans="2:21" x14ac:dyDescent="0.25">
      <c r="B3374" s="2"/>
      <c r="C3374" s="2"/>
      <c r="D3374" s="4"/>
      <c r="E3374" s="4"/>
      <c r="F3374" s="4"/>
      <c r="Q3374" s="3"/>
      <c r="R3374" s="3"/>
      <c r="S3374" s="3"/>
      <c r="T3374" s="3"/>
      <c r="U3374" s="3"/>
    </row>
    <row r="3375" spans="2:21" x14ac:dyDescent="0.25">
      <c r="B3375" s="2"/>
      <c r="C3375" s="2"/>
      <c r="D3375" s="4"/>
      <c r="E3375" s="4"/>
      <c r="F3375" s="4"/>
      <c r="Q3375" s="3"/>
      <c r="R3375" s="3"/>
      <c r="S3375" s="3"/>
      <c r="T3375" s="3"/>
      <c r="U3375" s="3"/>
    </row>
    <row r="3376" spans="2:21" x14ac:dyDescent="0.25">
      <c r="B3376" s="2"/>
      <c r="C3376" s="2"/>
      <c r="D3376" s="4"/>
      <c r="E3376" s="4"/>
      <c r="F3376" s="4"/>
      <c r="Q3376" s="3"/>
      <c r="R3376" s="3"/>
      <c r="S3376" s="3"/>
      <c r="T3376" s="3"/>
      <c r="U3376" s="3"/>
    </row>
    <row r="3377" spans="2:21" x14ac:dyDescent="0.25">
      <c r="B3377" s="2"/>
      <c r="C3377" s="2"/>
      <c r="D3377" s="4"/>
      <c r="E3377" s="4"/>
      <c r="F3377" s="4"/>
      <c r="Q3377" s="3"/>
      <c r="R3377" s="3"/>
      <c r="S3377" s="3"/>
      <c r="T3377" s="3"/>
      <c r="U3377" s="3"/>
    </row>
    <row r="3378" spans="2:21" x14ac:dyDescent="0.25">
      <c r="B3378" s="2"/>
      <c r="C3378" s="2"/>
      <c r="D3378" s="4"/>
      <c r="E3378" s="4"/>
      <c r="F3378" s="4"/>
      <c r="Q3378" s="3"/>
      <c r="R3378" s="3"/>
      <c r="S3378" s="3"/>
      <c r="T3378" s="3"/>
      <c r="U3378" s="3"/>
    </row>
    <row r="3379" spans="2:21" x14ac:dyDescent="0.25">
      <c r="B3379" s="2"/>
      <c r="C3379" s="2"/>
      <c r="D3379" s="4"/>
      <c r="E3379" s="4"/>
      <c r="F3379" s="4"/>
      <c r="Q3379" s="3"/>
      <c r="R3379" s="3"/>
      <c r="S3379" s="3"/>
      <c r="T3379" s="3"/>
      <c r="U3379" s="3"/>
    </row>
    <row r="3380" spans="2:21" x14ac:dyDescent="0.25">
      <c r="B3380" s="2"/>
      <c r="C3380" s="2"/>
      <c r="D3380" s="4"/>
      <c r="E3380" s="4"/>
      <c r="F3380" s="4"/>
      <c r="Q3380" s="3"/>
      <c r="R3380" s="3"/>
      <c r="S3380" s="3"/>
      <c r="T3380" s="3"/>
      <c r="U3380" s="3"/>
    </row>
    <row r="3381" spans="2:21" x14ac:dyDescent="0.25">
      <c r="B3381" s="2"/>
      <c r="C3381" s="2"/>
      <c r="D3381" s="4"/>
      <c r="E3381" s="4"/>
      <c r="F3381" s="4"/>
      <c r="Q3381" s="3"/>
      <c r="R3381" s="3"/>
      <c r="S3381" s="3"/>
      <c r="T3381" s="3"/>
      <c r="U3381" s="3"/>
    </row>
    <row r="3382" spans="2:21" x14ac:dyDescent="0.25">
      <c r="B3382" s="2"/>
      <c r="C3382" s="2"/>
      <c r="D3382" s="4"/>
      <c r="E3382" s="4"/>
      <c r="F3382" s="4"/>
      <c r="Q3382" s="3"/>
      <c r="R3382" s="3"/>
      <c r="S3382" s="3"/>
      <c r="T3382" s="3"/>
      <c r="U3382" s="3"/>
    </row>
    <row r="3383" spans="2:21" x14ac:dyDescent="0.25">
      <c r="B3383" s="2"/>
      <c r="C3383" s="2"/>
      <c r="D3383" s="4"/>
      <c r="E3383" s="4"/>
      <c r="F3383" s="4"/>
      <c r="Q3383" s="3"/>
      <c r="R3383" s="3"/>
      <c r="S3383" s="3"/>
      <c r="T3383" s="3"/>
      <c r="U3383" s="3"/>
    </row>
    <row r="3384" spans="2:21" x14ac:dyDescent="0.25">
      <c r="B3384" s="2"/>
      <c r="C3384" s="2"/>
      <c r="D3384" s="4"/>
      <c r="E3384" s="4"/>
      <c r="F3384" s="4"/>
      <c r="Q3384" s="3"/>
      <c r="R3384" s="3"/>
      <c r="S3384" s="3"/>
      <c r="T3384" s="3"/>
      <c r="U3384" s="3"/>
    </row>
    <row r="3385" spans="2:21" x14ac:dyDescent="0.25">
      <c r="B3385" s="2"/>
      <c r="C3385" s="2"/>
      <c r="D3385" s="4"/>
      <c r="E3385" s="4"/>
      <c r="F3385" s="4"/>
      <c r="Q3385" s="3"/>
      <c r="R3385" s="3"/>
      <c r="S3385" s="3"/>
      <c r="T3385" s="3"/>
      <c r="U3385" s="3"/>
    </row>
    <row r="3386" spans="2:21" x14ac:dyDescent="0.25">
      <c r="B3386" s="2"/>
      <c r="C3386" s="2"/>
      <c r="D3386" s="4"/>
      <c r="E3386" s="4"/>
      <c r="F3386" s="4"/>
      <c r="Q3386" s="3"/>
      <c r="R3386" s="3"/>
      <c r="S3386" s="3"/>
      <c r="T3386" s="3"/>
      <c r="U3386" s="3"/>
    </row>
    <row r="3387" spans="2:21" x14ac:dyDescent="0.25">
      <c r="B3387" s="2"/>
      <c r="C3387" s="2"/>
      <c r="D3387" s="4"/>
      <c r="E3387" s="4"/>
      <c r="F3387" s="4"/>
      <c r="Q3387" s="3"/>
      <c r="R3387" s="3"/>
      <c r="S3387" s="3"/>
      <c r="T3387" s="3"/>
      <c r="U3387" s="3"/>
    </row>
    <row r="3388" spans="2:21" x14ac:dyDescent="0.25">
      <c r="B3388" s="2"/>
      <c r="C3388" s="2"/>
      <c r="D3388" s="4"/>
      <c r="E3388" s="4"/>
      <c r="F3388" s="4"/>
      <c r="Q3388" s="3"/>
      <c r="R3388" s="3"/>
      <c r="S3388" s="3"/>
      <c r="T3388" s="3"/>
      <c r="U3388" s="3"/>
    </row>
    <row r="3389" spans="2:21" x14ac:dyDescent="0.25">
      <c r="B3389" s="2"/>
      <c r="C3389" s="2"/>
      <c r="D3389" s="4"/>
      <c r="E3389" s="4"/>
      <c r="F3389" s="4"/>
      <c r="Q3389" s="3"/>
      <c r="R3389" s="3"/>
      <c r="S3389" s="3"/>
      <c r="T3389" s="3"/>
      <c r="U3389" s="3"/>
    </row>
    <row r="3390" spans="2:21" x14ac:dyDescent="0.25">
      <c r="B3390" s="2"/>
      <c r="C3390" s="2"/>
      <c r="D3390" s="4"/>
      <c r="E3390" s="4"/>
      <c r="F3390" s="4"/>
      <c r="Q3390" s="3"/>
      <c r="R3390" s="3"/>
      <c r="S3390" s="3"/>
      <c r="T3390" s="3"/>
      <c r="U3390" s="3"/>
    </row>
    <row r="3391" spans="2:21" x14ac:dyDescent="0.25">
      <c r="B3391" s="2"/>
      <c r="C3391" s="2"/>
      <c r="D3391" s="4"/>
      <c r="E3391" s="4"/>
      <c r="F3391" s="4"/>
      <c r="Q3391" s="3"/>
      <c r="R3391" s="3"/>
      <c r="S3391" s="3"/>
      <c r="T3391" s="3"/>
      <c r="U3391" s="3"/>
    </row>
    <row r="3392" spans="2:21" x14ac:dyDescent="0.25">
      <c r="B3392" s="2"/>
      <c r="C3392" s="2"/>
      <c r="D3392" s="4"/>
      <c r="E3392" s="4"/>
      <c r="F3392" s="4"/>
      <c r="Q3392" s="3"/>
      <c r="R3392" s="3"/>
      <c r="S3392" s="3"/>
      <c r="T3392" s="3"/>
      <c r="U3392" s="3"/>
    </row>
    <row r="3393" spans="2:21" x14ac:dyDescent="0.25">
      <c r="B3393" s="2"/>
      <c r="C3393" s="2"/>
      <c r="D3393" s="4"/>
      <c r="E3393" s="4"/>
      <c r="F3393" s="4"/>
      <c r="Q3393" s="3"/>
      <c r="R3393" s="3"/>
      <c r="S3393" s="3"/>
      <c r="T3393" s="3"/>
      <c r="U3393" s="3"/>
    </row>
    <row r="3394" spans="2:21" x14ac:dyDescent="0.25">
      <c r="B3394" s="2"/>
      <c r="C3394" s="2"/>
      <c r="D3394" s="4"/>
      <c r="E3394" s="4"/>
      <c r="F3394" s="4"/>
      <c r="Q3394" s="3"/>
      <c r="R3394" s="3"/>
      <c r="S3394" s="3"/>
      <c r="T3394" s="3"/>
      <c r="U3394" s="3"/>
    </row>
    <row r="3395" spans="2:21" x14ac:dyDescent="0.25">
      <c r="B3395" s="2"/>
      <c r="C3395" s="2"/>
      <c r="D3395" s="4"/>
      <c r="E3395" s="4"/>
      <c r="F3395" s="4"/>
      <c r="Q3395" s="3"/>
      <c r="R3395" s="3"/>
      <c r="S3395" s="3"/>
      <c r="T3395" s="3"/>
      <c r="U3395" s="3"/>
    </row>
    <row r="3396" spans="2:21" x14ac:dyDescent="0.25">
      <c r="B3396" s="2"/>
      <c r="C3396" s="2"/>
      <c r="D3396" s="4"/>
      <c r="E3396" s="4"/>
      <c r="F3396" s="4"/>
      <c r="Q3396" s="3"/>
      <c r="R3396" s="3"/>
      <c r="S3396" s="3"/>
      <c r="T3396" s="3"/>
      <c r="U3396" s="3"/>
    </row>
    <row r="3397" spans="2:21" x14ac:dyDescent="0.25">
      <c r="B3397" s="2"/>
      <c r="C3397" s="2"/>
      <c r="D3397" s="4"/>
      <c r="E3397" s="4"/>
      <c r="F3397" s="4"/>
      <c r="Q3397" s="3"/>
      <c r="R3397" s="3"/>
      <c r="S3397" s="3"/>
      <c r="T3397" s="3"/>
      <c r="U3397" s="3"/>
    </row>
    <row r="3398" spans="2:21" x14ac:dyDescent="0.25">
      <c r="B3398" s="2"/>
      <c r="C3398" s="2"/>
      <c r="D3398" s="4"/>
      <c r="E3398" s="4"/>
      <c r="F3398" s="4"/>
      <c r="Q3398" s="3"/>
      <c r="R3398" s="3"/>
      <c r="S3398" s="3"/>
      <c r="T3398" s="3"/>
      <c r="U3398" s="3"/>
    </row>
    <row r="3399" spans="2:21" x14ac:dyDescent="0.25">
      <c r="B3399" s="2"/>
      <c r="C3399" s="2"/>
      <c r="D3399" s="4"/>
      <c r="E3399" s="4"/>
      <c r="F3399" s="4"/>
      <c r="Q3399" s="3"/>
      <c r="R3399" s="3"/>
      <c r="S3399" s="3"/>
      <c r="T3399" s="3"/>
      <c r="U3399" s="3"/>
    </row>
    <row r="3400" spans="2:21" x14ac:dyDescent="0.25">
      <c r="B3400" s="2"/>
      <c r="C3400" s="2"/>
      <c r="D3400" s="4"/>
      <c r="E3400" s="4"/>
      <c r="F3400" s="4"/>
      <c r="Q3400" s="3"/>
      <c r="R3400" s="3"/>
      <c r="S3400" s="3"/>
      <c r="T3400" s="3"/>
      <c r="U3400" s="3"/>
    </row>
    <row r="3401" spans="2:21" x14ac:dyDescent="0.25">
      <c r="B3401" s="2"/>
      <c r="C3401" s="2"/>
      <c r="D3401" s="4"/>
      <c r="E3401" s="4"/>
      <c r="F3401" s="4"/>
      <c r="Q3401" s="3"/>
      <c r="R3401" s="3"/>
      <c r="S3401" s="3"/>
      <c r="T3401" s="3"/>
      <c r="U3401" s="3"/>
    </row>
    <row r="3402" spans="2:21" x14ac:dyDescent="0.25">
      <c r="B3402" s="2"/>
      <c r="C3402" s="2"/>
      <c r="D3402" s="4"/>
      <c r="E3402" s="4"/>
      <c r="F3402" s="4"/>
      <c r="Q3402" s="3"/>
      <c r="R3402" s="3"/>
      <c r="S3402" s="3"/>
      <c r="T3402" s="3"/>
      <c r="U3402" s="3"/>
    </row>
    <row r="3403" spans="2:21" x14ac:dyDescent="0.25">
      <c r="B3403" s="2"/>
      <c r="C3403" s="2"/>
      <c r="D3403" s="4"/>
      <c r="E3403" s="4"/>
      <c r="F3403" s="4"/>
      <c r="Q3403" s="3"/>
      <c r="R3403" s="3"/>
      <c r="S3403" s="3"/>
      <c r="T3403" s="3"/>
      <c r="U3403" s="3"/>
    </row>
    <row r="3404" spans="2:21" x14ac:dyDescent="0.25">
      <c r="B3404" s="2"/>
      <c r="C3404" s="2"/>
      <c r="D3404" s="4"/>
      <c r="E3404" s="4"/>
      <c r="F3404" s="4"/>
      <c r="Q3404" s="3"/>
      <c r="R3404" s="3"/>
      <c r="S3404" s="3"/>
      <c r="T3404" s="3"/>
      <c r="U3404" s="3"/>
    </row>
    <row r="3405" spans="2:21" x14ac:dyDescent="0.25">
      <c r="B3405" s="2"/>
      <c r="C3405" s="2"/>
      <c r="D3405" s="4"/>
      <c r="E3405" s="4"/>
      <c r="F3405" s="4"/>
      <c r="Q3405" s="3"/>
      <c r="R3405" s="3"/>
      <c r="S3405" s="3"/>
      <c r="T3405" s="3"/>
      <c r="U3405" s="3"/>
    </row>
    <row r="3406" spans="2:21" x14ac:dyDescent="0.25">
      <c r="B3406" s="2"/>
      <c r="C3406" s="2"/>
      <c r="D3406" s="4"/>
      <c r="E3406" s="4"/>
      <c r="F3406" s="4"/>
      <c r="Q3406" s="3"/>
      <c r="R3406" s="3"/>
      <c r="S3406" s="3"/>
      <c r="T3406" s="3"/>
      <c r="U3406" s="3"/>
    </row>
    <row r="3407" spans="2:21" x14ac:dyDescent="0.25">
      <c r="B3407" s="2"/>
      <c r="C3407" s="2"/>
      <c r="D3407" s="4"/>
      <c r="E3407" s="4"/>
      <c r="F3407" s="4"/>
      <c r="Q3407" s="3"/>
      <c r="R3407" s="3"/>
      <c r="S3407" s="3"/>
      <c r="T3407" s="3"/>
      <c r="U3407" s="3"/>
    </row>
    <row r="3408" spans="2:21" x14ac:dyDescent="0.25">
      <c r="B3408" s="2"/>
      <c r="C3408" s="2"/>
      <c r="D3408" s="4"/>
      <c r="E3408" s="4"/>
      <c r="F3408" s="4"/>
      <c r="Q3408" s="3"/>
      <c r="R3408" s="3"/>
      <c r="S3408" s="3"/>
      <c r="T3408" s="3"/>
      <c r="U3408" s="3"/>
    </row>
    <row r="3409" spans="2:21" x14ac:dyDescent="0.25">
      <c r="B3409" s="2"/>
      <c r="C3409" s="2"/>
      <c r="D3409" s="4"/>
      <c r="E3409" s="4"/>
      <c r="F3409" s="4"/>
      <c r="Q3409" s="3"/>
      <c r="R3409" s="3"/>
      <c r="S3409" s="3"/>
      <c r="T3409" s="3"/>
      <c r="U3409" s="3"/>
    </row>
    <row r="3410" spans="2:21" x14ac:dyDescent="0.25">
      <c r="B3410" s="2"/>
      <c r="C3410" s="2"/>
      <c r="D3410" s="4"/>
      <c r="E3410" s="4"/>
      <c r="F3410" s="4"/>
      <c r="Q3410" s="3"/>
      <c r="R3410" s="3"/>
      <c r="S3410" s="3"/>
      <c r="T3410" s="3"/>
      <c r="U3410" s="3"/>
    </row>
    <row r="3411" spans="2:21" x14ac:dyDescent="0.25">
      <c r="B3411" s="2"/>
      <c r="C3411" s="2"/>
      <c r="D3411" s="4"/>
      <c r="E3411" s="4"/>
      <c r="F3411" s="4"/>
      <c r="Q3411" s="3"/>
      <c r="R3411" s="3"/>
      <c r="S3411" s="3"/>
      <c r="T3411" s="3"/>
      <c r="U3411" s="3"/>
    </row>
    <row r="3412" spans="2:21" x14ac:dyDescent="0.25">
      <c r="B3412" s="2"/>
      <c r="C3412" s="2"/>
      <c r="D3412" s="4"/>
      <c r="E3412" s="4"/>
      <c r="F3412" s="4"/>
      <c r="Q3412" s="3"/>
      <c r="R3412" s="3"/>
      <c r="S3412" s="3"/>
      <c r="T3412" s="3"/>
      <c r="U3412" s="3"/>
    </row>
    <row r="3413" spans="2:21" x14ac:dyDescent="0.25">
      <c r="B3413" s="2"/>
      <c r="C3413" s="2"/>
      <c r="D3413" s="4"/>
      <c r="E3413" s="4"/>
      <c r="F3413" s="4"/>
      <c r="Q3413" s="3"/>
      <c r="R3413" s="3"/>
      <c r="S3413" s="3"/>
      <c r="T3413" s="3"/>
      <c r="U3413" s="3"/>
    </row>
    <row r="3414" spans="2:21" x14ac:dyDescent="0.25">
      <c r="B3414" s="2"/>
      <c r="C3414" s="2"/>
      <c r="D3414" s="4"/>
      <c r="E3414" s="4"/>
      <c r="F3414" s="4"/>
      <c r="Q3414" s="3"/>
      <c r="R3414" s="3"/>
      <c r="S3414" s="3"/>
      <c r="T3414" s="3"/>
      <c r="U3414" s="3"/>
    </row>
    <row r="3415" spans="2:21" x14ac:dyDescent="0.25">
      <c r="B3415" s="2"/>
      <c r="C3415" s="2"/>
      <c r="D3415" s="4"/>
      <c r="E3415" s="4"/>
      <c r="F3415" s="4"/>
      <c r="Q3415" s="3"/>
      <c r="R3415" s="3"/>
      <c r="S3415" s="3"/>
      <c r="T3415" s="3"/>
      <c r="U3415" s="3"/>
    </row>
    <row r="3416" spans="2:21" x14ac:dyDescent="0.25">
      <c r="B3416" s="2"/>
      <c r="C3416" s="2"/>
      <c r="D3416" s="4"/>
      <c r="E3416" s="4"/>
      <c r="F3416" s="4"/>
      <c r="Q3416" s="3"/>
      <c r="R3416" s="3"/>
      <c r="S3416" s="3"/>
      <c r="T3416" s="3"/>
      <c r="U3416" s="3"/>
    </row>
    <row r="3417" spans="2:21" x14ac:dyDescent="0.25">
      <c r="B3417" s="2"/>
      <c r="C3417" s="2"/>
      <c r="D3417" s="4"/>
      <c r="E3417" s="4"/>
      <c r="F3417" s="4"/>
      <c r="Q3417" s="3"/>
      <c r="R3417" s="3"/>
      <c r="S3417" s="3"/>
      <c r="T3417" s="3"/>
      <c r="U3417" s="3"/>
    </row>
    <row r="3418" spans="2:21" x14ac:dyDescent="0.25">
      <c r="B3418" s="2"/>
      <c r="C3418" s="2"/>
      <c r="D3418" s="4"/>
      <c r="E3418" s="4"/>
      <c r="F3418" s="4"/>
      <c r="Q3418" s="3"/>
      <c r="R3418" s="3"/>
      <c r="S3418" s="3"/>
      <c r="T3418" s="3"/>
      <c r="U3418" s="3"/>
    </row>
    <row r="3419" spans="2:21" x14ac:dyDescent="0.25">
      <c r="B3419" s="2"/>
      <c r="C3419" s="2"/>
      <c r="D3419" s="4"/>
      <c r="E3419" s="4"/>
      <c r="F3419" s="4"/>
      <c r="Q3419" s="3"/>
      <c r="R3419" s="3"/>
      <c r="S3419" s="3"/>
      <c r="T3419" s="3"/>
      <c r="U3419" s="3"/>
    </row>
    <row r="3420" spans="2:21" x14ac:dyDescent="0.25">
      <c r="B3420" s="2"/>
      <c r="C3420" s="2"/>
      <c r="D3420" s="4"/>
      <c r="E3420" s="4"/>
      <c r="F3420" s="4"/>
      <c r="Q3420" s="3"/>
      <c r="R3420" s="3"/>
      <c r="S3420" s="3"/>
      <c r="T3420" s="3"/>
      <c r="U3420" s="3"/>
    </row>
    <row r="3421" spans="2:21" x14ac:dyDescent="0.25">
      <c r="B3421" s="2"/>
      <c r="C3421" s="2"/>
      <c r="D3421" s="4"/>
      <c r="E3421" s="4"/>
      <c r="F3421" s="4"/>
      <c r="Q3421" s="3"/>
      <c r="R3421" s="3"/>
      <c r="S3421" s="3"/>
      <c r="T3421" s="3"/>
      <c r="U3421" s="3"/>
    </row>
    <row r="3422" spans="2:21" x14ac:dyDescent="0.25">
      <c r="B3422" s="2"/>
      <c r="C3422" s="2"/>
      <c r="D3422" s="4"/>
      <c r="E3422" s="4"/>
      <c r="F3422" s="4"/>
      <c r="Q3422" s="3"/>
      <c r="R3422" s="3"/>
      <c r="S3422" s="3"/>
      <c r="T3422" s="3"/>
      <c r="U3422" s="3"/>
    </row>
    <row r="3423" spans="2:21" x14ac:dyDescent="0.25">
      <c r="B3423" s="2"/>
      <c r="C3423" s="2"/>
      <c r="D3423" s="4"/>
      <c r="E3423" s="4"/>
      <c r="F3423" s="4"/>
      <c r="Q3423" s="3"/>
      <c r="R3423" s="3"/>
      <c r="S3423" s="3"/>
      <c r="T3423" s="3"/>
      <c r="U3423" s="3"/>
    </row>
    <row r="3424" spans="2:21" x14ac:dyDescent="0.25">
      <c r="B3424" s="2"/>
      <c r="C3424" s="2"/>
      <c r="D3424" s="4"/>
      <c r="E3424" s="4"/>
      <c r="F3424" s="4"/>
      <c r="Q3424" s="3"/>
      <c r="R3424" s="3"/>
      <c r="S3424" s="3"/>
      <c r="T3424" s="3"/>
      <c r="U3424" s="3"/>
    </row>
    <row r="3425" spans="2:21" x14ac:dyDescent="0.25">
      <c r="B3425" s="2"/>
      <c r="C3425" s="2"/>
      <c r="D3425" s="4"/>
      <c r="E3425" s="4"/>
      <c r="F3425" s="4"/>
      <c r="Q3425" s="3"/>
      <c r="R3425" s="3"/>
      <c r="S3425" s="3"/>
      <c r="T3425" s="3"/>
      <c r="U3425" s="3"/>
    </row>
    <row r="3426" spans="2:21" x14ac:dyDescent="0.25">
      <c r="B3426" s="2"/>
      <c r="C3426" s="2"/>
      <c r="D3426" s="4"/>
      <c r="E3426" s="4"/>
      <c r="F3426" s="4"/>
      <c r="Q3426" s="3"/>
      <c r="R3426" s="3"/>
      <c r="S3426" s="3"/>
      <c r="T3426" s="3"/>
      <c r="U3426" s="3"/>
    </row>
    <row r="3427" spans="2:21" x14ac:dyDescent="0.25">
      <c r="B3427" s="2"/>
      <c r="C3427" s="2"/>
      <c r="D3427" s="4"/>
      <c r="E3427" s="4"/>
      <c r="F3427" s="4"/>
      <c r="Q3427" s="3"/>
      <c r="R3427" s="3"/>
      <c r="S3427" s="3"/>
      <c r="T3427" s="3"/>
      <c r="U3427" s="3"/>
    </row>
    <row r="3428" spans="2:21" x14ac:dyDescent="0.25">
      <c r="B3428" s="2"/>
      <c r="C3428" s="2"/>
      <c r="D3428" s="4"/>
      <c r="E3428" s="4"/>
      <c r="F3428" s="4"/>
      <c r="Q3428" s="3"/>
      <c r="R3428" s="3"/>
      <c r="S3428" s="3"/>
      <c r="T3428" s="3"/>
      <c r="U3428" s="3"/>
    </row>
    <row r="3429" spans="2:21" x14ac:dyDescent="0.25">
      <c r="B3429" s="2"/>
      <c r="C3429" s="2"/>
      <c r="D3429" s="4"/>
      <c r="E3429" s="4"/>
      <c r="F3429" s="4"/>
      <c r="Q3429" s="3"/>
      <c r="R3429" s="3"/>
      <c r="S3429" s="3"/>
      <c r="T3429" s="3"/>
      <c r="U3429" s="3"/>
    </row>
    <row r="3430" spans="2:21" x14ac:dyDescent="0.25">
      <c r="B3430" s="2"/>
      <c r="C3430" s="2"/>
      <c r="D3430" s="4"/>
      <c r="E3430" s="4"/>
      <c r="F3430" s="4"/>
      <c r="Q3430" s="3"/>
      <c r="R3430" s="3"/>
      <c r="S3430" s="3"/>
      <c r="T3430" s="3"/>
      <c r="U3430" s="3"/>
    </row>
    <row r="3431" spans="2:21" x14ac:dyDescent="0.25">
      <c r="B3431" s="2"/>
      <c r="C3431" s="2"/>
      <c r="D3431" s="4"/>
      <c r="E3431" s="4"/>
      <c r="F3431" s="4"/>
      <c r="Q3431" s="3"/>
      <c r="R3431" s="3"/>
      <c r="S3431" s="3"/>
      <c r="T3431" s="3"/>
      <c r="U3431" s="3"/>
    </row>
    <row r="3432" spans="2:21" x14ac:dyDescent="0.25">
      <c r="B3432" s="2"/>
      <c r="C3432" s="2"/>
      <c r="D3432" s="4"/>
      <c r="E3432" s="4"/>
      <c r="F3432" s="4"/>
      <c r="Q3432" s="3"/>
      <c r="R3432" s="3"/>
      <c r="S3432" s="3"/>
      <c r="T3432" s="3"/>
      <c r="U3432" s="3"/>
    </row>
    <row r="3433" spans="2:21" x14ac:dyDescent="0.25">
      <c r="B3433" s="2"/>
      <c r="C3433" s="2"/>
      <c r="D3433" s="4"/>
      <c r="E3433" s="4"/>
      <c r="F3433" s="4"/>
      <c r="Q3433" s="3"/>
      <c r="R3433" s="3"/>
      <c r="S3433" s="3"/>
      <c r="T3433" s="3"/>
      <c r="U3433" s="3"/>
    </row>
    <row r="3434" spans="2:21" x14ac:dyDescent="0.25">
      <c r="B3434" s="2"/>
      <c r="C3434" s="2"/>
      <c r="D3434" s="4"/>
      <c r="E3434" s="4"/>
      <c r="F3434" s="4"/>
      <c r="Q3434" s="3"/>
      <c r="R3434" s="3"/>
      <c r="S3434" s="3"/>
      <c r="T3434" s="3"/>
      <c r="U3434" s="3"/>
    </row>
    <row r="3435" spans="2:21" x14ac:dyDescent="0.25">
      <c r="B3435" s="2"/>
      <c r="C3435" s="2"/>
      <c r="D3435" s="4"/>
      <c r="E3435" s="4"/>
      <c r="F3435" s="4"/>
      <c r="Q3435" s="3"/>
      <c r="R3435" s="3"/>
      <c r="S3435" s="3"/>
      <c r="T3435" s="3"/>
      <c r="U3435" s="3"/>
    </row>
    <row r="3436" spans="2:21" x14ac:dyDescent="0.25">
      <c r="B3436" s="2"/>
      <c r="C3436" s="2"/>
      <c r="D3436" s="4"/>
      <c r="E3436" s="4"/>
      <c r="F3436" s="4"/>
      <c r="Q3436" s="3"/>
      <c r="R3436" s="3"/>
      <c r="S3436" s="3"/>
      <c r="T3436" s="3"/>
      <c r="U3436" s="3"/>
    </row>
    <row r="3437" spans="2:21" x14ac:dyDescent="0.25">
      <c r="B3437" s="2"/>
      <c r="C3437" s="2"/>
      <c r="D3437" s="4"/>
      <c r="E3437" s="4"/>
      <c r="F3437" s="4"/>
      <c r="Q3437" s="3"/>
      <c r="R3437" s="3"/>
      <c r="S3437" s="3"/>
      <c r="T3437" s="3"/>
      <c r="U3437" s="3"/>
    </row>
    <row r="3438" spans="2:21" x14ac:dyDescent="0.25">
      <c r="B3438" s="2"/>
      <c r="C3438" s="2"/>
      <c r="D3438" s="4"/>
      <c r="E3438" s="4"/>
      <c r="F3438" s="4"/>
      <c r="Q3438" s="3"/>
      <c r="R3438" s="3"/>
      <c r="S3438" s="3"/>
      <c r="T3438" s="3"/>
      <c r="U3438" s="3"/>
    </row>
    <row r="3439" spans="2:21" x14ac:dyDescent="0.25">
      <c r="B3439" s="2"/>
      <c r="C3439" s="2"/>
      <c r="D3439" s="4"/>
      <c r="E3439" s="4"/>
      <c r="F3439" s="4"/>
      <c r="Q3439" s="3"/>
      <c r="R3439" s="3"/>
      <c r="S3439" s="3"/>
      <c r="T3439" s="3"/>
      <c r="U3439" s="3"/>
    </row>
    <row r="3440" spans="2:21" x14ac:dyDescent="0.25">
      <c r="B3440" s="2"/>
      <c r="C3440" s="2"/>
      <c r="D3440" s="4"/>
      <c r="E3440" s="4"/>
      <c r="F3440" s="4"/>
      <c r="Q3440" s="3"/>
      <c r="R3440" s="3"/>
      <c r="S3440" s="3"/>
      <c r="T3440" s="3"/>
      <c r="U3440" s="3"/>
    </row>
    <row r="3441" spans="2:21" x14ac:dyDescent="0.25">
      <c r="B3441" s="2"/>
      <c r="C3441" s="2"/>
      <c r="D3441" s="4"/>
      <c r="E3441" s="4"/>
      <c r="F3441" s="4"/>
      <c r="Q3441" s="3"/>
      <c r="R3441" s="3"/>
      <c r="S3441" s="3"/>
      <c r="T3441" s="3"/>
      <c r="U3441" s="3"/>
    </row>
    <row r="3442" spans="2:21" x14ac:dyDescent="0.25">
      <c r="B3442" s="2"/>
      <c r="C3442" s="2"/>
      <c r="D3442" s="4"/>
      <c r="E3442" s="4"/>
      <c r="F3442" s="4"/>
      <c r="Q3442" s="3"/>
      <c r="R3442" s="3"/>
      <c r="S3442" s="3"/>
      <c r="T3442" s="3"/>
      <c r="U3442" s="3"/>
    </row>
    <row r="3443" spans="2:21" x14ac:dyDescent="0.25">
      <c r="B3443" s="2"/>
      <c r="C3443" s="2"/>
      <c r="D3443" s="4"/>
      <c r="E3443" s="4"/>
      <c r="F3443" s="4"/>
      <c r="Q3443" s="3"/>
      <c r="R3443" s="3"/>
      <c r="S3443" s="3"/>
      <c r="T3443" s="3"/>
      <c r="U3443" s="3"/>
    </row>
    <row r="3444" spans="2:21" x14ac:dyDescent="0.25">
      <c r="B3444" s="2"/>
      <c r="C3444" s="2"/>
      <c r="D3444" s="4"/>
      <c r="E3444" s="4"/>
      <c r="F3444" s="4"/>
      <c r="Q3444" s="3"/>
      <c r="R3444" s="3"/>
      <c r="S3444" s="3"/>
      <c r="T3444" s="3"/>
      <c r="U3444" s="3"/>
    </row>
    <row r="3445" spans="2:21" x14ac:dyDescent="0.25">
      <c r="B3445" s="2"/>
      <c r="C3445" s="2"/>
      <c r="D3445" s="4"/>
      <c r="E3445" s="4"/>
      <c r="F3445" s="4"/>
      <c r="Q3445" s="3"/>
      <c r="R3445" s="3"/>
      <c r="S3445" s="3"/>
      <c r="T3445" s="3"/>
      <c r="U3445" s="3"/>
    </row>
    <row r="3446" spans="2:21" x14ac:dyDescent="0.25">
      <c r="B3446" s="2"/>
      <c r="C3446" s="2"/>
      <c r="D3446" s="4"/>
      <c r="E3446" s="4"/>
      <c r="F3446" s="4"/>
      <c r="Q3446" s="3"/>
      <c r="R3446" s="3"/>
      <c r="S3446" s="3"/>
      <c r="T3446" s="3"/>
      <c r="U3446" s="3"/>
    </row>
    <row r="3447" spans="2:21" x14ac:dyDescent="0.25">
      <c r="B3447" s="2"/>
      <c r="C3447" s="2"/>
      <c r="D3447" s="4"/>
      <c r="E3447" s="4"/>
      <c r="F3447" s="4"/>
      <c r="Q3447" s="3"/>
      <c r="R3447" s="3"/>
      <c r="S3447" s="3"/>
      <c r="T3447" s="3"/>
      <c r="U3447" s="3"/>
    </row>
    <row r="3448" spans="2:21" x14ac:dyDescent="0.25">
      <c r="B3448" s="2"/>
      <c r="C3448" s="2"/>
      <c r="D3448" s="4"/>
      <c r="E3448" s="4"/>
      <c r="F3448" s="4"/>
      <c r="Q3448" s="3"/>
      <c r="R3448" s="3"/>
      <c r="S3448" s="3"/>
      <c r="T3448" s="3"/>
      <c r="U3448" s="3"/>
    </row>
    <row r="3449" spans="2:21" x14ac:dyDescent="0.25">
      <c r="B3449" s="2"/>
      <c r="C3449" s="2"/>
      <c r="D3449" s="4"/>
      <c r="E3449" s="4"/>
      <c r="F3449" s="4"/>
      <c r="Q3449" s="3"/>
      <c r="R3449" s="3"/>
      <c r="S3449" s="3"/>
      <c r="T3449" s="3"/>
      <c r="U3449" s="3"/>
    </row>
    <row r="3450" spans="2:21" x14ac:dyDescent="0.25">
      <c r="B3450" s="2"/>
      <c r="C3450" s="2"/>
      <c r="D3450" s="4"/>
      <c r="E3450" s="4"/>
      <c r="F3450" s="4"/>
      <c r="Q3450" s="3"/>
      <c r="R3450" s="3"/>
      <c r="S3450" s="3"/>
      <c r="T3450" s="3"/>
      <c r="U3450" s="3"/>
    </row>
    <row r="3451" spans="2:21" x14ac:dyDescent="0.25">
      <c r="B3451" s="2"/>
      <c r="C3451" s="2"/>
      <c r="D3451" s="4"/>
      <c r="E3451" s="4"/>
      <c r="F3451" s="4"/>
      <c r="Q3451" s="3"/>
      <c r="R3451" s="3"/>
      <c r="S3451" s="3"/>
      <c r="T3451" s="3"/>
      <c r="U3451" s="3"/>
    </row>
    <row r="3452" spans="2:21" x14ac:dyDescent="0.25">
      <c r="B3452" s="2"/>
      <c r="C3452" s="2"/>
      <c r="D3452" s="4"/>
      <c r="E3452" s="4"/>
      <c r="F3452" s="4"/>
      <c r="Q3452" s="3"/>
      <c r="R3452" s="3"/>
      <c r="S3452" s="3"/>
      <c r="T3452" s="3"/>
      <c r="U3452" s="3"/>
    </row>
    <row r="3453" spans="2:21" x14ac:dyDescent="0.25">
      <c r="B3453" s="2"/>
      <c r="C3453" s="2"/>
      <c r="D3453" s="4"/>
      <c r="E3453" s="4"/>
      <c r="F3453" s="4"/>
      <c r="Q3453" s="3"/>
      <c r="R3453" s="3"/>
      <c r="S3453" s="3"/>
      <c r="T3453" s="3"/>
      <c r="U3453" s="3"/>
    </row>
    <row r="3454" spans="2:21" x14ac:dyDescent="0.25">
      <c r="B3454" s="2"/>
      <c r="C3454" s="2"/>
      <c r="D3454" s="4"/>
      <c r="E3454" s="4"/>
      <c r="F3454" s="4"/>
      <c r="Q3454" s="3"/>
      <c r="R3454" s="3"/>
      <c r="S3454" s="3"/>
      <c r="T3454" s="3"/>
      <c r="U3454" s="3"/>
    </row>
    <row r="3455" spans="2:21" x14ac:dyDescent="0.25">
      <c r="B3455" s="2"/>
      <c r="C3455" s="2"/>
      <c r="D3455" s="4"/>
      <c r="E3455" s="4"/>
      <c r="F3455" s="4"/>
      <c r="Q3455" s="3"/>
      <c r="R3455" s="3"/>
      <c r="S3455" s="3"/>
      <c r="T3455" s="3"/>
      <c r="U3455" s="3"/>
    </row>
    <row r="3456" spans="2:21" x14ac:dyDescent="0.25">
      <c r="B3456" s="2"/>
      <c r="C3456" s="2"/>
      <c r="D3456" s="4"/>
      <c r="E3456" s="4"/>
      <c r="F3456" s="4"/>
      <c r="Q3456" s="3"/>
      <c r="R3456" s="3"/>
      <c r="S3456" s="3"/>
      <c r="T3456" s="3"/>
      <c r="U3456" s="3"/>
    </row>
    <row r="3457" spans="2:21" x14ac:dyDescent="0.25">
      <c r="B3457" s="2"/>
      <c r="C3457" s="2"/>
      <c r="D3457" s="4"/>
      <c r="E3457" s="4"/>
      <c r="F3457" s="4"/>
      <c r="Q3457" s="3"/>
      <c r="R3457" s="3"/>
      <c r="S3457" s="3"/>
      <c r="T3457" s="3"/>
      <c r="U3457" s="3"/>
    </row>
    <row r="3458" spans="2:21" x14ac:dyDescent="0.25">
      <c r="B3458" s="2"/>
      <c r="C3458" s="2"/>
      <c r="D3458" s="4"/>
      <c r="E3458" s="4"/>
      <c r="F3458" s="4"/>
      <c r="Q3458" s="3"/>
      <c r="R3458" s="3"/>
      <c r="S3458" s="3"/>
      <c r="T3458" s="3"/>
      <c r="U3458" s="3"/>
    </row>
    <row r="3459" spans="2:21" x14ac:dyDescent="0.25">
      <c r="B3459" s="2"/>
      <c r="C3459" s="2"/>
      <c r="D3459" s="4"/>
      <c r="E3459" s="4"/>
      <c r="F3459" s="4"/>
      <c r="Q3459" s="3"/>
      <c r="R3459" s="3"/>
      <c r="S3459" s="3"/>
      <c r="T3459" s="3"/>
      <c r="U3459" s="3"/>
    </row>
    <row r="3460" spans="2:21" x14ac:dyDescent="0.25">
      <c r="B3460" s="2"/>
      <c r="C3460" s="2"/>
      <c r="D3460" s="4"/>
      <c r="E3460" s="4"/>
      <c r="F3460" s="4"/>
      <c r="Q3460" s="3"/>
      <c r="R3460" s="3"/>
      <c r="S3460" s="3"/>
      <c r="T3460" s="3"/>
      <c r="U3460" s="3"/>
    </row>
    <row r="3461" spans="2:21" x14ac:dyDescent="0.25">
      <c r="B3461" s="2"/>
      <c r="C3461" s="2"/>
      <c r="D3461" s="4"/>
      <c r="E3461" s="4"/>
      <c r="F3461" s="4"/>
      <c r="Q3461" s="3"/>
      <c r="R3461" s="3"/>
      <c r="S3461" s="3"/>
      <c r="T3461" s="3"/>
      <c r="U3461" s="3"/>
    </row>
    <row r="3462" spans="2:21" x14ac:dyDescent="0.25">
      <c r="B3462" s="2"/>
      <c r="C3462" s="2"/>
      <c r="D3462" s="4"/>
      <c r="E3462" s="4"/>
      <c r="F3462" s="4"/>
      <c r="Q3462" s="3"/>
      <c r="R3462" s="3"/>
      <c r="S3462" s="3"/>
      <c r="T3462" s="3"/>
      <c r="U3462" s="3"/>
    </row>
    <row r="3463" spans="2:21" x14ac:dyDescent="0.25">
      <c r="B3463" s="2"/>
      <c r="C3463" s="2"/>
      <c r="D3463" s="4"/>
      <c r="E3463" s="4"/>
      <c r="F3463" s="4"/>
      <c r="Q3463" s="3"/>
      <c r="R3463" s="3"/>
      <c r="S3463" s="3"/>
      <c r="T3463" s="3"/>
      <c r="U3463" s="3"/>
    </row>
    <row r="3464" spans="2:21" x14ac:dyDescent="0.25">
      <c r="B3464" s="2"/>
      <c r="C3464" s="2"/>
      <c r="D3464" s="4"/>
      <c r="E3464" s="4"/>
      <c r="F3464" s="4"/>
      <c r="Q3464" s="3"/>
      <c r="R3464" s="3"/>
      <c r="S3464" s="3"/>
      <c r="T3464" s="3"/>
      <c r="U3464" s="3"/>
    </row>
    <row r="3465" spans="2:21" x14ac:dyDescent="0.25">
      <c r="B3465" s="2"/>
      <c r="C3465" s="2"/>
      <c r="D3465" s="4"/>
      <c r="E3465" s="4"/>
      <c r="F3465" s="4"/>
      <c r="Q3465" s="3"/>
      <c r="R3465" s="3"/>
      <c r="S3465" s="3"/>
      <c r="T3465" s="3"/>
      <c r="U3465" s="3"/>
    </row>
    <row r="3466" spans="2:21" x14ac:dyDescent="0.25">
      <c r="B3466" s="2"/>
      <c r="C3466" s="2"/>
      <c r="D3466" s="4"/>
      <c r="E3466" s="4"/>
      <c r="F3466" s="4"/>
      <c r="Q3466" s="3"/>
      <c r="R3466" s="3"/>
      <c r="S3466" s="3"/>
      <c r="T3466" s="3"/>
      <c r="U3466" s="3"/>
    </row>
    <row r="3467" spans="2:21" x14ac:dyDescent="0.25">
      <c r="B3467" s="2"/>
      <c r="C3467" s="2"/>
      <c r="D3467" s="4"/>
      <c r="E3467" s="4"/>
      <c r="F3467" s="4"/>
      <c r="Q3467" s="3"/>
      <c r="R3467" s="3"/>
      <c r="S3467" s="3"/>
      <c r="T3467" s="3"/>
      <c r="U3467" s="3"/>
    </row>
    <row r="3468" spans="2:21" x14ac:dyDescent="0.25">
      <c r="B3468" s="2"/>
      <c r="C3468" s="2"/>
      <c r="D3468" s="4"/>
      <c r="E3468" s="4"/>
      <c r="F3468" s="4"/>
      <c r="Q3468" s="3"/>
      <c r="R3468" s="3"/>
      <c r="S3468" s="3"/>
      <c r="T3468" s="3"/>
      <c r="U3468" s="3"/>
    </row>
    <row r="3469" spans="2:21" x14ac:dyDescent="0.25">
      <c r="B3469" s="2"/>
      <c r="C3469" s="2"/>
      <c r="D3469" s="4"/>
      <c r="E3469" s="4"/>
      <c r="F3469" s="4"/>
      <c r="Q3469" s="3"/>
      <c r="R3469" s="3"/>
      <c r="S3469" s="3"/>
      <c r="T3469" s="3"/>
      <c r="U3469" s="3"/>
    </row>
    <row r="3470" spans="2:21" x14ac:dyDescent="0.25">
      <c r="B3470" s="2"/>
      <c r="C3470" s="2"/>
      <c r="D3470" s="4"/>
      <c r="E3470" s="4"/>
      <c r="F3470" s="4"/>
      <c r="Q3470" s="3"/>
      <c r="R3470" s="3"/>
      <c r="S3470" s="3"/>
      <c r="T3470" s="3"/>
      <c r="U3470" s="3"/>
    </row>
    <row r="3471" spans="2:21" x14ac:dyDescent="0.25">
      <c r="B3471" s="2"/>
      <c r="C3471" s="2"/>
      <c r="D3471" s="4"/>
      <c r="E3471" s="4"/>
      <c r="F3471" s="4"/>
      <c r="Q3471" s="3"/>
      <c r="R3471" s="3"/>
      <c r="S3471" s="3"/>
      <c r="T3471" s="3"/>
      <c r="U3471" s="3"/>
    </row>
    <row r="3472" spans="2:21" x14ac:dyDescent="0.25">
      <c r="B3472" s="2"/>
      <c r="C3472" s="2"/>
      <c r="D3472" s="4"/>
      <c r="E3472" s="4"/>
      <c r="F3472" s="4"/>
      <c r="Q3472" s="3"/>
      <c r="R3472" s="3"/>
      <c r="S3472" s="3"/>
      <c r="T3472" s="3"/>
      <c r="U3472" s="3"/>
    </row>
    <row r="3473" spans="2:21" x14ac:dyDescent="0.25">
      <c r="B3473" s="2"/>
      <c r="C3473" s="2"/>
      <c r="D3473" s="4"/>
      <c r="E3473" s="4"/>
      <c r="F3473" s="4"/>
      <c r="Q3473" s="3"/>
      <c r="R3473" s="3"/>
      <c r="S3473" s="3"/>
      <c r="T3473" s="3"/>
      <c r="U3473" s="3"/>
    </row>
    <row r="3474" spans="2:21" x14ac:dyDescent="0.25">
      <c r="B3474" s="2"/>
      <c r="C3474" s="2"/>
      <c r="D3474" s="4"/>
      <c r="E3474" s="4"/>
      <c r="F3474" s="4"/>
      <c r="Q3474" s="3"/>
      <c r="R3474" s="3"/>
      <c r="S3474" s="3"/>
      <c r="T3474" s="3"/>
      <c r="U3474" s="3"/>
    </row>
    <row r="3475" spans="2:21" x14ac:dyDescent="0.25">
      <c r="B3475" s="2"/>
      <c r="C3475" s="2"/>
      <c r="D3475" s="4"/>
      <c r="E3475" s="4"/>
      <c r="F3475" s="4"/>
      <c r="Q3475" s="3"/>
      <c r="R3475" s="3"/>
      <c r="S3475" s="3"/>
      <c r="T3475" s="3"/>
      <c r="U3475" s="3"/>
    </row>
    <row r="3476" spans="2:21" x14ac:dyDescent="0.25">
      <c r="B3476" s="2"/>
      <c r="C3476" s="2"/>
      <c r="D3476" s="4"/>
      <c r="E3476" s="4"/>
      <c r="F3476" s="4"/>
      <c r="Q3476" s="3"/>
      <c r="R3476" s="3"/>
      <c r="S3476" s="3"/>
      <c r="T3476" s="3"/>
      <c r="U3476" s="3"/>
    </row>
    <row r="3477" spans="2:21" x14ac:dyDescent="0.25">
      <c r="B3477" s="2"/>
      <c r="C3477" s="2"/>
      <c r="D3477" s="4"/>
      <c r="E3477" s="4"/>
      <c r="F3477" s="4"/>
      <c r="Q3477" s="3"/>
      <c r="R3477" s="3"/>
      <c r="S3477" s="3"/>
      <c r="T3477" s="3"/>
      <c r="U3477" s="3"/>
    </row>
    <row r="3478" spans="2:21" x14ac:dyDescent="0.25">
      <c r="B3478" s="2"/>
      <c r="C3478" s="2"/>
      <c r="D3478" s="4"/>
      <c r="E3478" s="4"/>
      <c r="F3478" s="4"/>
      <c r="Q3478" s="3"/>
      <c r="R3478" s="3"/>
      <c r="S3478" s="3"/>
      <c r="T3478" s="3"/>
      <c r="U3478" s="3"/>
    </row>
    <row r="3479" spans="2:21" x14ac:dyDescent="0.25">
      <c r="B3479" s="2"/>
      <c r="C3479" s="2"/>
      <c r="D3479" s="4"/>
      <c r="E3479" s="4"/>
      <c r="F3479" s="4"/>
      <c r="Q3479" s="3"/>
      <c r="R3479" s="3"/>
      <c r="S3479" s="3"/>
      <c r="T3479" s="3"/>
      <c r="U3479" s="3"/>
    </row>
    <row r="3480" spans="2:21" x14ac:dyDescent="0.25">
      <c r="B3480" s="2"/>
      <c r="C3480" s="2"/>
      <c r="D3480" s="4"/>
      <c r="E3480" s="4"/>
      <c r="F3480" s="4"/>
      <c r="Q3480" s="3"/>
      <c r="R3480" s="3"/>
      <c r="S3480" s="3"/>
      <c r="T3480" s="3"/>
      <c r="U3480" s="3"/>
    </row>
    <row r="3481" spans="2:21" x14ac:dyDescent="0.25">
      <c r="B3481" s="2"/>
      <c r="C3481" s="2"/>
      <c r="D3481" s="4"/>
      <c r="E3481" s="4"/>
      <c r="F3481" s="4"/>
      <c r="Q3481" s="3"/>
      <c r="R3481" s="3"/>
      <c r="S3481" s="3"/>
      <c r="T3481" s="3"/>
      <c r="U3481" s="3"/>
    </row>
    <row r="3482" spans="2:21" x14ac:dyDescent="0.25">
      <c r="B3482" s="2"/>
      <c r="C3482" s="2"/>
      <c r="D3482" s="4"/>
      <c r="E3482" s="4"/>
      <c r="F3482" s="4"/>
      <c r="Q3482" s="3"/>
      <c r="R3482" s="3"/>
      <c r="S3482" s="3"/>
      <c r="T3482" s="3"/>
      <c r="U3482" s="3"/>
    </row>
    <row r="3483" spans="2:21" x14ac:dyDescent="0.25">
      <c r="B3483" s="2"/>
      <c r="C3483" s="2"/>
      <c r="D3483" s="4"/>
      <c r="E3483" s="4"/>
      <c r="F3483" s="4"/>
      <c r="Q3483" s="3"/>
      <c r="R3483" s="3"/>
      <c r="S3483" s="3"/>
      <c r="T3483" s="3"/>
      <c r="U3483" s="3"/>
    </row>
    <row r="3484" spans="2:21" x14ac:dyDescent="0.25">
      <c r="B3484" s="2"/>
      <c r="C3484" s="2"/>
      <c r="D3484" s="4"/>
      <c r="E3484" s="4"/>
      <c r="F3484" s="4"/>
      <c r="Q3484" s="3"/>
      <c r="R3484" s="3"/>
      <c r="S3484" s="3"/>
      <c r="T3484" s="3"/>
      <c r="U3484" s="3"/>
    </row>
    <row r="3485" spans="2:21" x14ac:dyDescent="0.25">
      <c r="B3485" s="2"/>
      <c r="C3485" s="2"/>
      <c r="D3485" s="4"/>
      <c r="E3485" s="4"/>
      <c r="F3485" s="4"/>
      <c r="Q3485" s="3"/>
      <c r="R3485" s="3"/>
      <c r="S3485" s="3"/>
      <c r="T3485" s="3"/>
      <c r="U3485" s="3"/>
    </row>
    <row r="3486" spans="2:21" x14ac:dyDescent="0.25">
      <c r="B3486" s="2"/>
      <c r="C3486" s="2"/>
      <c r="D3486" s="4"/>
      <c r="E3486" s="4"/>
      <c r="F3486" s="4"/>
      <c r="Q3486" s="3"/>
      <c r="R3486" s="3"/>
      <c r="S3486" s="3"/>
      <c r="T3486" s="3"/>
      <c r="U3486" s="3"/>
    </row>
    <row r="3487" spans="2:21" x14ac:dyDescent="0.25">
      <c r="B3487" s="2"/>
      <c r="C3487" s="2"/>
      <c r="D3487" s="4"/>
      <c r="E3487" s="4"/>
      <c r="F3487" s="4"/>
      <c r="Q3487" s="3"/>
      <c r="R3487" s="3"/>
      <c r="S3487" s="3"/>
      <c r="T3487" s="3"/>
      <c r="U3487" s="3"/>
    </row>
    <row r="3488" spans="2:21" x14ac:dyDescent="0.25">
      <c r="B3488" s="2"/>
      <c r="C3488" s="2"/>
      <c r="D3488" s="4"/>
      <c r="E3488" s="4"/>
      <c r="F3488" s="4"/>
      <c r="Q3488" s="3"/>
      <c r="R3488" s="3"/>
      <c r="S3488" s="3"/>
      <c r="T3488" s="3"/>
      <c r="U3488" s="3"/>
    </row>
    <row r="3489" spans="2:21" x14ac:dyDescent="0.25">
      <c r="B3489" s="2"/>
      <c r="C3489" s="2"/>
      <c r="D3489" s="4"/>
      <c r="E3489" s="4"/>
      <c r="F3489" s="4"/>
      <c r="Q3489" s="3"/>
      <c r="R3489" s="3"/>
      <c r="S3489" s="3"/>
      <c r="T3489" s="3"/>
      <c r="U3489" s="3"/>
    </row>
    <row r="3490" spans="2:21" x14ac:dyDescent="0.25">
      <c r="B3490" s="2"/>
      <c r="C3490" s="2"/>
      <c r="D3490" s="4"/>
      <c r="E3490" s="4"/>
      <c r="F3490" s="4"/>
      <c r="Q3490" s="3"/>
      <c r="R3490" s="3"/>
      <c r="S3490" s="3"/>
      <c r="T3490" s="3"/>
      <c r="U3490" s="3"/>
    </row>
    <row r="3491" spans="2:21" x14ac:dyDescent="0.25">
      <c r="B3491" s="2"/>
      <c r="C3491" s="2"/>
      <c r="D3491" s="4"/>
      <c r="E3491" s="4"/>
      <c r="F3491" s="4"/>
      <c r="Q3491" s="3"/>
      <c r="R3491" s="3"/>
      <c r="S3491" s="3"/>
      <c r="T3491" s="3"/>
      <c r="U3491" s="3"/>
    </row>
    <row r="3492" spans="2:21" x14ac:dyDescent="0.25">
      <c r="B3492" s="2"/>
      <c r="C3492" s="2"/>
      <c r="D3492" s="4"/>
      <c r="E3492" s="4"/>
      <c r="F3492" s="4"/>
      <c r="Q3492" s="3"/>
      <c r="R3492" s="3"/>
      <c r="S3492" s="3"/>
      <c r="T3492" s="3"/>
      <c r="U3492" s="3"/>
    </row>
    <row r="3493" spans="2:21" x14ac:dyDescent="0.25">
      <c r="B3493" s="2"/>
      <c r="C3493" s="2"/>
      <c r="D3493" s="4"/>
      <c r="E3493" s="4"/>
      <c r="F3493" s="4"/>
      <c r="Q3493" s="3"/>
      <c r="R3493" s="3"/>
      <c r="S3493" s="3"/>
      <c r="T3493" s="3"/>
      <c r="U3493" s="3"/>
    </row>
    <row r="3494" spans="2:21" x14ac:dyDescent="0.25">
      <c r="B3494" s="2"/>
      <c r="C3494" s="2"/>
      <c r="D3494" s="4"/>
      <c r="E3494" s="4"/>
      <c r="F3494" s="4"/>
      <c r="Q3494" s="3"/>
      <c r="R3494" s="3"/>
      <c r="S3494" s="3"/>
      <c r="T3494" s="3"/>
      <c r="U3494" s="3"/>
    </row>
    <row r="3495" spans="2:21" x14ac:dyDescent="0.25">
      <c r="B3495" s="2"/>
      <c r="C3495" s="2"/>
      <c r="D3495" s="4"/>
      <c r="E3495" s="4"/>
      <c r="F3495" s="4"/>
      <c r="Q3495" s="3"/>
      <c r="R3495" s="3"/>
      <c r="S3495" s="3"/>
      <c r="T3495" s="3"/>
      <c r="U3495" s="3"/>
    </row>
    <row r="3496" spans="2:21" x14ac:dyDescent="0.25">
      <c r="B3496" s="2"/>
      <c r="C3496" s="2"/>
      <c r="D3496" s="4"/>
      <c r="E3496" s="4"/>
      <c r="F3496" s="4"/>
      <c r="Q3496" s="3"/>
      <c r="R3496" s="3"/>
      <c r="S3496" s="3"/>
      <c r="T3496" s="3"/>
      <c r="U3496" s="3"/>
    </row>
    <row r="3497" spans="2:21" x14ac:dyDescent="0.25">
      <c r="B3497" s="2"/>
      <c r="C3497" s="2"/>
      <c r="D3497" s="4"/>
      <c r="E3497" s="4"/>
      <c r="F3497" s="4"/>
      <c r="Q3497" s="3"/>
      <c r="R3497" s="3"/>
      <c r="S3497" s="3"/>
      <c r="T3497" s="3"/>
      <c r="U3497" s="3"/>
    </row>
    <row r="3498" spans="2:21" x14ac:dyDescent="0.25">
      <c r="B3498" s="2"/>
      <c r="C3498" s="2"/>
      <c r="D3498" s="4"/>
      <c r="E3498" s="4"/>
      <c r="F3498" s="4"/>
      <c r="Q3498" s="3"/>
      <c r="R3498" s="3"/>
      <c r="S3498" s="3"/>
      <c r="T3498" s="3"/>
      <c r="U3498" s="3"/>
    </row>
    <row r="3499" spans="2:21" x14ac:dyDescent="0.25">
      <c r="B3499" s="2"/>
      <c r="C3499" s="2"/>
      <c r="D3499" s="4"/>
      <c r="E3499" s="4"/>
      <c r="F3499" s="4"/>
      <c r="Q3499" s="3"/>
      <c r="R3499" s="3"/>
      <c r="S3499" s="3"/>
      <c r="T3499" s="3"/>
      <c r="U3499" s="3"/>
    </row>
    <row r="3500" spans="2:21" x14ac:dyDescent="0.25">
      <c r="B3500" s="2"/>
      <c r="C3500" s="2"/>
      <c r="D3500" s="4"/>
      <c r="E3500" s="4"/>
      <c r="F3500" s="4"/>
      <c r="Q3500" s="3"/>
      <c r="R3500" s="3"/>
      <c r="S3500" s="3"/>
      <c r="T3500" s="3"/>
      <c r="U3500" s="3"/>
    </row>
    <row r="3501" spans="2:21" x14ac:dyDescent="0.25">
      <c r="B3501" s="2"/>
      <c r="C3501" s="2"/>
      <c r="D3501" s="4"/>
      <c r="E3501" s="4"/>
      <c r="F3501" s="4"/>
      <c r="Q3501" s="3"/>
      <c r="R3501" s="3"/>
      <c r="S3501" s="3"/>
      <c r="T3501" s="3"/>
      <c r="U3501" s="3"/>
    </row>
    <row r="3502" spans="2:21" x14ac:dyDescent="0.25">
      <c r="B3502" s="2"/>
      <c r="C3502" s="2"/>
      <c r="D3502" s="4"/>
      <c r="E3502" s="4"/>
      <c r="F3502" s="4"/>
      <c r="Q3502" s="3"/>
      <c r="R3502" s="3"/>
      <c r="S3502" s="3"/>
      <c r="T3502" s="3"/>
      <c r="U3502" s="3"/>
    </row>
    <row r="3503" spans="2:21" x14ac:dyDescent="0.25">
      <c r="B3503" s="2"/>
      <c r="C3503" s="2"/>
      <c r="D3503" s="4"/>
      <c r="E3503" s="4"/>
      <c r="F3503" s="4"/>
      <c r="Q3503" s="3"/>
      <c r="R3503" s="3"/>
      <c r="S3503" s="3"/>
      <c r="T3503" s="3"/>
      <c r="U3503" s="3"/>
    </row>
    <row r="3504" spans="2:21" x14ac:dyDescent="0.25">
      <c r="B3504" s="2"/>
      <c r="C3504" s="2"/>
      <c r="D3504" s="4"/>
      <c r="E3504" s="4"/>
      <c r="F3504" s="4"/>
      <c r="Q3504" s="3"/>
      <c r="R3504" s="3"/>
      <c r="S3504" s="3"/>
      <c r="T3504" s="3"/>
      <c r="U3504" s="3"/>
    </row>
    <row r="3505" spans="2:21" x14ac:dyDescent="0.25">
      <c r="B3505" s="2"/>
      <c r="C3505" s="2"/>
      <c r="D3505" s="4"/>
      <c r="E3505" s="4"/>
      <c r="F3505" s="4"/>
      <c r="Q3505" s="3"/>
      <c r="R3505" s="3"/>
      <c r="S3505" s="3"/>
      <c r="T3505" s="3"/>
      <c r="U3505" s="3"/>
    </row>
    <row r="3506" spans="2:21" x14ac:dyDescent="0.25">
      <c r="B3506" s="2"/>
      <c r="C3506" s="2"/>
      <c r="D3506" s="4"/>
      <c r="E3506" s="4"/>
      <c r="F3506" s="4"/>
      <c r="Q3506" s="3"/>
      <c r="R3506" s="3"/>
      <c r="S3506" s="3"/>
      <c r="T3506" s="3"/>
      <c r="U3506" s="3"/>
    </row>
    <row r="3507" spans="2:21" x14ac:dyDescent="0.25">
      <c r="B3507" s="2"/>
      <c r="C3507" s="2"/>
      <c r="D3507" s="4"/>
      <c r="E3507" s="4"/>
      <c r="F3507" s="4"/>
      <c r="Q3507" s="3"/>
      <c r="R3507" s="3"/>
      <c r="S3507" s="3"/>
      <c r="T3507" s="3"/>
      <c r="U3507" s="3"/>
    </row>
    <row r="3508" spans="2:21" x14ac:dyDescent="0.25">
      <c r="B3508" s="2"/>
      <c r="C3508" s="2"/>
      <c r="D3508" s="4"/>
      <c r="E3508" s="4"/>
      <c r="F3508" s="4"/>
      <c r="Q3508" s="3"/>
      <c r="R3508" s="3"/>
      <c r="S3508" s="3"/>
      <c r="T3508" s="3"/>
      <c r="U3508" s="3"/>
    </row>
    <row r="3509" spans="2:21" x14ac:dyDescent="0.25">
      <c r="B3509" s="2"/>
      <c r="C3509" s="2"/>
      <c r="D3509" s="4"/>
      <c r="E3509" s="4"/>
      <c r="F3509" s="4"/>
      <c r="Q3509" s="3"/>
      <c r="R3509" s="3"/>
      <c r="S3509" s="3"/>
      <c r="T3509" s="3"/>
      <c r="U3509" s="3"/>
    </row>
    <row r="3510" spans="2:21" x14ac:dyDescent="0.25">
      <c r="B3510" s="2"/>
      <c r="C3510" s="2"/>
      <c r="D3510" s="4"/>
      <c r="E3510" s="4"/>
      <c r="F3510" s="4"/>
      <c r="Q3510" s="3"/>
      <c r="R3510" s="3"/>
      <c r="S3510" s="3"/>
      <c r="T3510" s="3"/>
      <c r="U3510" s="3"/>
    </row>
    <row r="3511" spans="2:21" x14ac:dyDescent="0.25">
      <c r="B3511" s="2"/>
      <c r="C3511" s="2"/>
      <c r="D3511" s="4"/>
      <c r="E3511" s="4"/>
      <c r="F3511" s="4"/>
      <c r="Q3511" s="3"/>
      <c r="R3511" s="3"/>
      <c r="S3511" s="3"/>
      <c r="T3511" s="3"/>
      <c r="U3511" s="3"/>
    </row>
    <row r="3512" spans="2:21" x14ac:dyDescent="0.25">
      <c r="B3512" s="2"/>
      <c r="C3512" s="2"/>
      <c r="D3512" s="4"/>
      <c r="E3512" s="4"/>
      <c r="F3512" s="4"/>
      <c r="Q3512" s="3"/>
      <c r="R3512" s="3"/>
      <c r="S3512" s="3"/>
      <c r="T3512" s="3"/>
      <c r="U3512" s="3"/>
    </row>
    <row r="3513" spans="2:21" x14ac:dyDescent="0.25">
      <c r="B3513" s="2"/>
      <c r="C3513" s="2"/>
      <c r="D3513" s="4"/>
      <c r="E3513" s="4"/>
      <c r="F3513" s="4"/>
      <c r="Q3513" s="3"/>
      <c r="R3513" s="3"/>
      <c r="S3513" s="3"/>
      <c r="T3513" s="3"/>
      <c r="U3513" s="3"/>
    </row>
    <row r="3514" spans="2:21" x14ac:dyDescent="0.25">
      <c r="B3514" s="2"/>
      <c r="C3514" s="2"/>
      <c r="D3514" s="4"/>
      <c r="E3514" s="4"/>
      <c r="F3514" s="4"/>
      <c r="Q3514" s="3"/>
      <c r="R3514" s="3"/>
      <c r="S3514" s="3"/>
      <c r="T3514" s="3"/>
      <c r="U3514" s="3"/>
    </row>
    <row r="3515" spans="2:21" x14ac:dyDescent="0.25">
      <c r="B3515" s="2"/>
      <c r="C3515" s="2"/>
      <c r="D3515" s="4"/>
      <c r="E3515" s="4"/>
      <c r="F3515" s="4"/>
      <c r="Q3515" s="3"/>
      <c r="R3515" s="3"/>
      <c r="S3515" s="3"/>
      <c r="T3515" s="3"/>
      <c r="U3515" s="3"/>
    </row>
    <row r="3516" spans="2:21" x14ac:dyDescent="0.25">
      <c r="B3516" s="2"/>
      <c r="C3516" s="2"/>
      <c r="D3516" s="4"/>
      <c r="E3516" s="4"/>
      <c r="F3516" s="4"/>
      <c r="Q3516" s="3"/>
      <c r="R3516" s="3"/>
      <c r="S3516" s="3"/>
      <c r="T3516" s="3"/>
      <c r="U3516" s="3"/>
    </row>
    <row r="3517" spans="2:21" x14ac:dyDescent="0.25">
      <c r="B3517" s="2"/>
      <c r="C3517" s="2"/>
      <c r="D3517" s="4"/>
      <c r="E3517" s="4"/>
      <c r="F3517" s="4"/>
      <c r="Q3517" s="3"/>
      <c r="R3517" s="3"/>
      <c r="S3517" s="3"/>
      <c r="T3517" s="3"/>
      <c r="U3517" s="3"/>
    </row>
    <row r="3518" spans="2:21" x14ac:dyDescent="0.25">
      <c r="B3518" s="2"/>
      <c r="C3518" s="2"/>
      <c r="D3518" s="4"/>
      <c r="E3518" s="4"/>
      <c r="F3518" s="4"/>
      <c r="Q3518" s="3"/>
      <c r="R3518" s="3"/>
      <c r="S3518" s="3"/>
      <c r="T3518" s="3"/>
      <c r="U3518" s="3"/>
    </row>
    <row r="3519" spans="2:21" x14ac:dyDescent="0.25">
      <c r="B3519" s="2"/>
      <c r="C3519" s="2"/>
      <c r="D3519" s="4"/>
      <c r="E3519" s="4"/>
      <c r="F3519" s="4"/>
      <c r="Q3519" s="3"/>
      <c r="R3519" s="3"/>
      <c r="S3519" s="3"/>
      <c r="T3519" s="3"/>
      <c r="U3519" s="3"/>
    </row>
    <row r="3520" spans="2:21" x14ac:dyDescent="0.25">
      <c r="B3520" s="2"/>
      <c r="C3520" s="2"/>
      <c r="D3520" s="4"/>
      <c r="E3520" s="4"/>
      <c r="F3520" s="4"/>
      <c r="Q3520" s="3"/>
      <c r="R3520" s="3"/>
      <c r="S3520" s="3"/>
      <c r="T3520" s="3"/>
      <c r="U3520" s="3"/>
    </row>
    <row r="3521" spans="2:21" x14ac:dyDescent="0.25">
      <c r="B3521" s="2"/>
      <c r="C3521" s="2"/>
      <c r="D3521" s="4"/>
      <c r="E3521" s="4"/>
      <c r="F3521" s="4"/>
      <c r="Q3521" s="3"/>
      <c r="R3521" s="3"/>
      <c r="S3521" s="3"/>
      <c r="T3521" s="3"/>
      <c r="U3521" s="3"/>
    </row>
    <row r="3522" spans="2:21" x14ac:dyDescent="0.25">
      <c r="B3522" s="2"/>
      <c r="C3522" s="2"/>
      <c r="D3522" s="4"/>
      <c r="E3522" s="4"/>
      <c r="F3522" s="4"/>
      <c r="Q3522" s="3"/>
      <c r="R3522" s="3"/>
      <c r="S3522" s="3"/>
      <c r="T3522" s="3"/>
      <c r="U3522" s="3"/>
    </row>
    <row r="3523" spans="2:21" x14ac:dyDescent="0.25">
      <c r="B3523" s="2"/>
      <c r="C3523" s="2"/>
      <c r="D3523" s="4"/>
      <c r="E3523" s="4"/>
      <c r="F3523" s="4"/>
      <c r="Q3523" s="3"/>
      <c r="R3523" s="3"/>
      <c r="S3523" s="3"/>
      <c r="T3523" s="3"/>
      <c r="U3523" s="3"/>
    </row>
    <row r="3524" spans="2:21" x14ac:dyDescent="0.25">
      <c r="B3524" s="2"/>
      <c r="C3524" s="2"/>
      <c r="D3524" s="4"/>
      <c r="E3524" s="4"/>
      <c r="F3524" s="4"/>
      <c r="Q3524" s="3"/>
      <c r="R3524" s="3"/>
      <c r="S3524" s="3"/>
      <c r="T3524" s="3"/>
      <c r="U3524" s="3"/>
    </row>
    <row r="3525" spans="2:21" x14ac:dyDescent="0.25">
      <c r="B3525" s="2"/>
      <c r="C3525" s="2"/>
      <c r="D3525" s="4"/>
      <c r="E3525" s="4"/>
      <c r="F3525" s="4"/>
      <c r="Q3525" s="3"/>
      <c r="R3525" s="3"/>
      <c r="S3525" s="3"/>
      <c r="T3525" s="3"/>
      <c r="U3525" s="3"/>
    </row>
    <row r="3526" spans="2:21" x14ac:dyDescent="0.25">
      <c r="B3526" s="2"/>
      <c r="C3526" s="2"/>
      <c r="D3526" s="4"/>
      <c r="E3526" s="4"/>
      <c r="F3526" s="4"/>
      <c r="Q3526" s="3"/>
      <c r="R3526" s="3"/>
      <c r="S3526" s="3"/>
      <c r="T3526" s="3"/>
      <c r="U3526" s="3"/>
    </row>
    <row r="3527" spans="2:21" x14ac:dyDescent="0.25">
      <c r="B3527" s="2"/>
      <c r="C3527" s="2"/>
      <c r="D3527" s="4"/>
      <c r="E3527" s="4"/>
      <c r="F3527" s="4"/>
      <c r="Q3527" s="3"/>
      <c r="R3527" s="3"/>
      <c r="S3527" s="3"/>
      <c r="T3527" s="3"/>
      <c r="U3527" s="3"/>
    </row>
    <row r="3528" spans="2:21" x14ac:dyDescent="0.25">
      <c r="B3528" s="2"/>
      <c r="C3528" s="2"/>
      <c r="D3528" s="4"/>
      <c r="E3528" s="4"/>
      <c r="F3528" s="4"/>
      <c r="Q3528" s="3"/>
      <c r="R3528" s="3"/>
      <c r="S3528" s="3"/>
      <c r="T3528" s="3"/>
      <c r="U3528" s="3"/>
    </row>
    <row r="3529" spans="2:21" x14ac:dyDescent="0.25">
      <c r="B3529" s="2"/>
      <c r="C3529" s="2"/>
      <c r="D3529" s="4"/>
      <c r="E3529" s="4"/>
      <c r="F3529" s="4"/>
      <c r="Q3529" s="3"/>
      <c r="R3529" s="3"/>
      <c r="S3529" s="3"/>
      <c r="T3529" s="3"/>
      <c r="U3529" s="3"/>
    </row>
    <row r="3530" spans="2:21" x14ac:dyDescent="0.25">
      <c r="B3530" s="2"/>
      <c r="C3530" s="2"/>
      <c r="D3530" s="4"/>
      <c r="E3530" s="4"/>
      <c r="F3530" s="4"/>
      <c r="Q3530" s="3"/>
      <c r="R3530" s="3"/>
      <c r="S3530" s="3"/>
      <c r="T3530" s="3"/>
      <c r="U3530" s="3"/>
    </row>
    <row r="3531" spans="2:21" x14ac:dyDescent="0.25">
      <c r="B3531" s="2"/>
      <c r="C3531" s="2"/>
      <c r="D3531" s="4"/>
      <c r="E3531" s="4"/>
      <c r="F3531" s="4"/>
      <c r="Q3531" s="3"/>
      <c r="R3531" s="3"/>
      <c r="S3531" s="3"/>
      <c r="T3531" s="3"/>
      <c r="U3531" s="3"/>
    </row>
    <row r="3532" spans="2:21" x14ac:dyDescent="0.25">
      <c r="B3532" s="2"/>
      <c r="C3532" s="2"/>
      <c r="D3532" s="4"/>
      <c r="E3532" s="4"/>
      <c r="F3532" s="4"/>
      <c r="Q3532" s="3"/>
      <c r="R3532" s="3"/>
      <c r="S3532" s="3"/>
      <c r="T3532" s="3"/>
      <c r="U3532" s="3"/>
    </row>
    <row r="3533" spans="2:21" x14ac:dyDescent="0.25">
      <c r="B3533" s="2"/>
      <c r="C3533" s="2"/>
      <c r="D3533" s="4"/>
      <c r="E3533" s="4"/>
      <c r="F3533" s="4"/>
      <c r="Q3533" s="3"/>
      <c r="R3533" s="3"/>
      <c r="S3533" s="3"/>
      <c r="T3533" s="3"/>
      <c r="U3533" s="3"/>
    </row>
    <row r="3534" spans="2:21" x14ac:dyDescent="0.25">
      <c r="B3534" s="2"/>
      <c r="C3534" s="2"/>
      <c r="D3534" s="4"/>
      <c r="E3534" s="4"/>
      <c r="F3534" s="4"/>
      <c r="Q3534" s="3"/>
      <c r="R3534" s="3"/>
      <c r="S3534" s="3"/>
      <c r="T3534" s="3"/>
      <c r="U3534" s="3"/>
    </row>
    <row r="3535" spans="2:21" x14ac:dyDescent="0.25">
      <c r="B3535" s="2"/>
      <c r="C3535" s="2"/>
      <c r="D3535" s="4"/>
      <c r="E3535" s="4"/>
      <c r="F3535" s="4"/>
      <c r="Q3535" s="3"/>
      <c r="R3535" s="3"/>
      <c r="S3535" s="3"/>
      <c r="T3535" s="3"/>
      <c r="U3535" s="3"/>
    </row>
    <row r="3536" spans="2:21" x14ac:dyDescent="0.25">
      <c r="B3536" s="2"/>
      <c r="C3536" s="2"/>
      <c r="D3536" s="4"/>
      <c r="E3536" s="4"/>
      <c r="F3536" s="4"/>
      <c r="Q3536" s="3"/>
      <c r="R3536" s="3"/>
      <c r="S3536" s="3"/>
      <c r="T3536" s="3"/>
      <c r="U3536" s="3"/>
    </row>
    <row r="3537" spans="2:21" x14ac:dyDescent="0.25">
      <c r="B3537" s="2"/>
      <c r="C3537" s="2"/>
      <c r="D3537" s="4"/>
      <c r="E3537" s="4"/>
      <c r="F3537" s="4"/>
      <c r="Q3537" s="3"/>
      <c r="R3537" s="3"/>
      <c r="S3537" s="3"/>
      <c r="T3537" s="3"/>
      <c r="U3537" s="3"/>
    </row>
    <row r="3538" spans="2:21" x14ac:dyDescent="0.25">
      <c r="B3538" s="2"/>
      <c r="C3538" s="2"/>
      <c r="D3538" s="4"/>
      <c r="E3538" s="4"/>
      <c r="F3538" s="4"/>
      <c r="Q3538" s="3"/>
      <c r="R3538" s="3"/>
      <c r="S3538" s="3"/>
      <c r="T3538" s="3"/>
      <c r="U3538" s="3"/>
    </row>
    <row r="3539" spans="2:21" x14ac:dyDescent="0.25">
      <c r="B3539" s="2"/>
      <c r="C3539" s="2"/>
      <c r="D3539" s="4"/>
      <c r="E3539" s="4"/>
      <c r="F3539" s="4"/>
      <c r="Q3539" s="3"/>
      <c r="R3539" s="3"/>
      <c r="S3539" s="3"/>
      <c r="T3539" s="3"/>
      <c r="U3539" s="3"/>
    </row>
    <row r="3540" spans="2:21" x14ac:dyDescent="0.25">
      <c r="B3540" s="2"/>
      <c r="C3540" s="2"/>
      <c r="D3540" s="4"/>
      <c r="E3540" s="4"/>
      <c r="F3540" s="4"/>
      <c r="Q3540" s="3"/>
      <c r="R3540" s="3"/>
      <c r="S3540" s="3"/>
      <c r="T3540" s="3"/>
      <c r="U3540" s="3"/>
    </row>
    <row r="3541" spans="2:21" x14ac:dyDescent="0.25">
      <c r="B3541" s="2"/>
      <c r="C3541" s="2"/>
      <c r="D3541" s="4"/>
      <c r="E3541" s="4"/>
      <c r="F3541" s="4"/>
      <c r="Q3541" s="3"/>
      <c r="R3541" s="3"/>
      <c r="S3541" s="3"/>
      <c r="T3541" s="3"/>
      <c r="U3541" s="3"/>
    </row>
    <row r="3542" spans="2:21" x14ac:dyDescent="0.25">
      <c r="B3542" s="2"/>
      <c r="C3542" s="2"/>
      <c r="D3542" s="4"/>
      <c r="E3542" s="4"/>
      <c r="F3542" s="4"/>
      <c r="Q3542" s="3"/>
      <c r="R3542" s="3"/>
      <c r="S3542" s="3"/>
      <c r="T3542" s="3"/>
      <c r="U3542" s="3"/>
    </row>
    <row r="3543" spans="2:21" x14ac:dyDescent="0.25">
      <c r="B3543" s="2"/>
      <c r="C3543" s="2"/>
      <c r="D3543" s="4"/>
      <c r="E3543" s="4"/>
      <c r="F3543" s="4"/>
      <c r="Q3543" s="3"/>
      <c r="R3543" s="3"/>
      <c r="S3543" s="3"/>
      <c r="T3543" s="3"/>
      <c r="U3543" s="3"/>
    </row>
    <row r="3544" spans="2:21" x14ac:dyDescent="0.25">
      <c r="B3544" s="2"/>
      <c r="C3544" s="2"/>
      <c r="D3544" s="4"/>
      <c r="E3544" s="4"/>
      <c r="F3544" s="4"/>
      <c r="Q3544" s="3"/>
      <c r="R3544" s="3"/>
      <c r="S3544" s="3"/>
      <c r="T3544" s="3"/>
      <c r="U3544" s="3"/>
    </row>
    <row r="3545" spans="2:21" x14ac:dyDescent="0.25">
      <c r="B3545" s="2"/>
      <c r="C3545" s="2"/>
      <c r="D3545" s="4"/>
      <c r="E3545" s="4"/>
      <c r="F3545" s="4"/>
      <c r="Q3545" s="3"/>
      <c r="R3545" s="3"/>
      <c r="S3545" s="3"/>
      <c r="T3545" s="3"/>
      <c r="U3545" s="3"/>
    </row>
    <row r="3546" spans="2:21" x14ac:dyDescent="0.25">
      <c r="B3546" s="2"/>
      <c r="C3546" s="2"/>
      <c r="D3546" s="4"/>
      <c r="E3546" s="4"/>
      <c r="F3546" s="4"/>
      <c r="Q3546" s="3"/>
      <c r="R3546" s="3"/>
      <c r="S3546" s="3"/>
      <c r="T3546" s="3"/>
      <c r="U3546" s="3"/>
    </row>
    <row r="3547" spans="2:21" x14ac:dyDescent="0.25">
      <c r="B3547" s="2"/>
      <c r="C3547" s="2"/>
      <c r="D3547" s="4"/>
      <c r="E3547" s="4"/>
      <c r="F3547" s="4"/>
      <c r="Q3547" s="3"/>
      <c r="R3547" s="3"/>
      <c r="S3547" s="3"/>
      <c r="T3547" s="3"/>
      <c r="U3547" s="3"/>
    </row>
    <row r="3548" spans="2:21" x14ac:dyDescent="0.25">
      <c r="B3548" s="2"/>
      <c r="C3548" s="2"/>
      <c r="D3548" s="4"/>
      <c r="E3548" s="4"/>
      <c r="F3548" s="4"/>
      <c r="Q3548" s="3"/>
      <c r="R3548" s="3"/>
      <c r="S3548" s="3"/>
      <c r="T3548" s="3"/>
      <c r="U3548" s="3"/>
    </row>
    <row r="3549" spans="2:21" x14ac:dyDescent="0.25">
      <c r="B3549" s="2"/>
      <c r="C3549" s="2"/>
      <c r="D3549" s="4"/>
      <c r="E3549" s="4"/>
      <c r="F3549" s="4"/>
      <c r="Q3549" s="3"/>
      <c r="R3549" s="3"/>
      <c r="S3549" s="3"/>
      <c r="T3549" s="3"/>
      <c r="U3549" s="3"/>
    </row>
    <row r="3550" spans="2:21" x14ac:dyDescent="0.25">
      <c r="B3550" s="2"/>
      <c r="C3550" s="2"/>
      <c r="D3550" s="4"/>
      <c r="E3550" s="4"/>
      <c r="F3550" s="4"/>
      <c r="Q3550" s="3"/>
      <c r="R3550" s="3"/>
      <c r="S3550" s="3"/>
      <c r="T3550" s="3"/>
      <c r="U3550" s="3"/>
    </row>
    <row r="3551" spans="2:21" x14ac:dyDescent="0.25">
      <c r="B3551" s="2"/>
      <c r="C3551" s="2"/>
      <c r="D3551" s="4"/>
      <c r="E3551" s="4"/>
      <c r="F3551" s="4"/>
      <c r="Q3551" s="3"/>
      <c r="R3551" s="3"/>
      <c r="S3551" s="3"/>
      <c r="T3551" s="3"/>
      <c r="U3551" s="3"/>
    </row>
    <row r="3552" spans="2:21" x14ac:dyDescent="0.25">
      <c r="B3552" s="2"/>
      <c r="C3552" s="2"/>
      <c r="D3552" s="4"/>
      <c r="E3552" s="4"/>
      <c r="F3552" s="4"/>
      <c r="Q3552" s="3"/>
      <c r="R3552" s="3"/>
      <c r="S3552" s="3"/>
      <c r="T3552" s="3"/>
      <c r="U3552" s="3"/>
    </row>
    <row r="3553" spans="2:21" x14ac:dyDescent="0.25">
      <c r="B3553" s="2"/>
      <c r="C3553" s="2"/>
      <c r="D3553" s="4"/>
      <c r="E3553" s="4"/>
      <c r="F3553" s="4"/>
      <c r="Q3553" s="3"/>
      <c r="R3553" s="3"/>
      <c r="S3553" s="3"/>
      <c r="T3553" s="3"/>
      <c r="U3553" s="3"/>
    </row>
    <row r="3554" spans="2:21" x14ac:dyDescent="0.25">
      <c r="B3554" s="2"/>
      <c r="C3554" s="2"/>
      <c r="D3554" s="4"/>
      <c r="E3554" s="4"/>
      <c r="F3554" s="4"/>
      <c r="Q3554" s="3"/>
      <c r="R3554" s="3"/>
      <c r="S3554" s="3"/>
      <c r="T3554" s="3"/>
      <c r="U3554" s="3"/>
    </row>
    <row r="3555" spans="2:21" x14ac:dyDescent="0.25">
      <c r="B3555" s="2"/>
      <c r="C3555" s="2"/>
      <c r="D3555" s="4"/>
      <c r="E3555" s="4"/>
      <c r="F3555" s="4"/>
      <c r="Q3555" s="3"/>
      <c r="R3555" s="3"/>
      <c r="S3555" s="3"/>
      <c r="T3555" s="3"/>
      <c r="U3555" s="3"/>
    </row>
    <row r="3556" spans="2:21" x14ac:dyDescent="0.25">
      <c r="B3556" s="2"/>
      <c r="C3556" s="2"/>
      <c r="D3556" s="4"/>
      <c r="E3556" s="4"/>
      <c r="F3556" s="4"/>
      <c r="Q3556" s="3"/>
      <c r="R3556" s="3"/>
      <c r="S3556" s="3"/>
      <c r="T3556" s="3"/>
      <c r="U3556" s="3"/>
    </row>
    <row r="3557" spans="2:21" x14ac:dyDescent="0.25">
      <c r="B3557" s="2"/>
      <c r="C3557" s="2"/>
      <c r="D3557" s="4"/>
      <c r="E3557" s="4"/>
      <c r="F3557" s="4"/>
      <c r="Q3557" s="3"/>
      <c r="R3557" s="3"/>
      <c r="S3557" s="3"/>
      <c r="T3557" s="3"/>
      <c r="U3557" s="3"/>
    </row>
    <row r="3558" spans="2:21" x14ac:dyDescent="0.25">
      <c r="B3558" s="2"/>
      <c r="C3558" s="2"/>
      <c r="D3558" s="4"/>
      <c r="E3558" s="4"/>
      <c r="F3558" s="4"/>
      <c r="Q3558" s="3"/>
      <c r="R3558" s="3"/>
      <c r="S3558" s="3"/>
      <c r="T3558" s="3"/>
      <c r="U3558" s="3"/>
    </row>
    <row r="3559" spans="2:21" x14ac:dyDescent="0.25">
      <c r="B3559" s="2"/>
      <c r="C3559" s="2"/>
      <c r="D3559" s="4"/>
      <c r="E3559" s="4"/>
      <c r="F3559" s="4"/>
      <c r="Q3559" s="3"/>
      <c r="R3559" s="3"/>
      <c r="S3559" s="3"/>
      <c r="T3559" s="3"/>
      <c r="U3559" s="3"/>
    </row>
    <row r="3560" spans="2:21" x14ac:dyDescent="0.25">
      <c r="B3560" s="2"/>
      <c r="C3560" s="2"/>
      <c r="D3560" s="4"/>
      <c r="E3560" s="4"/>
      <c r="F3560" s="4"/>
      <c r="Q3560" s="3"/>
      <c r="R3560" s="3"/>
      <c r="S3560" s="3"/>
      <c r="T3560" s="3"/>
      <c r="U3560" s="3"/>
    </row>
    <row r="3561" spans="2:21" x14ac:dyDescent="0.25">
      <c r="B3561" s="2"/>
      <c r="C3561" s="2"/>
      <c r="D3561" s="4"/>
      <c r="E3561" s="4"/>
      <c r="F3561" s="4"/>
      <c r="Q3561" s="3"/>
      <c r="R3561" s="3"/>
      <c r="S3561" s="3"/>
      <c r="T3561" s="3"/>
      <c r="U3561" s="3"/>
    </row>
    <row r="3562" spans="2:21" x14ac:dyDescent="0.25">
      <c r="B3562" s="2"/>
      <c r="C3562" s="2"/>
      <c r="D3562" s="4"/>
      <c r="E3562" s="4"/>
      <c r="F3562" s="4"/>
      <c r="Q3562" s="3"/>
      <c r="R3562" s="3"/>
      <c r="S3562" s="3"/>
      <c r="T3562" s="3"/>
      <c r="U3562" s="3"/>
    </row>
    <row r="3563" spans="2:21" x14ac:dyDescent="0.25">
      <c r="B3563" s="2"/>
      <c r="C3563" s="2"/>
      <c r="D3563" s="4"/>
      <c r="E3563" s="4"/>
      <c r="F3563" s="4"/>
      <c r="Q3563" s="3"/>
      <c r="R3563" s="3"/>
      <c r="S3563" s="3"/>
      <c r="T3563" s="3"/>
      <c r="U3563" s="3"/>
    </row>
    <row r="3564" spans="2:21" x14ac:dyDescent="0.25">
      <c r="B3564" s="2"/>
      <c r="C3564" s="2"/>
      <c r="D3564" s="4"/>
      <c r="E3564" s="4"/>
      <c r="F3564" s="4"/>
      <c r="Q3564" s="3"/>
      <c r="R3564" s="3"/>
      <c r="S3564" s="3"/>
      <c r="T3564" s="3"/>
      <c r="U3564" s="3"/>
    </row>
    <row r="3565" spans="2:21" x14ac:dyDescent="0.25">
      <c r="B3565" s="2"/>
      <c r="C3565" s="2"/>
      <c r="D3565" s="4"/>
      <c r="E3565" s="4"/>
      <c r="F3565" s="4"/>
      <c r="Q3565" s="3"/>
      <c r="R3565" s="3"/>
      <c r="S3565" s="3"/>
      <c r="T3565" s="3"/>
      <c r="U3565" s="3"/>
    </row>
    <row r="3566" spans="2:21" x14ac:dyDescent="0.25">
      <c r="B3566" s="2"/>
      <c r="C3566" s="2"/>
      <c r="D3566" s="4"/>
      <c r="E3566" s="4"/>
      <c r="F3566" s="4"/>
      <c r="Q3566" s="3"/>
      <c r="R3566" s="3"/>
      <c r="S3566" s="3"/>
      <c r="T3566" s="3"/>
      <c r="U3566" s="3"/>
    </row>
    <row r="3567" spans="2:21" x14ac:dyDescent="0.25">
      <c r="B3567" s="2"/>
      <c r="C3567" s="2"/>
      <c r="D3567" s="4"/>
      <c r="E3567" s="4"/>
      <c r="F3567" s="4"/>
      <c r="Q3567" s="3"/>
      <c r="R3567" s="3"/>
      <c r="S3567" s="3"/>
      <c r="T3567" s="3"/>
      <c r="U3567" s="3"/>
    </row>
    <row r="3568" spans="2:21" x14ac:dyDescent="0.25">
      <c r="B3568" s="2"/>
      <c r="C3568" s="2"/>
      <c r="D3568" s="4"/>
      <c r="E3568" s="4"/>
      <c r="F3568" s="4"/>
      <c r="Q3568" s="3"/>
      <c r="R3568" s="3"/>
      <c r="S3568" s="3"/>
      <c r="T3568" s="3"/>
      <c r="U3568" s="3"/>
    </row>
    <row r="3569" spans="2:21" x14ac:dyDescent="0.25">
      <c r="B3569" s="2"/>
      <c r="C3569" s="2"/>
      <c r="D3569" s="4"/>
      <c r="E3569" s="4"/>
      <c r="F3569" s="4"/>
      <c r="Q3569" s="3"/>
      <c r="R3569" s="3"/>
      <c r="S3569" s="3"/>
      <c r="T3569" s="3"/>
      <c r="U3569" s="3"/>
    </row>
    <row r="3570" spans="2:21" x14ac:dyDescent="0.25">
      <c r="B3570" s="2"/>
      <c r="C3570" s="2"/>
      <c r="D3570" s="4"/>
      <c r="E3570" s="4"/>
      <c r="F3570" s="4"/>
      <c r="Q3570" s="3"/>
      <c r="R3570" s="3"/>
      <c r="S3570" s="3"/>
      <c r="T3570" s="3"/>
      <c r="U3570" s="3"/>
    </row>
    <row r="3571" spans="2:21" x14ac:dyDescent="0.25">
      <c r="B3571" s="2"/>
      <c r="C3571" s="2"/>
      <c r="D3571" s="4"/>
      <c r="E3571" s="4"/>
      <c r="F3571" s="4"/>
      <c r="Q3571" s="3"/>
      <c r="R3571" s="3"/>
      <c r="S3571" s="3"/>
      <c r="T3571" s="3"/>
      <c r="U3571" s="3"/>
    </row>
    <row r="3572" spans="2:21" x14ac:dyDescent="0.25">
      <c r="B3572" s="2"/>
      <c r="C3572" s="2"/>
      <c r="D3572" s="4"/>
      <c r="E3572" s="4"/>
      <c r="F3572" s="4"/>
      <c r="Q3572" s="3"/>
      <c r="R3572" s="3"/>
      <c r="S3572" s="3"/>
      <c r="T3572" s="3"/>
      <c r="U3572" s="3"/>
    </row>
    <row r="3573" spans="2:21" x14ac:dyDescent="0.25">
      <c r="B3573" s="2"/>
      <c r="C3573" s="2"/>
      <c r="D3573" s="4"/>
      <c r="E3573" s="4"/>
      <c r="F3573" s="4"/>
      <c r="Q3573" s="3"/>
      <c r="R3573" s="3"/>
      <c r="S3573" s="3"/>
      <c r="T3573" s="3"/>
      <c r="U3573" s="3"/>
    </row>
    <row r="3574" spans="2:21" x14ac:dyDescent="0.25">
      <c r="B3574" s="2"/>
      <c r="C3574" s="2"/>
      <c r="D3574" s="4"/>
      <c r="E3574" s="4"/>
      <c r="F3574" s="4"/>
      <c r="Q3574" s="3"/>
      <c r="R3574" s="3"/>
      <c r="S3574" s="3"/>
      <c r="T3574" s="3"/>
      <c r="U3574" s="3"/>
    </row>
    <row r="3575" spans="2:21" x14ac:dyDescent="0.25">
      <c r="B3575" s="2"/>
      <c r="C3575" s="2"/>
      <c r="D3575" s="4"/>
      <c r="E3575" s="4"/>
      <c r="F3575" s="4"/>
      <c r="Q3575" s="3"/>
      <c r="R3575" s="3"/>
      <c r="S3575" s="3"/>
      <c r="T3575" s="3"/>
      <c r="U3575" s="3"/>
    </row>
    <row r="3576" spans="2:21" x14ac:dyDescent="0.25">
      <c r="B3576" s="2"/>
      <c r="C3576" s="2"/>
      <c r="D3576" s="4"/>
      <c r="E3576" s="4"/>
      <c r="F3576" s="4"/>
      <c r="Q3576" s="3"/>
      <c r="R3576" s="3"/>
      <c r="S3576" s="3"/>
      <c r="T3576" s="3"/>
      <c r="U3576" s="3"/>
    </row>
    <row r="3577" spans="2:21" x14ac:dyDescent="0.25">
      <c r="B3577" s="2"/>
      <c r="C3577" s="2"/>
      <c r="D3577" s="4"/>
      <c r="E3577" s="4"/>
      <c r="F3577" s="4"/>
      <c r="Q3577" s="3"/>
      <c r="R3577" s="3"/>
      <c r="S3577" s="3"/>
      <c r="T3577" s="3"/>
      <c r="U3577" s="3"/>
    </row>
    <row r="3578" spans="2:21" x14ac:dyDescent="0.25">
      <c r="B3578" s="2"/>
      <c r="C3578" s="2"/>
      <c r="D3578" s="4"/>
      <c r="E3578" s="4"/>
      <c r="F3578" s="4"/>
      <c r="Q3578" s="3"/>
      <c r="R3578" s="3"/>
      <c r="S3578" s="3"/>
      <c r="T3578" s="3"/>
      <c r="U3578" s="3"/>
    </row>
    <row r="3579" spans="2:21" x14ac:dyDescent="0.25">
      <c r="B3579" s="2"/>
      <c r="C3579" s="2"/>
      <c r="D3579" s="4"/>
      <c r="E3579" s="4"/>
      <c r="F3579" s="4"/>
      <c r="Q3579" s="3"/>
      <c r="R3579" s="3"/>
      <c r="S3579" s="3"/>
      <c r="T3579" s="3"/>
      <c r="U3579" s="3"/>
    </row>
    <row r="3580" spans="2:21" x14ac:dyDescent="0.25">
      <c r="B3580" s="2"/>
      <c r="C3580" s="2"/>
      <c r="D3580" s="4"/>
      <c r="E3580" s="4"/>
      <c r="F3580" s="4"/>
      <c r="Q3580" s="3"/>
      <c r="R3580" s="3"/>
      <c r="S3580" s="3"/>
      <c r="T3580" s="3"/>
      <c r="U3580" s="3"/>
    </row>
    <row r="3581" spans="2:21" x14ac:dyDescent="0.25">
      <c r="B3581" s="2"/>
      <c r="C3581" s="2"/>
      <c r="D3581" s="4"/>
      <c r="E3581" s="4"/>
      <c r="F3581" s="4"/>
      <c r="Q3581" s="3"/>
      <c r="R3581" s="3"/>
      <c r="S3581" s="3"/>
      <c r="T3581" s="3"/>
      <c r="U3581" s="3"/>
    </row>
    <row r="3582" spans="2:21" x14ac:dyDescent="0.25">
      <c r="B3582" s="2"/>
      <c r="C3582" s="2"/>
      <c r="D3582" s="4"/>
      <c r="E3582" s="4"/>
      <c r="F3582" s="4"/>
      <c r="Q3582" s="3"/>
      <c r="R3582" s="3"/>
      <c r="S3582" s="3"/>
      <c r="T3582" s="3"/>
      <c r="U3582" s="3"/>
    </row>
    <row r="3583" spans="2:21" x14ac:dyDescent="0.25">
      <c r="B3583" s="2"/>
      <c r="C3583" s="2"/>
      <c r="D3583" s="4"/>
      <c r="E3583" s="4"/>
      <c r="F3583" s="4"/>
      <c r="Q3583" s="3"/>
      <c r="R3583" s="3"/>
      <c r="S3583" s="3"/>
      <c r="T3583" s="3"/>
      <c r="U3583" s="3"/>
    </row>
    <row r="3584" spans="2:21" x14ac:dyDescent="0.25">
      <c r="B3584" s="2"/>
      <c r="C3584" s="2"/>
      <c r="D3584" s="4"/>
      <c r="E3584" s="4"/>
      <c r="F3584" s="4"/>
      <c r="Q3584" s="3"/>
      <c r="R3584" s="3"/>
      <c r="S3584" s="3"/>
      <c r="T3584" s="3"/>
      <c r="U3584" s="3"/>
    </row>
    <row r="3585" spans="2:21" x14ac:dyDescent="0.25">
      <c r="B3585" s="2"/>
      <c r="C3585" s="2"/>
      <c r="D3585" s="4"/>
      <c r="E3585" s="4"/>
      <c r="F3585" s="4"/>
      <c r="Q3585" s="3"/>
      <c r="R3585" s="3"/>
      <c r="S3585" s="3"/>
      <c r="T3585" s="3"/>
      <c r="U3585" s="3"/>
    </row>
    <row r="3586" spans="2:21" x14ac:dyDescent="0.25">
      <c r="B3586" s="2"/>
      <c r="C3586" s="2"/>
      <c r="D3586" s="4"/>
      <c r="E3586" s="4"/>
      <c r="F3586" s="4"/>
      <c r="Q3586" s="3"/>
      <c r="R3586" s="3"/>
      <c r="S3586" s="3"/>
      <c r="T3586" s="3"/>
      <c r="U3586" s="3"/>
    </row>
    <row r="3587" spans="2:21" x14ac:dyDescent="0.25">
      <c r="B3587" s="2"/>
      <c r="C3587" s="2"/>
      <c r="D3587" s="4"/>
      <c r="E3587" s="4"/>
      <c r="F3587" s="4"/>
      <c r="Q3587" s="3"/>
      <c r="R3587" s="3"/>
      <c r="S3587" s="3"/>
      <c r="T3587" s="3"/>
      <c r="U3587" s="3"/>
    </row>
    <row r="3588" spans="2:21" x14ac:dyDescent="0.25">
      <c r="B3588" s="2"/>
      <c r="C3588" s="2"/>
      <c r="D3588" s="4"/>
      <c r="E3588" s="4"/>
      <c r="F3588" s="4"/>
      <c r="Q3588" s="3"/>
      <c r="R3588" s="3"/>
      <c r="S3588" s="3"/>
      <c r="T3588" s="3"/>
      <c r="U3588" s="3"/>
    </row>
    <row r="3589" spans="2:21" x14ac:dyDescent="0.25">
      <c r="B3589" s="2"/>
      <c r="C3589" s="2"/>
      <c r="D3589" s="4"/>
      <c r="E3589" s="4"/>
      <c r="F3589" s="4"/>
      <c r="Q3589" s="3"/>
      <c r="R3589" s="3"/>
      <c r="S3589" s="3"/>
      <c r="T3589" s="3"/>
      <c r="U3589" s="3"/>
    </row>
    <row r="3590" spans="2:21" x14ac:dyDescent="0.25">
      <c r="B3590" s="2"/>
      <c r="C3590" s="2"/>
      <c r="D3590" s="4"/>
      <c r="E3590" s="4"/>
      <c r="F3590" s="4"/>
      <c r="Q3590" s="3"/>
      <c r="R3590" s="3"/>
      <c r="S3590" s="3"/>
      <c r="T3590" s="3"/>
      <c r="U3590" s="3"/>
    </row>
    <row r="3591" spans="2:21" x14ac:dyDescent="0.25">
      <c r="B3591" s="2"/>
      <c r="C3591" s="2"/>
      <c r="D3591" s="4"/>
      <c r="E3591" s="4"/>
      <c r="F3591" s="4"/>
      <c r="Q3591" s="3"/>
      <c r="R3591" s="3"/>
      <c r="S3591" s="3"/>
      <c r="T3591" s="3"/>
      <c r="U3591" s="3"/>
    </row>
    <row r="3592" spans="2:21" x14ac:dyDescent="0.25">
      <c r="B3592" s="2"/>
      <c r="C3592" s="2"/>
      <c r="D3592" s="4"/>
      <c r="E3592" s="4"/>
      <c r="F3592" s="4"/>
      <c r="Q3592" s="3"/>
      <c r="R3592" s="3"/>
      <c r="S3592" s="3"/>
      <c r="T3592" s="3"/>
      <c r="U3592" s="3"/>
    </row>
    <row r="3593" spans="2:21" x14ac:dyDescent="0.25">
      <c r="B3593" s="2"/>
      <c r="C3593" s="2"/>
      <c r="D3593" s="4"/>
      <c r="E3593" s="4"/>
      <c r="F3593" s="4"/>
      <c r="Q3593" s="3"/>
      <c r="R3593" s="3"/>
      <c r="S3593" s="3"/>
      <c r="T3593" s="3"/>
      <c r="U3593" s="3"/>
    </row>
    <row r="3594" spans="2:21" x14ac:dyDescent="0.25">
      <c r="B3594" s="2"/>
      <c r="C3594" s="2"/>
      <c r="D3594" s="4"/>
      <c r="E3594" s="4"/>
      <c r="F3594" s="4"/>
      <c r="Q3594" s="3"/>
      <c r="R3594" s="3"/>
      <c r="S3594" s="3"/>
      <c r="T3594" s="3"/>
      <c r="U3594" s="3"/>
    </row>
    <row r="3595" spans="2:21" x14ac:dyDescent="0.25">
      <c r="B3595" s="2"/>
      <c r="C3595" s="2"/>
      <c r="D3595" s="4"/>
      <c r="E3595" s="4"/>
      <c r="F3595" s="4"/>
      <c r="Q3595" s="3"/>
      <c r="R3595" s="3"/>
      <c r="S3595" s="3"/>
      <c r="T3595" s="3"/>
      <c r="U3595" s="3"/>
    </row>
    <row r="3596" spans="2:21" x14ac:dyDescent="0.25">
      <c r="B3596" s="2"/>
      <c r="C3596" s="2"/>
      <c r="D3596" s="4"/>
      <c r="E3596" s="4"/>
      <c r="F3596" s="4"/>
      <c r="Q3596" s="3"/>
      <c r="R3596" s="3"/>
      <c r="S3596" s="3"/>
      <c r="T3596" s="3"/>
      <c r="U3596" s="3"/>
    </row>
    <row r="3597" spans="2:21" x14ac:dyDescent="0.25">
      <c r="B3597" s="2"/>
      <c r="C3597" s="2"/>
      <c r="D3597" s="4"/>
      <c r="E3597" s="4"/>
      <c r="F3597" s="4"/>
      <c r="Q3597" s="3"/>
      <c r="R3597" s="3"/>
      <c r="S3597" s="3"/>
      <c r="T3597" s="3"/>
      <c r="U3597" s="3"/>
    </row>
    <row r="3598" spans="2:21" x14ac:dyDescent="0.25">
      <c r="B3598" s="2"/>
      <c r="C3598" s="2"/>
      <c r="D3598" s="4"/>
      <c r="E3598" s="4"/>
      <c r="F3598" s="4"/>
      <c r="Q3598" s="3"/>
      <c r="R3598" s="3"/>
      <c r="S3598" s="3"/>
      <c r="T3598" s="3"/>
      <c r="U3598" s="3"/>
    </row>
    <row r="3599" spans="2:21" x14ac:dyDescent="0.25">
      <c r="B3599" s="2"/>
      <c r="C3599" s="2"/>
      <c r="D3599" s="4"/>
      <c r="E3599" s="4"/>
      <c r="F3599" s="4"/>
      <c r="Q3599" s="3"/>
      <c r="R3599" s="3"/>
      <c r="S3599" s="3"/>
      <c r="T3599" s="3"/>
      <c r="U3599" s="3"/>
    </row>
    <row r="3600" spans="2:21" x14ac:dyDescent="0.25">
      <c r="B3600" s="2"/>
      <c r="C3600" s="2"/>
      <c r="D3600" s="4"/>
      <c r="E3600" s="4"/>
      <c r="F3600" s="4"/>
      <c r="Q3600" s="3"/>
      <c r="R3600" s="3"/>
      <c r="S3600" s="3"/>
      <c r="T3600" s="3"/>
      <c r="U3600" s="3"/>
    </row>
    <row r="3601" spans="2:21" x14ac:dyDescent="0.25">
      <c r="B3601" s="2"/>
      <c r="C3601" s="2"/>
      <c r="D3601" s="4"/>
      <c r="E3601" s="4"/>
      <c r="F3601" s="4"/>
      <c r="Q3601" s="3"/>
      <c r="R3601" s="3"/>
      <c r="S3601" s="3"/>
      <c r="T3601" s="3"/>
      <c r="U3601" s="3"/>
    </row>
    <row r="3602" spans="2:21" x14ac:dyDescent="0.25">
      <c r="B3602" s="2"/>
      <c r="C3602" s="2"/>
      <c r="D3602" s="4"/>
      <c r="E3602" s="4"/>
      <c r="F3602" s="4"/>
      <c r="Q3602" s="3"/>
      <c r="R3602" s="3"/>
      <c r="S3602" s="3"/>
      <c r="T3602" s="3"/>
      <c r="U3602" s="3"/>
    </row>
    <row r="3603" spans="2:21" x14ac:dyDescent="0.25">
      <c r="B3603" s="2"/>
      <c r="C3603" s="2"/>
      <c r="D3603" s="4"/>
      <c r="E3603" s="4"/>
      <c r="F3603" s="4"/>
      <c r="Q3603" s="3"/>
      <c r="R3603" s="3"/>
      <c r="S3603" s="3"/>
      <c r="T3603" s="3"/>
      <c r="U3603" s="3"/>
    </row>
    <row r="3604" spans="2:21" x14ac:dyDescent="0.25">
      <c r="B3604" s="2"/>
      <c r="C3604" s="2"/>
      <c r="D3604" s="4"/>
      <c r="E3604" s="4"/>
      <c r="F3604" s="4"/>
      <c r="Q3604" s="3"/>
      <c r="R3604" s="3"/>
      <c r="S3604" s="3"/>
      <c r="T3604" s="3"/>
      <c r="U3604" s="3"/>
    </row>
    <row r="3605" spans="2:21" x14ac:dyDescent="0.25">
      <c r="B3605" s="2"/>
      <c r="C3605" s="2"/>
      <c r="D3605" s="4"/>
      <c r="E3605" s="4"/>
      <c r="F3605" s="4"/>
      <c r="Q3605" s="3"/>
      <c r="R3605" s="3"/>
      <c r="S3605" s="3"/>
      <c r="T3605" s="3"/>
      <c r="U3605" s="3"/>
    </row>
    <row r="3606" spans="2:21" x14ac:dyDescent="0.25">
      <c r="B3606" s="2"/>
      <c r="C3606" s="2"/>
      <c r="D3606" s="4"/>
      <c r="E3606" s="4"/>
      <c r="F3606" s="4"/>
      <c r="Q3606" s="3"/>
      <c r="R3606" s="3"/>
      <c r="S3606" s="3"/>
      <c r="T3606" s="3"/>
      <c r="U3606" s="3"/>
    </row>
    <row r="3607" spans="2:21" x14ac:dyDescent="0.25">
      <c r="B3607" s="2"/>
      <c r="C3607" s="2"/>
      <c r="D3607" s="4"/>
      <c r="E3607" s="4"/>
      <c r="F3607" s="4"/>
      <c r="Q3607" s="3"/>
      <c r="R3607" s="3"/>
      <c r="S3607" s="3"/>
      <c r="T3607" s="3"/>
      <c r="U3607" s="3"/>
    </row>
    <row r="3608" spans="2:21" x14ac:dyDescent="0.25">
      <c r="B3608" s="2"/>
      <c r="C3608" s="2"/>
      <c r="D3608" s="4"/>
      <c r="E3608" s="4"/>
      <c r="F3608" s="4"/>
      <c r="Q3608" s="3"/>
      <c r="R3608" s="3"/>
      <c r="S3608" s="3"/>
      <c r="T3608" s="3"/>
      <c r="U3608" s="3"/>
    </row>
    <row r="3609" spans="2:21" x14ac:dyDescent="0.25">
      <c r="B3609" s="2"/>
      <c r="C3609" s="2"/>
      <c r="D3609" s="4"/>
      <c r="E3609" s="4"/>
      <c r="F3609" s="4"/>
      <c r="Q3609" s="3"/>
      <c r="R3609" s="3"/>
      <c r="S3609" s="3"/>
      <c r="T3609" s="3"/>
      <c r="U3609" s="3"/>
    </row>
    <row r="3610" spans="2:21" x14ac:dyDescent="0.25">
      <c r="B3610" s="2"/>
      <c r="C3610" s="2"/>
      <c r="D3610" s="4"/>
      <c r="E3610" s="4"/>
      <c r="F3610" s="4"/>
      <c r="Q3610" s="3"/>
      <c r="R3610" s="3"/>
      <c r="S3610" s="3"/>
      <c r="T3610" s="3"/>
      <c r="U3610" s="3"/>
    </row>
    <row r="3611" spans="2:21" x14ac:dyDescent="0.25">
      <c r="B3611" s="2"/>
      <c r="C3611" s="2"/>
      <c r="D3611" s="4"/>
      <c r="E3611" s="4"/>
      <c r="F3611" s="4"/>
      <c r="Q3611" s="3"/>
      <c r="R3611" s="3"/>
      <c r="S3611" s="3"/>
      <c r="T3611" s="3"/>
      <c r="U3611" s="3"/>
    </row>
    <row r="3612" spans="2:21" x14ac:dyDescent="0.25">
      <c r="B3612" s="2"/>
      <c r="C3612" s="2"/>
      <c r="D3612" s="4"/>
      <c r="E3612" s="4"/>
      <c r="F3612" s="4"/>
      <c r="Q3612" s="3"/>
      <c r="R3612" s="3"/>
      <c r="S3612" s="3"/>
      <c r="T3612" s="3"/>
      <c r="U3612" s="3"/>
    </row>
    <row r="3613" spans="2:21" x14ac:dyDescent="0.25">
      <c r="B3613" s="2"/>
      <c r="C3613" s="2"/>
      <c r="D3613" s="4"/>
      <c r="E3613" s="4"/>
      <c r="F3613" s="4"/>
      <c r="Q3613" s="3"/>
      <c r="R3613" s="3"/>
      <c r="S3613" s="3"/>
      <c r="T3613" s="3"/>
      <c r="U3613" s="3"/>
    </row>
    <row r="3614" spans="2:21" x14ac:dyDescent="0.25">
      <c r="B3614" s="2"/>
      <c r="C3614" s="2"/>
      <c r="D3614" s="4"/>
      <c r="E3614" s="4"/>
      <c r="F3614" s="4"/>
      <c r="Q3614" s="3"/>
      <c r="R3614" s="3"/>
      <c r="S3614" s="3"/>
      <c r="T3614" s="3"/>
      <c r="U3614" s="3"/>
    </row>
    <row r="3615" spans="2:21" x14ac:dyDescent="0.25">
      <c r="B3615" s="2"/>
      <c r="C3615" s="2"/>
      <c r="D3615" s="4"/>
      <c r="E3615" s="4"/>
      <c r="F3615" s="4"/>
      <c r="Q3615" s="3"/>
      <c r="R3615" s="3"/>
      <c r="S3615" s="3"/>
      <c r="T3615" s="3"/>
      <c r="U3615" s="3"/>
    </row>
    <row r="3616" spans="2:21" x14ac:dyDescent="0.25">
      <c r="B3616" s="2"/>
      <c r="C3616" s="2"/>
      <c r="D3616" s="4"/>
      <c r="E3616" s="4"/>
      <c r="F3616" s="4"/>
      <c r="Q3616" s="3"/>
      <c r="R3616" s="3"/>
      <c r="S3616" s="3"/>
      <c r="T3616" s="3"/>
      <c r="U3616" s="3"/>
    </row>
    <row r="3617" spans="2:21" x14ac:dyDescent="0.25">
      <c r="B3617" s="2"/>
      <c r="C3617" s="2"/>
      <c r="D3617" s="4"/>
      <c r="E3617" s="4"/>
      <c r="F3617" s="4"/>
      <c r="Q3617" s="3"/>
      <c r="R3617" s="3"/>
      <c r="S3617" s="3"/>
      <c r="T3617" s="3"/>
      <c r="U3617" s="3"/>
    </row>
    <row r="3618" spans="2:21" x14ac:dyDescent="0.25">
      <c r="B3618" s="2"/>
      <c r="C3618" s="2"/>
      <c r="D3618" s="4"/>
      <c r="E3618" s="4"/>
      <c r="F3618" s="4"/>
      <c r="Q3618" s="3"/>
      <c r="R3618" s="3"/>
      <c r="S3618" s="3"/>
      <c r="T3618" s="3"/>
      <c r="U3618" s="3"/>
    </row>
    <row r="3619" spans="2:21" x14ac:dyDescent="0.25">
      <c r="B3619" s="2"/>
      <c r="C3619" s="2"/>
      <c r="D3619" s="4"/>
      <c r="E3619" s="4"/>
      <c r="F3619" s="4"/>
      <c r="Q3619" s="3"/>
      <c r="R3619" s="3"/>
      <c r="S3619" s="3"/>
      <c r="T3619" s="3"/>
      <c r="U3619" s="3"/>
    </row>
    <row r="3620" spans="2:21" x14ac:dyDescent="0.25">
      <c r="B3620" s="2"/>
      <c r="C3620" s="2"/>
      <c r="D3620" s="4"/>
      <c r="E3620" s="4"/>
      <c r="F3620" s="4"/>
      <c r="Q3620" s="3"/>
      <c r="R3620" s="3"/>
      <c r="S3620" s="3"/>
      <c r="T3620" s="3"/>
      <c r="U3620" s="3"/>
    </row>
    <row r="3621" spans="2:21" x14ac:dyDescent="0.25">
      <c r="B3621" s="2"/>
      <c r="C3621" s="2"/>
      <c r="D3621" s="4"/>
      <c r="E3621" s="4"/>
      <c r="F3621" s="4"/>
      <c r="Q3621" s="3"/>
      <c r="R3621" s="3"/>
      <c r="S3621" s="3"/>
      <c r="T3621" s="3"/>
      <c r="U3621" s="3"/>
    </row>
    <row r="3622" spans="2:21" x14ac:dyDescent="0.25">
      <c r="B3622" s="2"/>
      <c r="C3622" s="2"/>
      <c r="D3622" s="4"/>
      <c r="E3622" s="4"/>
      <c r="F3622" s="4"/>
      <c r="Q3622" s="3"/>
      <c r="R3622" s="3"/>
      <c r="S3622" s="3"/>
      <c r="T3622" s="3"/>
      <c r="U3622" s="3"/>
    </row>
    <row r="3623" spans="2:21" x14ac:dyDescent="0.25">
      <c r="B3623" s="2"/>
      <c r="C3623" s="2"/>
      <c r="D3623" s="4"/>
      <c r="E3623" s="4"/>
      <c r="F3623" s="4"/>
      <c r="Q3623" s="3"/>
      <c r="R3623" s="3"/>
      <c r="S3623" s="3"/>
      <c r="T3623" s="3"/>
      <c r="U3623" s="3"/>
    </row>
    <row r="3624" spans="2:21" x14ac:dyDescent="0.25">
      <c r="B3624" s="2"/>
      <c r="C3624" s="2"/>
      <c r="D3624" s="4"/>
      <c r="E3624" s="4"/>
      <c r="F3624" s="4"/>
      <c r="Q3624" s="3"/>
      <c r="R3624" s="3"/>
      <c r="S3624" s="3"/>
      <c r="T3624" s="3"/>
      <c r="U3624" s="3"/>
    </row>
    <row r="3625" spans="2:21" x14ac:dyDescent="0.25">
      <c r="B3625" s="2"/>
      <c r="C3625" s="2"/>
      <c r="D3625" s="4"/>
      <c r="E3625" s="4"/>
      <c r="F3625" s="4"/>
      <c r="Q3625" s="3"/>
      <c r="R3625" s="3"/>
      <c r="S3625" s="3"/>
      <c r="T3625" s="3"/>
      <c r="U3625" s="3"/>
    </row>
    <row r="3626" spans="2:21" x14ac:dyDescent="0.25">
      <c r="B3626" s="2"/>
      <c r="C3626" s="2"/>
      <c r="D3626" s="4"/>
      <c r="E3626" s="4"/>
      <c r="F3626" s="4"/>
      <c r="Q3626" s="3"/>
      <c r="R3626" s="3"/>
      <c r="S3626" s="3"/>
      <c r="T3626" s="3"/>
      <c r="U3626" s="3"/>
    </row>
    <row r="3627" spans="2:21" x14ac:dyDescent="0.25">
      <c r="B3627" s="2"/>
      <c r="C3627" s="2"/>
      <c r="D3627" s="4"/>
      <c r="E3627" s="4"/>
      <c r="F3627" s="4"/>
      <c r="Q3627" s="3"/>
      <c r="R3627" s="3"/>
      <c r="S3627" s="3"/>
      <c r="T3627" s="3"/>
      <c r="U3627" s="3"/>
    </row>
    <row r="3628" spans="2:21" x14ac:dyDescent="0.25">
      <c r="B3628" s="2"/>
      <c r="C3628" s="2"/>
      <c r="D3628" s="4"/>
      <c r="E3628" s="4"/>
      <c r="F3628" s="4"/>
      <c r="Q3628" s="3"/>
      <c r="R3628" s="3"/>
      <c r="S3628" s="3"/>
      <c r="T3628" s="3"/>
      <c r="U3628" s="3"/>
    </row>
    <row r="3629" spans="2:21" x14ac:dyDescent="0.25">
      <c r="B3629" s="2"/>
      <c r="C3629" s="2"/>
      <c r="D3629" s="4"/>
      <c r="E3629" s="4"/>
      <c r="F3629" s="4"/>
      <c r="Q3629" s="3"/>
      <c r="R3629" s="3"/>
      <c r="S3629" s="3"/>
      <c r="T3629" s="3"/>
      <c r="U3629" s="3"/>
    </row>
    <row r="3630" spans="2:21" x14ac:dyDescent="0.25">
      <c r="B3630" s="2"/>
      <c r="C3630" s="2"/>
      <c r="D3630" s="4"/>
      <c r="E3630" s="4"/>
      <c r="F3630" s="4"/>
      <c r="Q3630" s="3"/>
      <c r="R3630" s="3"/>
      <c r="S3630" s="3"/>
      <c r="T3630" s="3"/>
      <c r="U3630" s="3"/>
    </row>
    <row r="3631" spans="2:21" x14ac:dyDescent="0.25">
      <c r="B3631" s="2"/>
      <c r="C3631" s="2"/>
      <c r="D3631" s="4"/>
      <c r="E3631" s="4"/>
      <c r="F3631" s="4"/>
      <c r="Q3631" s="3"/>
      <c r="R3631" s="3"/>
      <c r="S3631" s="3"/>
      <c r="T3631" s="3"/>
      <c r="U3631" s="3"/>
    </row>
    <row r="3632" spans="2:21" x14ac:dyDescent="0.25">
      <c r="B3632" s="2"/>
      <c r="C3632" s="2"/>
      <c r="D3632" s="4"/>
      <c r="E3632" s="4"/>
      <c r="F3632" s="4"/>
      <c r="Q3632" s="3"/>
      <c r="R3632" s="3"/>
      <c r="S3632" s="3"/>
      <c r="T3632" s="3"/>
      <c r="U3632" s="3"/>
    </row>
    <row r="3633" spans="2:21" x14ac:dyDescent="0.25">
      <c r="B3633" s="2"/>
      <c r="C3633" s="2"/>
      <c r="D3633" s="4"/>
      <c r="E3633" s="4"/>
      <c r="F3633" s="4"/>
      <c r="Q3633" s="3"/>
      <c r="R3633" s="3"/>
      <c r="S3633" s="3"/>
      <c r="T3633" s="3"/>
      <c r="U3633" s="3"/>
    </row>
    <row r="3634" spans="2:21" x14ac:dyDescent="0.25">
      <c r="B3634" s="2"/>
      <c r="C3634" s="2"/>
      <c r="D3634" s="4"/>
      <c r="E3634" s="4"/>
      <c r="F3634" s="4"/>
      <c r="Q3634" s="3"/>
      <c r="R3634" s="3"/>
      <c r="S3634" s="3"/>
      <c r="T3634" s="3"/>
      <c r="U3634" s="3"/>
    </row>
    <row r="3635" spans="2:21" x14ac:dyDescent="0.25">
      <c r="B3635" s="2"/>
      <c r="C3635" s="2"/>
      <c r="D3635" s="4"/>
      <c r="E3635" s="4"/>
      <c r="F3635" s="4"/>
      <c r="Q3635" s="3"/>
      <c r="R3635" s="3"/>
      <c r="S3635" s="3"/>
      <c r="T3635" s="3"/>
      <c r="U3635" s="3"/>
    </row>
    <row r="3636" spans="2:21" x14ac:dyDescent="0.25">
      <c r="B3636" s="2"/>
      <c r="C3636" s="2"/>
      <c r="D3636" s="4"/>
      <c r="E3636" s="4"/>
      <c r="F3636" s="4"/>
      <c r="Q3636" s="3"/>
      <c r="R3636" s="3"/>
      <c r="S3636" s="3"/>
      <c r="T3636" s="3"/>
      <c r="U3636" s="3"/>
    </row>
    <row r="3637" spans="2:21" x14ac:dyDescent="0.25">
      <c r="B3637" s="2"/>
      <c r="C3637" s="2"/>
      <c r="D3637" s="4"/>
      <c r="E3637" s="4"/>
      <c r="F3637" s="4"/>
      <c r="Q3637" s="3"/>
      <c r="R3637" s="3"/>
      <c r="S3637" s="3"/>
      <c r="T3637" s="3"/>
      <c r="U3637" s="3"/>
    </row>
    <row r="3638" spans="2:21" x14ac:dyDescent="0.25">
      <c r="B3638" s="2"/>
      <c r="C3638" s="2"/>
      <c r="D3638" s="4"/>
      <c r="E3638" s="4"/>
      <c r="F3638" s="4"/>
      <c r="Q3638" s="3"/>
      <c r="R3638" s="3"/>
      <c r="S3638" s="3"/>
      <c r="T3638" s="3"/>
      <c r="U3638" s="3"/>
    </row>
    <row r="3639" spans="2:21" x14ac:dyDescent="0.25">
      <c r="B3639" s="2"/>
      <c r="C3639" s="2"/>
      <c r="D3639" s="4"/>
      <c r="E3639" s="4"/>
      <c r="F3639" s="4"/>
      <c r="Q3639" s="3"/>
      <c r="R3639" s="3"/>
      <c r="S3639" s="3"/>
      <c r="T3639" s="3"/>
      <c r="U3639" s="3"/>
    </row>
    <row r="3640" spans="2:21" x14ac:dyDescent="0.25">
      <c r="B3640" s="2"/>
      <c r="C3640" s="2"/>
      <c r="D3640" s="4"/>
      <c r="E3640" s="4"/>
      <c r="F3640" s="4"/>
      <c r="Q3640" s="3"/>
      <c r="R3640" s="3"/>
      <c r="S3640" s="3"/>
      <c r="T3640" s="3"/>
      <c r="U3640" s="3"/>
    </row>
    <row r="3641" spans="2:21" x14ac:dyDescent="0.25">
      <c r="B3641" s="2"/>
      <c r="C3641" s="2"/>
      <c r="D3641" s="4"/>
      <c r="E3641" s="4"/>
      <c r="F3641" s="4"/>
      <c r="Q3641" s="3"/>
      <c r="R3641" s="3"/>
      <c r="S3641" s="3"/>
      <c r="T3641" s="3"/>
      <c r="U3641" s="3"/>
    </row>
    <row r="3642" spans="2:21" x14ac:dyDescent="0.25">
      <c r="B3642" s="2"/>
      <c r="C3642" s="2"/>
      <c r="D3642" s="4"/>
      <c r="E3642" s="4"/>
      <c r="F3642" s="4"/>
      <c r="Q3642" s="3"/>
      <c r="R3642" s="3"/>
      <c r="S3642" s="3"/>
      <c r="T3642" s="3"/>
      <c r="U3642" s="3"/>
    </row>
    <row r="3643" spans="2:21" x14ac:dyDescent="0.25">
      <c r="B3643" s="2"/>
      <c r="C3643" s="2"/>
      <c r="D3643" s="4"/>
      <c r="E3643" s="4"/>
      <c r="F3643" s="4"/>
      <c r="Q3643" s="3"/>
      <c r="R3643" s="3"/>
      <c r="S3643" s="3"/>
      <c r="T3643" s="3"/>
      <c r="U3643" s="3"/>
    </row>
    <row r="3644" spans="2:21" x14ac:dyDescent="0.25">
      <c r="B3644" s="2"/>
      <c r="C3644" s="2"/>
      <c r="D3644" s="4"/>
      <c r="E3644" s="4"/>
      <c r="F3644" s="4"/>
      <c r="Q3644" s="3"/>
      <c r="R3644" s="3"/>
      <c r="S3644" s="3"/>
      <c r="T3644" s="3"/>
      <c r="U3644" s="3"/>
    </row>
    <row r="3645" spans="2:21" x14ac:dyDescent="0.25">
      <c r="B3645" s="2"/>
      <c r="C3645" s="2"/>
      <c r="D3645" s="4"/>
      <c r="E3645" s="4"/>
      <c r="F3645" s="4"/>
      <c r="Q3645" s="3"/>
      <c r="R3645" s="3"/>
      <c r="S3645" s="3"/>
      <c r="T3645" s="3"/>
      <c r="U3645" s="3"/>
    </row>
    <row r="3646" spans="2:21" x14ac:dyDescent="0.25">
      <c r="B3646" s="2"/>
      <c r="C3646" s="2"/>
      <c r="D3646" s="4"/>
      <c r="E3646" s="4"/>
      <c r="F3646" s="4"/>
      <c r="Q3646" s="3"/>
      <c r="R3646" s="3"/>
      <c r="S3646" s="3"/>
      <c r="T3646" s="3"/>
      <c r="U3646" s="3"/>
    </row>
    <row r="3647" spans="2:21" x14ac:dyDescent="0.25">
      <c r="B3647" s="2"/>
      <c r="C3647" s="2"/>
      <c r="D3647" s="4"/>
      <c r="E3647" s="4"/>
      <c r="F3647" s="4"/>
      <c r="Q3647" s="3"/>
      <c r="R3647" s="3"/>
      <c r="S3647" s="3"/>
      <c r="T3647" s="3"/>
      <c r="U3647" s="3"/>
    </row>
    <row r="3648" spans="2:21" x14ac:dyDescent="0.25">
      <c r="B3648" s="2"/>
      <c r="C3648" s="2"/>
      <c r="D3648" s="4"/>
      <c r="E3648" s="4"/>
      <c r="F3648" s="4"/>
      <c r="Q3648" s="3"/>
      <c r="R3648" s="3"/>
      <c r="S3648" s="3"/>
      <c r="T3648" s="3"/>
      <c r="U3648" s="3"/>
    </row>
    <row r="3649" spans="2:21" x14ac:dyDescent="0.25">
      <c r="B3649" s="2"/>
      <c r="C3649" s="2"/>
      <c r="D3649" s="4"/>
      <c r="E3649" s="4"/>
      <c r="F3649" s="4"/>
      <c r="Q3649" s="3"/>
      <c r="R3649" s="3"/>
      <c r="S3649" s="3"/>
      <c r="T3649" s="3"/>
      <c r="U3649" s="3"/>
    </row>
    <row r="3650" spans="2:21" x14ac:dyDescent="0.25">
      <c r="B3650" s="2"/>
      <c r="C3650" s="2"/>
      <c r="D3650" s="4"/>
      <c r="E3650" s="4"/>
      <c r="F3650" s="4"/>
      <c r="Q3650" s="3"/>
      <c r="R3650" s="3"/>
      <c r="S3650" s="3"/>
      <c r="T3650" s="3"/>
      <c r="U3650" s="3"/>
    </row>
    <row r="3651" spans="2:21" x14ac:dyDescent="0.25">
      <c r="B3651" s="2"/>
      <c r="C3651" s="2"/>
      <c r="D3651" s="4"/>
      <c r="E3651" s="4"/>
      <c r="F3651" s="4"/>
      <c r="Q3651" s="3"/>
      <c r="R3651" s="3"/>
      <c r="S3651" s="3"/>
      <c r="T3651" s="3"/>
      <c r="U3651" s="3"/>
    </row>
    <row r="3652" spans="2:21" x14ac:dyDescent="0.25">
      <c r="B3652" s="2"/>
      <c r="C3652" s="2"/>
      <c r="D3652" s="4"/>
      <c r="E3652" s="4"/>
      <c r="F3652" s="4"/>
      <c r="Q3652" s="3"/>
      <c r="R3652" s="3"/>
      <c r="S3652" s="3"/>
      <c r="T3652" s="3"/>
      <c r="U3652" s="3"/>
    </row>
    <row r="3653" spans="2:21" x14ac:dyDescent="0.25">
      <c r="B3653" s="2"/>
      <c r="C3653" s="2"/>
      <c r="D3653" s="4"/>
      <c r="E3653" s="4"/>
      <c r="F3653" s="4"/>
      <c r="Q3653" s="3"/>
      <c r="R3653" s="3"/>
      <c r="S3653" s="3"/>
      <c r="T3653" s="3"/>
      <c r="U3653" s="3"/>
    </row>
    <row r="3654" spans="2:21" x14ac:dyDescent="0.25">
      <c r="B3654" s="2"/>
      <c r="C3654" s="2"/>
      <c r="D3654" s="4"/>
      <c r="E3654" s="4"/>
      <c r="F3654" s="4"/>
      <c r="Q3654" s="3"/>
      <c r="R3654" s="3"/>
      <c r="S3654" s="3"/>
      <c r="T3654" s="3"/>
      <c r="U3654" s="3"/>
    </row>
    <row r="3655" spans="2:21" x14ac:dyDescent="0.25">
      <c r="B3655" s="2"/>
      <c r="C3655" s="2"/>
      <c r="D3655" s="4"/>
      <c r="E3655" s="4"/>
      <c r="F3655" s="4"/>
      <c r="Q3655" s="3"/>
      <c r="R3655" s="3"/>
      <c r="S3655" s="3"/>
      <c r="T3655" s="3"/>
      <c r="U3655" s="3"/>
    </row>
    <row r="3656" spans="2:21" x14ac:dyDescent="0.25">
      <c r="B3656" s="2"/>
      <c r="C3656" s="2"/>
      <c r="D3656" s="4"/>
      <c r="E3656" s="4"/>
      <c r="F3656" s="4"/>
      <c r="Q3656" s="3"/>
      <c r="R3656" s="3"/>
      <c r="S3656" s="3"/>
      <c r="T3656" s="3"/>
      <c r="U3656" s="3"/>
    </row>
    <row r="3657" spans="2:21" x14ac:dyDescent="0.25">
      <c r="B3657" s="2"/>
      <c r="C3657" s="2"/>
      <c r="D3657" s="4"/>
      <c r="E3657" s="4"/>
      <c r="F3657" s="4"/>
      <c r="Q3657" s="3"/>
      <c r="R3657" s="3"/>
      <c r="S3657" s="3"/>
      <c r="T3657" s="3"/>
      <c r="U3657" s="3"/>
    </row>
    <row r="3658" spans="2:21" x14ac:dyDescent="0.25">
      <c r="B3658" s="2"/>
      <c r="C3658" s="2"/>
      <c r="D3658" s="4"/>
      <c r="E3658" s="4"/>
      <c r="F3658" s="4"/>
      <c r="Q3658" s="3"/>
      <c r="R3658" s="3"/>
      <c r="S3658" s="3"/>
      <c r="T3658" s="3"/>
      <c r="U3658" s="3"/>
    </row>
    <row r="3659" spans="2:21" x14ac:dyDescent="0.25">
      <c r="B3659" s="2"/>
      <c r="C3659" s="2"/>
      <c r="D3659" s="4"/>
      <c r="E3659" s="4"/>
      <c r="F3659" s="4"/>
      <c r="Q3659" s="3"/>
      <c r="R3659" s="3"/>
      <c r="S3659" s="3"/>
      <c r="T3659" s="3"/>
      <c r="U3659" s="3"/>
    </row>
    <row r="3660" spans="2:21" x14ac:dyDescent="0.25">
      <c r="B3660" s="2"/>
      <c r="C3660" s="2"/>
      <c r="D3660" s="4"/>
      <c r="E3660" s="4"/>
      <c r="F3660" s="4"/>
      <c r="Q3660" s="3"/>
      <c r="R3660" s="3"/>
      <c r="S3660" s="3"/>
      <c r="T3660" s="3"/>
      <c r="U3660" s="3"/>
    </row>
    <row r="3661" spans="2:21" x14ac:dyDescent="0.25">
      <c r="B3661" s="2"/>
      <c r="C3661" s="2"/>
      <c r="D3661" s="4"/>
      <c r="E3661" s="4"/>
      <c r="F3661" s="4"/>
      <c r="Q3661" s="3"/>
      <c r="R3661" s="3"/>
      <c r="S3661" s="3"/>
      <c r="T3661" s="3"/>
      <c r="U3661" s="3"/>
    </row>
    <row r="3662" spans="2:21" x14ac:dyDescent="0.25">
      <c r="B3662" s="2"/>
      <c r="C3662" s="2"/>
      <c r="D3662" s="4"/>
      <c r="E3662" s="4"/>
      <c r="F3662" s="4"/>
      <c r="Q3662" s="3"/>
      <c r="R3662" s="3"/>
      <c r="S3662" s="3"/>
      <c r="T3662" s="3"/>
      <c r="U3662" s="3"/>
    </row>
    <row r="3663" spans="2:21" x14ac:dyDescent="0.25">
      <c r="B3663" s="2"/>
      <c r="C3663" s="2"/>
      <c r="D3663" s="4"/>
      <c r="E3663" s="4"/>
      <c r="F3663" s="4"/>
      <c r="Q3663" s="3"/>
      <c r="R3663" s="3"/>
      <c r="S3663" s="3"/>
      <c r="T3663" s="3"/>
      <c r="U3663" s="3"/>
    </row>
    <row r="3664" spans="2:21" x14ac:dyDescent="0.25">
      <c r="B3664" s="2"/>
      <c r="C3664" s="2"/>
      <c r="D3664" s="4"/>
      <c r="E3664" s="4"/>
      <c r="F3664" s="4"/>
      <c r="Q3664" s="3"/>
      <c r="R3664" s="3"/>
      <c r="S3664" s="3"/>
      <c r="T3664" s="3"/>
      <c r="U3664" s="3"/>
    </row>
    <row r="3665" spans="2:21" x14ac:dyDescent="0.25">
      <c r="B3665" s="2"/>
      <c r="C3665" s="2"/>
      <c r="D3665" s="4"/>
      <c r="E3665" s="4"/>
      <c r="F3665" s="4"/>
      <c r="Q3665" s="3"/>
      <c r="R3665" s="3"/>
      <c r="S3665" s="3"/>
      <c r="T3665" s="3"/>
      <c r="U3665" s="3"/>
    </row>
    <row r="3666" spans="2:21" x14ac:dyDescent="0.25">
      <c r="B3666" s="2"/>
      <c r="C3666" s="2"/>
      <c r="D3666" s="4"/>
      <c r="E3666" s="4"/>
      <c r="F3666" s="4"/>
      <c r="Q3666" s="3"/>
      <c r="R3666" s="3"/>
      <c r="S3666" s="3"/>
      <c r="T3666" s="3"/>
      <c r="U3666" s="3"/>
    </row>
    <row r="3667" spans="2:21" x14ac:dyDescent="0.25">
      <c r="B3667" s="2"/>
      <c r="C3667" s="2"/>
      <c r="D3667" s="4"/>
      <c r="E3667" s="4"/>
      <c r="F3667" s="4"/>
      <c r="Q3667" s="3"/>
      <c r="R3667" s="3"/>
      <c r="S3667" s="3"/>
      <c r="T3667" s="3"/>
      <c r="U3667" s="3"/>
    </row>
    <row r="3668" spans="2:21" x14ac:dyDescent="0.25">
      <c r="B3668" s="2"/>
      <c r="C3668" s="2"/>
      <c r="D3668" s="4"/>
      <c r="E3668" s="4"/>
      <c r="F3668" s="4"/>
      <c r="Q3668" s="3"/>
      <c r="R3668" s="3"/>
      <c r="S3668" s="3"/>
      <c r="T3668" s="3"/>
      <c r="U3668" s="3"/>
    </row>
    <row r="3669" spans="2:21" x14ac:dyDescent="0.25">
      <c r="B3669" s="2"/>
      <c r="C3669" s="2"/>
      <c r="D3669" s="4"/>
      <c r="E3669" s="4"/>
      <c r="F3669" s="4"/>
      <c r="Q3669" s="3"/>
      <c r="R3669" s="3"/>
      <c r="S3669" s="3"/>
      <c r="T3669" s="3"/>
      <c r="U3669" s="3"/>
    </row>
    <row r="3670" spans="2:21" x14ac:dyDescent="0.25">
      <c r="B3670" s="2"/>
      <c r="C3670" s="2"/>
      <c r="D3670" s="4"/>
      <c r="E3670" s="4"/>
      <c r="F3670" s="4"/>
      <c r="Q3670" s="3"/>
      <c r="R3670" s="3"/>
      <c r="S3670" s="3"/>
      <c r="T3670" s="3"/>
      <c r="U3670" s="3"/>
    </row>
    <row r="3671" spans="2:21" x14ac:dyDescent="0.25">
      <c r="B3671" s="2"/>
      <c r="C3671" s="2"/>
      <c r="D3671" s="4"/>
      <c r="E3671" s="4"/>
      <c r="F3671" s="4"/>
      <c r="Q3671" s="3"/>
      <c r="R3671" s="3"/>
      <c r="S3671" s="3"/>
      <c r="T3671" s="3"/>
      <c r="U3671" s="3"/>
    </row>
    <row r="3672" spans="2:21" x14ac:dyDescent="0.25">
      <c r="B3672" s="2"/>
      <c r="C3672" s="2"/>
      <c r="D3672" s="4"/>
      <c r="E3672" s="4"/>
      <c r="F3672" s="4"/>
      <c r="Q3672" s="3"/>
      <c r="R3672" s="3"/>
      <c r="S3672" s="3"/>
      <c r="T3672" s="3"/>
      <c r="U3672" s="3"/>
    </row>
    <row r="3673" spans="2:21" x14ac:dyDescent="0.25">
      <c r="B3673" s="2"/>
      <c r="C3673" s="2"/>
      <c r="D3673" s="4"/>
      <c r="E3673" s="4"/>
      <c r="F3673" s="4"/>
      <c r="Q3673" s="3"/>
      <c r="R3673" s="3"/>
      <c r="S3673" s="3"/>
      <c r="T3673" s="3"/>
      <c r="U3673" s="3"/>
    </row>
    <row r="3674" spans="2:21" x14ac:dyDescent="0.25">
      <c r="B3674" s="2"/>
      <c r="C3674" s="2"/>
      <c r="D3674" s="4"/>
      <c r="E3674" s="4"/>
      <c r="F3674" s="4"/>
      <c r="Q3674" s="3"/>
      <c r="R3674" s="3"/>
      <c r="S3674" s="3"/>
      <c r="T3674" s="3"/>
      <c r="U3674" s="3"/>
    </row>
    <row r="3675" spans="2:21" x14ac:dyDescent="0.25">
      <c r="B3675" s="2"/>
      <c r="C3675" s="2"/>
      <c r="D3675" s="4"/>
      <c r="E3675" s="4"/>
      <c r="F3675" s="4"/>
      <c r="Q3675" s="3"/>
      <c r="R3675" s="3"/>
      <c r="S3675" s="3"/>
      <c r="T3675" s="3"/>
      <c r="U3675" s="3"/>
    </row>
    <row r="3676" spans="2:21" x14ac:dyDescent="0.25">
      <c r="B3676" s="2"/>
      <c r="C3676" s="2"/>
      <c r="D3676" s="4"/>
      <c r="E3676" s="4"/>
      <c r="F3676" s="4"/>
      <c r="Q3676" s="3"/>
      <c r="R3676" s="3"/>
      <c r="S3676" s="3"/>
      <c r="T3676" s="3"/>
      <c r="U3676" s="3"/>
    </row>
    <row r="3677" spans="2:21" x14ac:dyDescent="0.25">
      <c r="B3677" s="2"/>
      <c r="C3677" s="2"/>
      <c r="D3677" s="4"/>
      <c r="E3677" s="4"/>
      <c r="F3677" s="4"/>
      <c r="Q3677" s="3"/>
      <c r="R3677" s="3"/>
      <c r="S3677" s="3"/>
      <c r="T3677" s="3"/>
      <c r="U3677" s="3"/>
    </row>
    <row r="3678" spans="2:21" x14ac:dyDescent="0.25">
      <c r="B3678" s="2"/>
      <c r="C3678" s="2"/>
      <c r="D3678" s="4"/>
      <c r="E3678" s="4"/>
      <c r="F3678" s="4"/>
      <c r="Q3678" s="3"/>
      <c r="R3678" s="3"/>
      <c r="S3678" s="3"/>
      <c r="T3678" s="3"/>
      <c r="U3678" s="3"/>
    </row>
    <row r="3679" spans="2:21" x14ac:dyDescent="0.25">
      <c r="B3679" s="2"/>
      <c r="C3679" s="2"/>
      <c r="D3679" s="4"/>
      <c r="E3679" s="4"/>
      <c r="F3679" s="4"/>
      <c r="Q3679" s="3"/>
      <c r="R3679" s="3"/>
      <c r="S3679" s="3"/>
      <c r="T3679" s="3"/>
      <c r="U3679" s="3"/>
    </row>
    <row r="3680" spans="2:21" x14ac:dyDescent="0.25">
      <c r="B3680" s="2"/>
      <c r="C3680" s="2"/>
      <c r="D3680" s="4"/>
      <c r="E3680" s="4"/>
      <c r="F3680" s="4"/>
      <c r="Q3680" s="3"/>
      <c r="R3680" s="3"/>
      <c r="S3680" s="3"/>
      <c r="T3680" s="3"/>
      <c r="U3680" s="3"/>
    </row>
    <row r="3681" spans="2:21" x14ac:dyDescent="0.25">
      <c r="B3681" s="2"/>
      <c r="C3681" s="2"/>
      <c r="D3681" s="4"/>
      <c r="E3681" s="4"/>
      <c r="F3681" s="4"/>
      <c r="Q3681" s="3"/>
      <c r="R3681" s="3"/>
      <c r="S3681" s="3"/>
      <c r="T3681" s="3"/>
      <c r="U3681" s="3"/>
    </row>
    <row r="3682" spans="2:21" x14ac:dyDescent="0.25">
      <c r="B3682" s="2"/>
      <c r="C3682" s="2"/>
      <c r="D3682" s="4"/>
      <c r="E3682" s="4"/>
      <c r="F3682" s="4"/>
      <c r="Q3682" s="3"/>
      <c r="R3682" s="3"/>
      <c r="S3682" s="3"/>
      <c r="T3682" s="3"/>
      <c r="U3682" s="3"/>
    </row>
    <row r="3683" spans="2:21" x14ac:dyDescent="0.25">
      <c r="B3683" s="2"/>
      <c r="C3683" s="2"/>
      <c r="D3683" s="4"/>
      <c r="E3683" s="4"/>
      <c r="F3683" s="4"/>
      <c r="Q3683" s="3"/>
      <c r="R3683" s="3"/>
      <c r="S3683" s="3"/>
      <c r="T3683" s="3"/>
      <c r="U3683" s="3"/>
    </row>
    <row r="3684" spans="2:21" x14ac:dyDescent="0.25">
      <c r="B3684" s="2"/>
      <c r="C3684" s="2"/>
      <c r="D3684" s="4"/>
      <c r="E3684" s="4"/>
      <c r="F3684" s="4"/>
      <c r="Q3684" s="3"/>
      <c r="R3684" s="3"/>
      <c r="S3684" s="3"/>
      <c r="T3684" s="3"/>
      <c r="U3684" s="3"/>
    </row>
    <row r="3685" spans="2:21" x14ac:dyDescent="0.25">
      <c r="B3685" s="2"/>
      <c r="C3685" s="2"/>
      <c r="D3685" s="4"/>
      <c r="E3685" s="4"/>
      <c r="F3685" s="4"/>
      <c r="Q3685" s="3"/>
      <c r="R3685" s="3"/>
      <c r="S3685" s="3"/>
      <c r="T3685" s="3"/>
      <c r="U3685" s="3"/>
    </row>
    <row r="3686" spans="2:21" x14ac:dyDescent="0.25">
      <c r="B3686" s="2"/>
      <c r="C3686" s="2"/>
      <c r="D3686" s="4"/>
      <c r="E3686" s="4"/>
      <c r="F3686" s="4"/>
      <c r="Q3686" s="3"/>
      <c r="R3686" s="3"/>
      <c r="S3686" s="3"/>
      <c r="T3686" s="3"/>
      <c r="U3686" s="3"/>
    </row>
    <row r="3687" spans="2:21" x14ac:dyDescent="0.25">
      <c r="B3687" s="2"/>
      <c r="C3687" s="2"/>
      <c r="D3687" s="4"/>
      <c r="E3687" s="4"/>
      <c r="F3687" s="4"/>
      <c r="Q3687" s="3"/>
      <c r="R3687" s="3"/>
      <c r="S3687" s="3"/>
      <c r="T3687" s="3"/>
      <c r="U3687" s="3"/>
    </row>
    <row r="3688" spans="2:21" x14ac:dyDescent="0.25">
      <c r="B3688" s="2"/>
      <c r="C3688" s="2"/>
      <c r="D3688" s="4"/>
      <c r="E3688" s="4"/>
      <c r="F3688" s="4"/>
      <c r="Q3688" s="3"/>
      <c r="R3688" s="3"/>
      <c r="S3688" s="3"/>
      <c r="T3688" s="3"/>
      <c r="U3688" s="3"/>
    </row>
    <row r="3689" spans="2:21" x14ac:dyDescent="0.25">
      <c r="B3689" s="2"/>
      <c r="C3689" s="2"/>
      <c r="D3689" s="4"/>
      <c r="E3689" s="4"/>
      <c r="F3689" s="4"/>
      <c r="Q3689" s="3"/>
      <c r="R3689" s="3"/>
      <c r="S3689" s="3"/>
      <c r="T3689" s="3"/>
      <c r="U3689" s="3"/>
    </row>
    <row r="3690" spans="2:21" x14ac:dyDescent="0.25">
      <c r="B3690" s="2"/>
      <c r="C3690" s="2"/>
      <c r="D3690" s="4"/>
      <c r="E3690" s="4"/>
      <c r="F3690" s="4"/>
      <c r="Q3690" s="3"/>
      <c r="R3690" s="3"/>
      <c r="S3690" s="3"/>
      <c r="T3690" s="3"/>
      <c r="U3690" s="3"/>
    </row>
    <row r="3691" spans="2:21" x14ac:dyDescent="0.25">
      <c r="B3691" s="2"/>
      <c r="C3691" s="2"/>
      <c r="D3691" s="4"/>
      <c r="E3691" s="4"/>
      <c r="F3691" s="4"/>
      <c r="Q3691" s="3"/>
      <c r="R3691" s="3"/>
      <c r="S3691" s="3"/>
      <c r="T3691" s="3"/>
      <c r="U3691" s="3"/>
    </row>
    <row r="3692" spans="2:21" x14ac:dyDescent="0.25">
      <c r="B3692" s="2"/>
      <c r="C3692" s="2"/>
      <c r="D3692" s="4"/>
      <c r="E3692" s="4"/>
      <c r="F3692" s="4"/>
      <c r="Q3692" s="3"/>
      <c r="R3692" s="3"/>
      <c r="S3692" s="3"/>
      <c r="T3692" s="3"/>
      <c r="U3692" s="3"/>
    </row>
    <row r="3693" spans="2:21" x14ac:dyDescent="0.25">
      <c r="B3693" s="2"/>
      <c r="C3693" s="2"/>
      <c r="D3693" s="4"/>
      <c r="E3693" s="4"/>
      <c r="F3693" s="4"/>
      <c r="Q3693" s="3"/>
      <c r="R3693" s="3"/>
      <c r="S3693" s="3"/>
      <c r="T3693" s="3"/>
      <c r="U3693" s="3"/>
    </row>
    <row r="3694" spans="2:21" x14ac:dyDescent="0.25">
      <c r="B3694" s="2"/>
      <c r="C3694" s="2"/>
      <c r="D3694" s="4"/>
      <c r="E3694" s="4"/>
      <c r="F3694" s="4"/>
      <c r="Q3694" s="3"/>
      <c r="R3694" s="3"/>
      <c r="S3694" s="3"/>
      <c r="T3694" s="3"/>
      <c r="U3694" s="3"/>
    </row>
    <row r="3695" spans="2:21" x14ac:dyDescent="0.25">
      <c r="B3695" s="2"/>
      <c r="C3695" s="2"/>
      <c r="D3695" s="4"/>
      <c r="E3695" s="4"/>
      <c r="F3695" s="4"/>
      <c r="Q3695" s="3"/>
      <c r="R3695" s="3"/>
      <c r="S3695" s="3"/>
      <c r="T3695" s="3"/>
      <c r="U3695" s="3"/>
    </row>
    <row r="3696" spans="2:21" x14ac:dyDescent="0.25">
      <c r="B3696" s="2"/>
      <c r="C3696" s="2"/>
      <c r="D3696" s="4"/>
      <c r="E3696" s="4"/>
      <c r="F3696" s="4"/>
      <c r="Q3696" s="3"/>
      <c r="R3696" s="3"/>
      <c r="S3696" s="3"/>
      <c r="T3696" s="3"/>
      <c r="U3696" s="3"/>
    </row>
    <row r="3697" spans="2:21" x14ac:dyDescent="0.25">
      <c r="B3697" s="2"/>
      <c r="C3697" s="2"/>
      <c r="D3697" s="4"/>
      <c r="E3697" s="4"/>
      <c r="F3697" s="4"/>
      <c r="Q3697" s="3"/>
      <c r="R3697" s="3"/>
      <c r="S3697" s="3"/>
      <c r="T3697" s="3"/>
      <c r="U3697" s="3"/>
    </row>
    <row r="3698" spans="2:21" x14ac:dyDescent="0.25">
      <c r="B3698" s="2"/>
      <c r="C3698" s="2"/>
      <c r="D3698" s="4"/>
      <c r="E3698" s="4"/>
      <c r="F3698" s="4"/>
      <c r="Q3698" s="3"/>
      <c r="R3698" s="3"/>
      <c r="S3698" s="3"/>
      <c r="T3698" s="3"/>
      <c r="U3698" s="3"/>
    </row>
    <row r="3699" spans="2:21" x14ac:dyDescent="0.25">
      <c r="B3699" s="2"/>
      <c r="C3699" s="2"/>
      <c r="D3699" s="4"/>
      <c r="E3699" s="4"/>
      <c r="F3699" s="4"/>
      <c r="Q3699" s="3"/>
      <c r="R3699" s="3"/>
      <c r="S3699" s="3"/>
      <c r="T3699" s="3"/>
      <c r="U3699" s="3"/>
    </row>
    <row r="3700" spans="2:21" x14ac:dyDescent="0.25">
      <c r="B3700" s="2"/>
      <c r="C3700" s="2"/>
      <c r="D3700" s="4"/>
      <c r="E3700" s="4"/>
      <c r="F3700" s="4"/>
      <c r="Q3700" s="3"/>
      <c r="R3700" s="3"/>
      <c r="S3700" s="3"/>
      <c r="T3700" s="3"/>
      <c r="U3700" s="3"/>
    </row>
    <row r="3701" spans="2:21" x14ac:dyDescent="0.25">
      <c r="B3701" s="2"/>
      <c r="C3701" s="2"/>
      <c r="D3701" s="4"/>
      <c r="E3701" s="4"/>
      <c r="F3701" s="4"/>
      <c r="Q3701" s="3"/>
      <c r="R3701" s="3"/>
      <c r="S3701" s="3"/>
      <c r="T3701" s="3"/>
      <c r="U3701" s="3"/>
    </row>
    <row r="3702" spans="2:21" x14ac:dyDescent="0.25">
      <c r="B3702" s="2"/>
      <c r="C3702" s="2"/>
      <c r="D3702" s="4"/>
      <c r="E3702" s="4"/>
      <c r="F3702" s="4"/>
      <c r="Q3702" s="3"/>
      <c r="R3702" s="3"/>
      <c r="S3702" s="3"/>
      <c r="T3702" s="3"/>
      <c r="U3702" s="3"/>
    </row>
    <row r="3703" spans="2:21" x14ac:dyDescent="0.25">
      <c r="B3703" s="2"/>
      <c r="C3703" s="2"/>
      <c r="D3703" s="4"/>
      <c r="E3703" s="4"/>
      <c r="F3703" s="4"/>
      <c r="Q3703" s="3"/>
      <c r="R3703" s="3"/>
      <c r="S3703" s="3"/>
      <c r="T3703" s="3"/>
      <c r="U3703" s="3"/>
    </row>
    <row r="3704" spans="2:21" x14ac:dyDescent="0.25">
      <c r="B3704" s="2"/>
      <c r="C3704" s="2"/>
      <c r="D3704" s="4"/>
      <c r="E3704" s="4"/>
      <c r="F3704" s="4"/>
      <c r="Q3704" s="3"/>
      <c r="R3704" s="3"/>
      <c r="S3704" s="3"/>
      <c r="T3704" s="3"/>
      <c r="U3704" s="3"/>
    </row>
    <row r="3705" spans="2:21" x14ac:dyDescent="0.25">
      <c r="B3705" s="2"/>
      <c r="C3705" s="2"/>
      <c r="D3705" s="4"/>
      <c r="E3705" s="4"/>
      <c r="F3705" s="4"/>
      <c r="Q3705" s="3"/>
      <c r="R3705" s="3"/>
      <c r="S3705" s="3"/>
      <c r="T3705" s="3"/>
      <c r="U3705" s="3"/>
    </row>
    <row r="3706" spans="2:21" x14ac:dyDescent="0.25">
      <c r="B3706" s="2"/>
      <c r="C3706" s="2"/>
      <c r="D3706" s="4"/>
      <c r="E3706" s="4"/>
      <c r="F3706" s="4"/>
      <c r="Q3706" s="3"/>
      <c r="R3706" s="3"/>
      <c r="S3706" s="3"/>
      <c r="T3706" s="3"/>
      <c r="U3706" s="3"/>
    </row>
    <row r="3707" spans="2:21" x14ac:dyDescent="0.25">
      <c r="B3707" s="2"/>
      <c r="C3707" s="2"/>
      <c r="D3707" s="4"/>
      <c r="E3707" s="4"/>
      <c r="F3707" s="4"/>
      <c r="Q3707" s="3"/>
      <c r="R3707" s="3"/>
      <c r="S3707" s="3"/>
      <c r="T3707" s="3"/>
      <c r="U3707" s="3"/>
    </row>
    <row r="3708" spans="2:21" x14ac:dyDescent="0.25">
      <c r="B3708" s="2"/>
      <c r="C3708" s="2"/>
      <c r="D3708" s="4"/>
      <c r="E3708" s="4"/>
      <c r="F3708" s="4"/>
      <c r="Q3708" s="3"/>
      <c r="R3708" s="3"/>
      <c r="S3708" s="3"/>
      <c r="T3708" s="3"/>
      <c r="U3708" s="3"/>
    </row>
    <row r="3709" spans="2:21" x14ac:dyDescent="0.25">
      <c r="B3709" s="2"/>
      <c r="C3709" s="2"/>
      <c r="D3709" s="4"/>
      <c r="E3709" s="4"/>
      <c r="F3709" s="4"/>
      <c r="Q3709" s="3"/>
      <c r="R3709" s="3"/>
      <c r="S3709" s="3"/>
      <c r="T3709" s="3"/>
      <c r="U3709" s="3"/>
    </row>
    <row r="3710" spans="2:21" x14ac:dyDescent="0.25">
      <c r="B3710" s="2"/>
      <c r="C3710" s="2"/>
      <c r="D3710" s="4"/>
      <c r="E3710" s="4"/>
      <c r="F3710" s="4"/>
      <c r="Q3710" s="3"/>
      <c r="R3710" s="3"/>
      <c r="S3710" s="3"/>
      <c r="T3710" s="3"/>
      <c r="U3710" s="3"/>
    </row>
    <row r="3711" spans="2:21" x14ac:dyDescent="0.25">
      <c r="B3711" s="2"/>
      <c r="C3711" s="2"/>
      <c r="D3711" s="4"/>
      <c r="E3711" s="4"/>
      <c r="F3711" s="4"/>
      <c r="Q3711" s="3"/>
      <c r="R3711" s="3"/>
      <c r="S3711" s="3"/>
      <c r="T3711" s="3"/>
      <c r="U3711" s="3"/>
    </row>
    <row r="3712" spans="2:21" x14ac:dyDescent="0.25">
      <c r="B3712" s="2"/>
      <c r="C3712" s="2"/>
      <c r="D3712" s="4"/>
      <c r="E3712" s="4"/>
      <c r="F3712" s="4"/>
      <c r="Q3712" s="3"/>
      <c r="R3712" s="3"/>
      <c r="S3712" s="3"/>
      <c r="T3712" s="3"/>
      <c r="U3712" s="3"/>
    </row>
    <row r="3713" spans="2:21" x14ac:dyDescent="0.25">
      <c r="B3713" s="2"/>
      <c r="C3713" s="2"/>
      <c r="D3713" s="4"/>
      <c r="E3713" s="4"/>
      <c r="F3713" s="4"/>
      <c r="Q3713" s="3"/>
      <c r="R3713" s="3"/>
      <c r="S3713" s="3"/>
      <c r="T3713" s="3"/>
      <c r="U3713" s="3"/>
    </row>
    <row r="3714" spans="2:21" x14ac:dyDescent="0.25">
      <c r="B3714" s="2"/>
      <c r="C3714" s="2"/>
      <c r="D3714" s="4"/>
      <c r="E3714" s="4"/>
      <c r="F3714" s="4"/>
      <c r="Q3714" s="3"/>
      <c r="R3714" s="3"/>
      <c r="S3714" s="3"/>
      <c r="T3714" s="3"/>
      <c r="U3714" s="3"/>
    </row>
    <row r="3715" spans="2:21" x14ac:dyDescent="0.25">
      <c r="B3715" s="2"/>
      <c r="C3715" s="2"/>
      <c r="D3715" s="4"/>
      <c r="E3715" s="4"/>
      <c r="F3715" s="4"/>
      <c r="Q3715" s="3"/>
      <c r="R3715" s="3"/>
      <c r="S3715" s="3"/>
      <c r="T3715" s="3"/>
      <c r="U3715" s="3"/>
    </row>
    <row r="3716" spans="2:21" x14ac:dyDescent="0.25">
      <c r="B3716" s="2"/>
      <c r="C3716" s="2"/>
      <c r="D3716" s="4"/>
      <c r="E3716" s="4"/>
      <c r="F3716" s="4"/>
      <c r="Q3716" s="3"/>
      <c r="R3716" s="3"/>
      <c r="S3716" s="3"/>
      <c r="T3716" s="3"/>
      <c r="U3716" s="3"/>
    </row>
    <row r="3717" spans="2:21" x14ac:dyDescent="0.25">
      <c r="B3717" s="2"/>
      <c r="C3717" s="2"/>
      <c r="D3717" s="4"/>
      <c r="E3717" s="4"/>
      <c r="F3717" s="4"/>
      <c r="Q3717" s="3"/>
      <c r="R3717" s="3"/>
      <c r="S3717" s="3"/>
      <c r="T3717" s="3"/>
      <c r="U3717" s="3"/>
    </row>
    <row r="3718" spans="2:21" x14ac:dyDescent="0.25">
      <c r="B3718" s="2"/>
      <c r="C3718" s="2"/>
      <c r="D3718" s="4"/>
      <c r="E3718" s="4"/>
      <c r="F3718" s="4"/>
      <c r="Q3718" s="3"/>
      <c r="R3718" s="3"/>
      <c r="S3718" s="3"/>
      <c r="T3718" s="3"/>
      <c r="U3718" s="3"/>
    </row>
    <row r="3719" spans="2:21" x14ac:dyDescent="0.25">
      <c r="B3719" s="2"/>
      <c r="C3719" s="2"/>
      <c r="D3719" s="4"/>
      <c r="E3719" s="4"/>
      <c r="F3719" s="4"/>
      <c r="Q3719" s="3"/>
      <c r="R3719" s="3"/>
      <c r="S3719" s="3"/>
      <c r="T3719" s="3"/>
      <c r="U3719" s="3"/>
    </row>
    <row r="3720" spans="2:21" x14ac:dyDescent="0.25">
      <c r="B3720" s="2"/>
      <c r="C3720" s="2"/>
      <c r="D3720" s="4"/>
      <c r="E3720" s="4"/>
      <c r="F3720" s="4"/>
      <c r="Q3720" s="3"/>
      <c r="R3720" s="3"/>
      <c r="S3720" s="3"/>
      <c r="T3720" s="3"/>
      <c r="U3720" s="3"/>
    </row>
    <row r="3721" spans="2:21" x14ac:dyDescent="0.25">
      <c r="B3721" s="2"/>
      <c r="C3721" s="2"/>
      <c r="D3721" s="4"/>
      <c r="E3721" s="4"/>
      <c r="F3721" s="4"/>
      <c r="Q3721" s="3"/>
      <c r="R3721" s="3"/>
      <c r="S3721" s="3"/>
      <c r="T3721" s="3"/>
      <c r="U3721" s="3"/>
    </row>
    <row r="3722" spans="2:21" x14ac:dyDescent="0.25">
      <c r="B3722" s="2"/>
      <c r="C3722" s="2"/>
      <c r="D3722" s="4"/>
      <c r="E3722" s="4"/>
      <c r="F3722" s="4"/>
      <c r="Q3722" s="3"/>
      <c r="R3722" s="3"/>
      <c r="S3722" s="3"/>
      <c r="T3722" s="3"/>
      <c r="U3722" s="3"/>
    </row>
    <row r="3723" spans="2:21" x14ac:dyDescent="0.25">
      <c r="B3723" s="2"/>
      <c r="C3723" s="2"/>
      <c r="D3723" s="4"/>
      <c r="E3723" s="4"/>
      <c r="F3723" s="4"/>
      <c r="Q3723" s="3"/>
      <c r="R3723" s="3"/>
      <c r="S3723" s="3"/>
      <c r="T3723" s="3"/>
      <c r="U3723" s="3"/>
    </row>
    <row r="3724" spans="2:21" x14ac:dyDescent="0.25">
      <c r="B3724" s="2"/>
      <c r="C3724" s="2"/>
      <c r="D3724" s="4"/>
      <c r="E3724" s="4"/>
      <c r="F3724" s="4"/>
      <c r="Q3724" s="3"/>
      <c r="R3724" s="3"/>
      <c r="S3724" s="3"/>
      <c r="T3724" s="3"/>
      <c r="U3724" s="3"/>
    </row>
    <row r="3725" spans="2:21" x14ac:dyDescent="0.25">
      <c r="B3725" s="2"/>
      <c r="C3725" s="2"/>
      <c r="D3725" s="4"/>
      <c r="E3725" s="4"/>
      <c r="F3725" s="4"/>
      <c r="Q3725" s="3"/>
      <c r="R3725" s="3"/>
      <c r="S3725" s="3"/>
      <c r="T3725" s="3"/>
      <c r="U3725" s="3"/>
    </row>
    <row r="3726" spans="2:21" x14ac:dyDescent="0.25">
      <c r="B3726" s="2"/>
      <c r="C3726" s="2"/>
      <c r="D3726" s="4"/>
      <c r="E3726" s="4"/>
      <c r="F3726" s="4"/>
      <c r="Q3726" s="3"/>
      <c r="R3726" s="3"/>
      <c r="S3726" s="3"/>
      <c r="T3726" s="3"/>
      <c r="U3726" s="3"/>
    </row>
    <row r="3727" spans="2:21" x14ac:dyDescent="0.25">
      <c r="B3727" s="2"/>
      <c r="C3727" s="2"/>
      <c r="D3727" s="4"/>
      <c r="E3727" s="4"/>
      <c r="F3727" s="4"/>
      <c r="Q3727" s="3"/>
      <c r="R3727" s="3"/>
      <c r="S3727" s="3"/>
      <c r="T3727" s="3"/>
      <c r="U3727" s="3"/>
    </row>
    <row r="3728" spans="2:21" x14ac:dyDescent="0.25">
      <c r="B3728" s="2"/>
      <c r="C3728" s="2"/>
      <c r="D3728" s="4"/>
      <c r="E3728" s="4"/>
      <c r="F3728" s="4"/>
      <c r="Q3728" s="3"/>
      <c r="R3728" s="3"/>
      <c r="S3728" s="3"/>
      <c r="T3728" s="3"/>
      <c r="U3728" s="3"/>
    </row>
    <row r="3729" spans="2:21" x14ac:dyDescent="0.25">
      <c r="B3729" s="2"/>
      <c r="C3729" s="2"/>
      <c r="D3729" s="4"/>
      <c r="E3729" s="4"/>
      <c r="F3729" s="4"/>
      <c r="Q3729" s="3"/>
      <c r="R3729" s="3"/>
      <c r="S3729" s="3"/>
      <c r="T3729" s="3"/>
      <c r="U3729" s="3"/>
    </row>
    <row r="3730" spans="2:21" x14ac:dyDescent="0.25">
      <c r="B3730" s="2"/>
      <c r="C3730" s="2"/>
      <c r="D3730" s="4"/>
      <c r="E3730" s="4"/>
      <c r="F3730" s="4"/>
      <c r="Q3730" s="3"/>
      <c r="R3730" s="3"/>
      <c r="S3730" s="3"/>
      <c r="T3730" s="3"/>
      <c r="U3730" s="3"/>
    </row>
    <row r="3731" spans="2:21" x14ac:dyDescent="0.25">
      <c r="B3731" s="2"/>
      <c r="C3731" s="2"/>
      <c r="D3731" s="4"/>
      <c r="E3731" s="4"/>
      <c r="F3731" s="4"/>
      <c r="Q3731" s="3"/>
      <c r="R3731" s="3"/>
      <c r="S3731" s="3"/>
      <c r="T3731" s="3"/>
      <c r="U3731" s="3"/>
    </row>
    <row r="3732" spans="2:21" x14ac:dyDescent="0.25">
      <c r="B3732" s="2"/>
      <c r="C3732" s="2"/>
      <c r="D3732" s="4"/>
      <c r="E3732" s="4"/>
      <c r="F3732" s="4"/>
      <c r="Q3732" s="3"/>
      <c r="R3732" s="3"/>
      <c r="S3732" s="3"/>
      <c r="T3732" s="3"/>
      <c r="U3732" s="3"/>
    </row>
    <row r="3733" spans="2:21" x14ac:dyDescent="0.25">
      <c r="B3733" s="2"/>
      <c r="C3733" s="2"/>
      <c r="D3733" s="4"/>
      <c r="E3733" s="4"/>
      <c r="F3733" s="4"/>
      <c r="Q3733" s="3"/>
      <c r="R3733" s="3"/>
      <c r="S3733" s="3"/>
      <c r="T3733" s="3"/>
      <c r="U3733" s="3"/>
    </row>
    <row r="3734" spans="2:21" x14ac:dyDescent="0.25">
      <c r="B3734" s="2"/>
      <c r="C3734" s="2"/>
      <c r="D3734" s="4"/>
      <c r="E3734" s="4"/>
      <c r="F3734" s="4"/>
      <c r="Q3734" s="3"/>
      <c r="R3734" s="3"/>
      <c r="S3734" s="3"/>
      <c r="T3734" s="3"/>
      <c r="U3734" s="3"/>
    </row>
    <row r="3735" spans="2:21" x14ac:dyDescent="0.25">
      <c r="B3735" s="2"/>
      <c r="C3735" s="2"/>
      <c r="D3735" s="4"/>
      <c r="E3735" s="4"/>
      <c r="F3735" s="4"/>
      <c r="Q3735" s="3"/>
      <c r="R3735" s="3"/>
      <c r="S3735" s="3"/>
      <c r="T3735" s="3"/>
      <c r="U3735" s="3"/>
    </row>
    <row r="3736" spans="2:21" x14ac:dyDescent="0.25">
      <c r="B3736" s="2"/>
      <c r="C3736" s="2"/>
      <c r="D3736" s="4"/>
      <c r="E3736" s="4"/>
      <c r="F3736" s="4"/>
      <c r="Q3736" s="3"/>
      <c r="R3736" s="3"/>
      <c r="S3736" s="3"/>
      <c r="T3736" s="3"/>
      <c r="U3736" s="3"/>
    </row>
    <row r="3737" spans="2:21" x14ac:dyDescent="0.25">
      <c r="B3737" s="2"/>
      <c r="C3737" s="2"/>
      <c r="D3737" s="4"/>
      <c r="E3737" s="4"/>
      <c r="F3737" s="4"/>
      <c r="Q3737" s="3"/>
      <c r="R3737" s="3"/>
      <c r="S3737" s="3"/>
      <c r="T3737" s="3"/>
      <c r="U3737" s="3"/>
    </row>
    <row r="3738" spans="2:21" x14ac:dyDescent="0.25">
      <c r="B3738" s="2"/>
      <c r="C3738" s="2"/>
      <c r="D3738" s="4"/>
      <c r="E3738" s="4"/>
      <c r="F3738" s="4"/>
      <c r="Q3738" s="3"/>
      <c r="R3738" s="3"/>
      <c r="S3738" s="3"/>
      <c r="T3738" s="3"/>
      <c r="U3738" s="3"/>
    </row>
    <row r="3739" spans="2:21" x14ac:dyDescent="0.25">
      <c r="B3739" s="2"/>
      <c r="C3739" s="2"/>
      <c r="D3739" s="4"/>
      <c r="E3739" s="4"/>
      <c r="F3739" s="4"/>
      <c r="Q3739" s="3"/>
      <c r="R3739" s="3"/>
      <c r="S3739" s="3"/>
      <c r="T3739" s="3"/>
      <c r="U3739" s="3"/>
    </row>
    <row r="3740" spans="2:21" x14ac:dyDescent="0.25">
      <c r="B3740" s="2"/>
      <c r="C3740" s="2"/>
      <c r="D3740" s="4"/>
      <c r="E3740" s="4"/>
      <c r="F3740" s="4"/>
      <c r="Q3740" s="3"/>
      <c r="R3740" s="3"/>
      <c r="S3740" s="3"/>
      <c r="T3740" s="3"/>
      <c r="U3740" s="3"/>
    </row>
    <row r="3741" spans="2:21" x14ac:dyDescent="0.25">
      <c r="B3741" s="2"/>
      <c r="C3741" s="2"/>
      <c r="D3741" s="4"/>
      <c r="E3741" s="4"/>
      <c r="F3741" s="4"/>
      <c r="Q3741" s="3"/>
      <c r="R3741" s="3"/>
      <c r="S3741" s="3"/>
      <c r="T3741" s="3"/>
      <c r="U3741" s="3"/>
    </row>
    <row r="3742" spans="2:21" x14ac:dyDescent="0.25">
      <c r="B3742" s="2"/>
      <c r="C3742" s="2"/>
      <c r="D3742" s="4"/>
      <c r="E3742" s="4"/>
      <c r="F3742" s="4"/>
      <c r="Q3742" s="3"/>
      <c r="R3742" s="3"/>
      <c r="S3742" s="3"/>
      <c r="T3742" s="3"/>
      <c r="U3742" s="3"/>
    </row>
    <row r="3743" spans="2:21" x14ac:dyDescent="0.25">
      <c r="B3743" s="2"/>
      <c r="C3743" s="2"/>
      <c r="D3743" s="4"/>
      <c r="E3743" s="4"/>
      <c r="F3743" s="4"/>
      <c r="Q3743" s="3"/>
      <c r="R3743" s="3"/>
      <c r="S3743" s="3"/>
      <c r="T3743" s="3"/>
      <c r="U3743" s="3"/>
    </row>
    <row r="3744" spans="2:21" x14ac:dyDescent="0.25">
      <c r="B3744" s="2"/>
      <c r="C3744" s="2"/>
      <c r="D3744" s="4"/>
      <c r="E3744" s="4"/>
      <c r="F3744" s="4"/>
      <c r="Q3744" s="3"/>
      <c r="R3744" s="3"/>
      <c r="S3744" s="3"/>
      <c r="T3744" s="3"/>
      <c r="U3744" s="3"/>
    </row>
    <row r="3745" spans="2:21" x14ac:dyDescent="0.25">
      <c r="B3745" s="2"/>
      <c r="C3745" s="2"/>
      <c r="D3745" s="4"/>
      <c r="E3745" s="4"/>
      <c r="F3745" s="4"/>
      <c r="Q3745" s="3"/>
      <c r="R3745" s="3"/>
      <c r="S3745" s="3"/>
      <c r="T3745" s="3"/>
      <c r="U3745" s="3"/>
    </row>
    <row r="3746" spans="2:21" x14ac:dyDescent="0.25">
      <c r="B3746" s="2"/>
      <c r="C3746" s="2"/>
      <c r="D3746" s="4"/>
      <c r="E3746" s="4"/>
      <c r="F3746" s="4"/>
      <c r="Q3746" s="3"/>
      <c r="R3746" s="3"/>
      <c r="S3746" s="3"/>
      <c r="T3746" s="3"/>
      <c r="U3746" s="3"/>
    </row>
    <row r="3747" spans="2:21" x14ac:dyDescent="0.25">
      <c r="B3747" s="2"/>
      <c r="C3747" s="2"/>
      <c r="D3747" s="4"/>
      <c r="E3747" s="4"/>
      <c r="F3747" s="4"/>
      <c r="Q3747" s="3"/>
      <c r="R3747" s="3"/>
      <c r="S3747" s="3"/>
      <c r="T3747" s="3"/>
      <c r="U3747" s="3"/>
    </row>
    <row r="3748" spans="2:21" x14ac:dyDescent="0.25">
      <c r="B3748" s="2"/>
      <c r="C3748" s="2"/>
      <c r="D3748" s="4"/>
      <c r="E3748" s="4"/>
      <c r="F3748" s="4"/>
      <c r="Q3748" s="3"/>
      <c r="R3748" s="3"/>
      <c r="S3748" s="3"/>
      <c r="T3748" s="3"/>
      <c r="U3748" s="3"/>
    </row>
    <row r="3749" spans="2:21" x14ac:dyDescent="0.25">
      <c r="B3749" s="2"/>
      <c r="C3749" s="2"/>
      <c r="D3749" s="4"/>
      <c r="E3749" s="4"/>
      <c r="F3749" s="4"/>
      <c r="Q3749" s="3"/>
      <c r="R3749" s="3"/>
      <c r="S3749" s="3"/>
      <c r="T3749" s="3"/>
      <c r="U3749" s="3"/>
    </row>
    <row r="3750" spans="2:21" x14ac:dyDescent="0.25">
      <c r="B3750" s="2"/>
      <c r="C3750" s="2"/>
      <c r="D3750" s="4"/>
      <c r="E3750" s="4"/>
      <c r="F3750" s="4"/>
      <c r="Q3750" s="3"/>
      <c r="R3750" s="3"/>
      <c r="S3750" s="3"/>
      <c r="T3750" s="3"/>
      <c r="U3750" s="3"/>
    </row>
    <row r="3751" spans="2:21" x14ac:dyDescent="0.25">
      <c r="B3751" s="2"/>
      <c r="C3751" s="2"/>
      <c r="D3751" s="4"/>
      <c r="E3751" s="4"/>
      <c r="F3751" s="4"/>
      <c r="Q3751" s="3"/>
      <c r="R3751" s="3"/>
      <c r="S3751" s="3"/>
      <c r="T3751" s="3"/>
      <c r="U3751" s="3"/>
    </row>
    <row r="3752" spans="2:21" x14ac:dyDescent="0.25">
      <c r="B3752" s="2"/>
      <c r="C3752" s="2"/>
      <c r="D3752" s="4"/>
      <c r="E3752" s="4"/>
      <c r="F3752" s="4"/>
      <c r="Q3752" s="3"/>
      <c r="R3752" s="3"/>
      <c r="S3752" s="3"/>
      <c r="T3752" s="3"/>
      <c r="U3752" s="3"/>
    </row>
    <row r="3753" spans="2:21" x14ac:dyDescent="0.25">
      <c r="B3753" s="2"/>
      <c r="C3753" s="2"/>
      <c r="D3753" s="4"/>
      <c r="E3753" s="4"/>
      <c r="F3753" s="4"/>
      <c r="Q3753" s="3"/>
      <c r="R3753" s="3"/>
      <c r="S3753" s="3"/>
      <c r="T3753" s="3"/>
      <c r="U3753" s="3"/>
    </row>
    <row r="3754" spans="2:21" x14ac:dyDescent="0.25">
      <c r="B3754" s="2"/>
      <c r="C3754" s="2"/>
      <c r="D3754" s="4"/>
      <c r="E3754" s="4"/>
      <c r="F3754" s="4"/>
      <c r="Q3754" s="3"/>
      <c r="R3754" s="3"/>
      <c r="S3754" s="3"/>
      <c r="T3754" s="3"/>
      <c r="U3754" s="3"/>
    </row>
    <row r="3755" spans="2:21" x14ac:dyDescent="0.25">
      <c r="B3755" s="2"/>
      <c r="C3755" s="2"/>
      <c r="D3755" s="4"/>
      <c r="E3755" s="4"/>
      <c r="F3755" s="4"/>
      <c r="Q3755" s="3"/>
      <c r="R3755" s="3"/>
      <c r="S3755" s="3"/>
      <c r="T3755" s="3"/>
      <c r="U3755" s="3"/>
    </row>
    <row r="3756" spans="2:21" x14ac:dyDescent="0.25">
      <c r="B3756" s="2"/>
      <c r="C3756" s="2"/>
      <c r="D3756" s="4"/>
      <c r="E3756" s="4"/>
      <c r="F3756" s="4"/>
      <c r="Q3756" s="3"/>
      <c r="R3756" s="3"/>
      <c r="S3756" s="3"/>
      <c r="T3756" s="3"/>
      <c r="U3756" s="3"/>
    </row>
    <row r="3757" spans="2:21" x14ac:dyDescent="0.25">
      <c r="B3757" s="2"/>
      <c r="C3757" s="2"/>
      <c r="D3757" s="4"/>
      <c r="E3757" s="4"/>
      <c r="F3757" s="4"/>
      <c r="Q3757" s="3"/>
      <c r="R3757" s="3"/>
      <c r="S3757" s="3"/>
      <c r="T3757" s="3"/>
      <c r="U3757" s="3"/>
    </row>
    <row r="3758" spans="2:21" x14ac:dyDescent="0.25">
      <c r="B3758" s="2"/>
      <c r="C3758" s="2"/>
      <c r="D3758" s="4"/>
      <c r="E3758" s="4"/>
      <c r="F3758" s="4"/>
      <c r="Q3758" s="3"/>
      <c r="R3758" s="3"/>
      <c r="S3758" s="3"/>
      <c r="T3758" s="3"/>
      <c r="U3758" s="3"/>
    </row>
    <row r="3759" spans="2:21" x14ac:dyDescent="0.25">
      <c r="B3759" s="2"/>
      <c r="C3759" s="2"/>
      <c r="D3759" s="4"/>
      <c r="E3759" s="4"/>
      <c r="F3759" s="4"/>
      <c r="Q3759" s="3"/>
      <c r="R3759" s="3"/>
      <c r="S3759" s="3"/>
      <c r="T3759" s="3"/>
      <c r="U3759" s="3"/>
    </row>
    <row r="3760" spans="2:21" x14ac:dyDescent="0.25">
      <c r="B3760" s="2"/>
      <c r="C3760" s="2"/>
      <c r="D3760" s="4"/>
      <c r="E3760" s="4"/>
      <c r="F3760" s="4"/>
      <c r="Q3760" s="3"/>
      <c r="R3760" s="3"/>
      <c r="S3760" s="3"/>
      <c r="T3760" s="3"/>
      <c r="U3760" s="3"/>
    </row>
    <row r="3761" spans="2:21" x14ac:dyDescent="0.25">
      <c r="B3761" s="2"/>
      <c r="C3761" s="2"/>
      <c r="D3761" s="4"/>
      <c r="E3761" s="4"/>
      <c r="F3761" s="4"/>
      <c r="Q3761" s="3"/>
      <c r="R3761" s="3"/>
      <c r="S3761" s="3"/>
      <c r="T3761" s="3"/>
      <c r="U3761" s="3"/>
    </row>
    <row r="3762" spans="2:21" x14ac:dyDescent="0.25">
      <c r="B3762" s="2"/>
      <c r="C3762" s="2"/>
      <c r="D3762" s="4"/>
      <c r="E3762" s="4"/>
      <c r="F3762" s="4"/>
      <c r="Q3762" s="3"/>
      <c r="R3762" s="3"/>
      <c r="S3762" s="3"/>
      <c r="T3762" s="3"/>
      <c r="U3762" s="3"/>
    </row>
    <row r="3763" spans="2:21" x14ac:dyDescent="0.25">
      <c r="B3763" s="2"/>
      <c r="C3763" s="2"/>
      <c r="D3763" s="4"/>
      <c r="E3763" s="4"/>
      <c r="F3763" s="4"/>
      <c r="Q3763" s="3"/>
      <c r="R3763" s="3"/>
      <c r="S3763" s="3"/>
      <c r="T3763" s="3"/>
      <c r="U3763" s="3"/>
    </row>
    <row r="3764" spans="2:21" x14ac:dyDescent="0.25">
      <c r="B3764" s="2"/>
      <c r="C3764" s="2"/>
      <c r="D3764" s="4"/>
      <c r="E3764" s="4"/>
      <c r="F3764" s="4"/>
      <c r="Q3764" s="3"/>
      <c r="R3764" s="3"/>
      <c r="S3764" s="3"/>
      <c r="T3764" s="3"/>
      <c r="U3764" s="3"/>
    </row>
    <row r="3765" spans="2:21" x14ac:dyDescent="0.25">
      <c r="B3765" s="2"/>
      <c r="C3765" s="2"/>
      <c r="D3765" s="4"/>
      <c r="E3765" s="4"/>
      <c r="F3765" s="4"/>
      <c r="Q3765" s="3"/>
      <c r="R3765" s="3"/>
      <c r="S3765" s="3"/>
      <c r="T3765" s="3"/>
      <c r="U3765" s="3"/>
    </row>
    <row r="3766" spans="2:21" x14ac:dyDescent="0.25">
      <c r="B3766" s="2"/>
      <c r="C3766" s="2"/>
      <c r="D3766" s="4"/>
      <c r="E3766" s="4"/>
      <c r="F3766" s="4"/>
      <c r="Q3766" s="3"/>
      <c r="R3766" s="3"/>
      <c r="S3766" s="3"/>
      <c r="T3766" s="3"/>
      <c r="U3766" s="3"/>
    </row>
    <row r="3767" spans="2:21" x14ac:dyDescent="0.25">
      <c r="B3767" s="2"/>
      <c r="C3767" s="2"/>
      <c r="D3767" s="4"/>
      <c r="E3767" s="4"/>
      <c r="F3767" s="4"/>
      <c r="Q3767" s="3"/>
      <c r="R3767" s="3"/>
      <c r="S3767" s="3"/>
      <c r="T3767" s="3"/>
      <c r="U3767" s="3"/>
    </row>
    <row r="3768" spans="2:21" x14ac:dyDescent="0.25">
      <c r="B3768" s="2"/>
      <c r="C3768" s="2"/>
      <c r="D3768" s="4"/>
      <c r="E3768" s="4"/>
      <c r="F3768" s="4"/>
      <c r="Q3768" s="3"/>
      <c r="R3768" s="3"/>
      <c r="S3768" s="3"/>
      <c r="T3768" s="3"/>
      <c r="U3768" s="3"/>
    </row>
    <row r="3769" spans="2:21" x14ac:dyDescent="0.25">
      <c r="B3769" s="2"/>
      <c r="C3769" s="2"/>
      <c r="D3769" s="4"/>
      <c r="E3769" s="4"/>
      <c r="F3769" s="4"/>
      <c r="Q3769" s="3"/>
      <c r="R3769" s="3"/>
      <c r="S3769" s="3"/>
      <c r="T3769" s="3"/>
      <c r="U3769" s="3"/>
    </row>
    <row r="3770" spans="2:21" x14ac:dyDescent="0.25">
      <c r="B3770" s="2"/>
      <c r="C3770" s="2"/>
      <c r="D3770" s="4"/>
      <c r="E3770" s="4"/>
      <c r="F3770" s="4"/>
      <c r="Q3770" s="3"/>
      <c r="R3770" s="3"/>
      <c r="S3770" s="3"/>
      <c r="T3770" s="3"/>
      <c r="U3770" s="3"/>
    </row>
    <row r="3771" spans="2:21" x14ac:dyDescent="0.25">
      <c r="B3771" s="2"/>
      <c r="C3771" s="2"/>
      <c r="D3771" s="4"/>
      <c r="E3771" s="4"/>
      <c r="F3771" s="4"/>
      <c r="Q3771" s="3"/>
      <c r="R3771" s="3"/>
      <c r="S3771" s="3"/>
      <c r="T3771" s="3"/>
      <c r="U3771" s="3"/>
    </row>
    <row r="3772" spans="2:21" x14ac:dyDescent="0.25">
      <c r="B3772" s="2"/>
      <c r="C3772" s="2"/>
      <c r="D3772" s="4"/>
      <c r="E3772" s="4"/>
      <c r="F3772" s="4"/>
      <c r="Q3772" s="3"/>
      <c r="R3772" s="3"/>
      <c r="S3772" s="3"/>
      <c r="T3772" s="3"/>
      <c r="U3772" s="3"/>
    </row>
    <row r="3773" spans="2:21" x14ac:dyDescent="0.25">
      <c r="B3773" s="2"/>
      <c r="C3773" s="2"/>
      <c r="D3773" s="4"/>
      <c r="E3773" s="4"/>
      <c r="F3773" s="4"/>
      <c r="Q3773" s="3"/>
      <c r="R3773" s="3"/>
      <c r="S3773" s="3"/>
      <c r="T3773" s="3"/>
      <c r="U3773" s="3"/>
    </row>
    <row r="3774" spans="2:21" x14ac:dyDescent="0.25">
      <c r="B3774" s="2"/>
      <c r="C3774" s="2"/>
      <c r="D3774" s="4"/>
      <c r="E3774" s="4"/>
      <c r="F3774" s="4"/>
      <c r="Q3774" s="3"/>
      <c r="R3774" s="3"/>
      <c r="S3774" s="3"/>
      <c r="T3774" s="3"/>
      <c r="U3774" s="3"/>
    </row>
    <row r="3775" spans="2:21" x14ac:dyDescent="0.25">
      <c r="B3775" s="2"/>
      <c r="C3775" s="2"/>
      <c r="D3775" s="4"/>
      <c r="E3775" s="4"/>
      <c r="F3775" s="4"/>
      <c r="Q3775" s="3"/>
      <c r="R3775" s="3"/>
      <c r="S3775" s="3"/>
      <c r="T3775" s="3"/>
      <c r="U3775" s="3"/>
    </row>
    <row r="3776" spans="2:21" x14ac:dyDescent="0.25">
      <c r="B3776" s="2"/>
      <c r="C3776" s="2"/>
      <c r="D3776" s="4"/>
      <c r="E3776" s="4"/>
      <c r="F3776" s="4"/>
      <c r="Q3776" s="3"/>
      <c r="R3776" s="3"/>
      <c r="S3776" s="3"/>
      <c r="T3776" s="3"/>
      <c r="U3776" s="3"/>
    </row>
    <row r="3777" spans="2:21" x14ac:dyDescent="0.25">
      <c r="B3777" s="2"/>
      <c r="C3777" s="2"/>
      <c r="D3777" s="4"/>
      <c r="E3777" s="4"/>
      <c r="F3777" s="4"/>
      <c r="Q3777" s="3"/>
      <c r="R3777" s="3"/>
      <c r="S3777" s="3"/>
      <c r="T3777" s="3"/>
      <c r="U3777" s="3"/>
    </row>
    <row r="3778" spans="2:21" x14ac:dyDescent="0.25">
      <c r="B3778" s="2"/>
      <c r="C3778" s="2"/>
      <c r="D3778" s="4"/>
      <c r="E3778" s="4"/>
      <c r="F3778" s="4"/>
      <c r="Q3778" s="3"/>
      <c r="R3778" s="3"/>
      <c r="S3778" s="3"/>
      <c r="T3778" s="3"/>
      <c r="U3778" s="3"/>
    </row>
    <row r="3779" spans="2:21" x14ac:dyDescent="0.25">
      <c r="B3779" s="2"/>
      <c r="C3779" s="2"/>
      <c r="D3779" s="4"/>
      <c r="E3779" s="4"/>
      <c r="F3779" s="4"/>
      <c r="Q3779" s="3"/>
      <c r="R3779" s="3"/>
      <c r="S3779" s="3"/>
      <c r="T3779" s="3"/>
      <c r="U3779" s="3"/>
    </row>
    <row r="3780" spans="2:21" x14ac:dyDescent="0.25">
      <c r="B3780" s="2"/>
      <c r="C3780" s="2"/>
      <c r="D3780" s="4"/>
      <c r="E3780" s="4"/>
      <c r="F3780" s="4"/>
      <c r="Q3780" s="3"/>
      <c r="R3780" s="3"/>
      <c r="S3780" s="3"/>
      <c r="T3780" s="3"/>
      <c r="U3780" s="3"/>
    </row>
    <row r="3781" spans="2:21" x14ac:dyDescent="0.25">
      <c r="B3781" s="2"/>
      <c r="C3781" s="2"/>
      <c r="D3781" s="4"/>
      <c r="E3781" s="4"/>
      <c r="F3781" s="4"/>
      <c r="Q3781" s="3"/>
      <c r="R3781" s="3"/>
      <c r="S3781" s="3"/>
      <c r="T3781" s="3"/>
      <c r="U3781" s="3"/>
    </row>
    <row r="3782" spans="2:21" x14ac:dyDescent="0.25">
      <c r="B3782" s="2"/>
      <c r="C3782" s="2"/>
      <c r="D3782" s="4"/>
      <c r="E3782" s="4"/>
      <c r="F3782" s="4"/>
      <c r="Q3782" s="3"/>
      <c r="R3782" s="3"/>
      <c r="S3782" s="3"/>
      <c r="T3782" s="3"/>
      <c r="U3782" s="3"/>
    </row>
    <row r="3783" spans="2:21" x14ac:dyDescent="0.25">
      <c r="B3783" s="2"/>
      <c r="C3783" s="2"/>
      <c r="D3783" s="4"/>
      <c r="E3783" s="4"/>
      <c r="F3783" s="4"/>
      <c r="Q3783" s="3"/>
      <c r="R3783" s="3"/>
      <c r="S3783" s="3"/>
      <c r="T3783" s="3"/>
      <c r="U3783" s="3"/>
    </row>
    <row r="3784" spans="2:21" x14ac:dyDescent="0.25">
      <c r="B3784" s="2"/>
      <c r="C3784" s="2"/>
      <c r="D3784" s="4"/>
      <c r="E3784" s="4"/>
      <c r="F3784" s="4"/>
      <c r="Q3784" s="3"/>
      <c r="R3784" s="3"/>
      <c r="S3784" s="3"/>
      <c r="T3784" s="3"/>
      <c r="U3784" s="3"/>
    </row>
    <row r="3785" spans="2:21" x14ac:dyDescent="0.25">
      <c r="B3785" s="2"/>
      <c r="C3785" s="2"/>
      <c r="D3785" s="4"/>
      <c r="E3785" s="4"/>
      <c r="F3785" s="4"/>
      <c r="Q3785" s="3"/>
      <c r="R3785" s="3"/>
      <c r="S3785" s="3"/>
      <c r="T3785" s="3"/>
      <c r="U3785" s="3"/>
    </row>
    <row r="3786" spans="2:21" x14ac:dyDescent="0.25">
      <c r="B3786" s="2"/>
      <c r="C3786" s="2"/>
      <c r="D3786" s="4"/>
      <c r="E3786" s="4"/>
      <c r="F3786" s="4"/>
      <c r="Q3786" s="3"/>
      <c r="R3786" s="3"/>
      <c r="S3786" s="3"/>
      <c r="T3786" s="3"/>
      <c r="U3786" s="3"/>
    </row>
    <row r="3787" spans="2:21" x14ac:dyDescent="0.25">
      <c r="B3787" s="2"/>
      <c r="C3787" s="2"/>
      <c r="D3787" s="4"/>
      <c r="E3787" s="4"/>
      <c r="F3787" s="4"/>
      <c r="Q3787" s="3"/>
      <c r="R3787" s="3"/>
      <c r="S3787" s="3"/>
      <c r="T3787" s="3"/>
      <c r="U3787" s="3"/>
    </row>
    <row r="3788" spans="2:21" x14ac:dyDescent="0.25">
      <c r="B3788" s="2"/>
      <c r="C3788" s="2"/>
      <c r="D3788" s="4"/>
      <c r="E3788" s="4"/>
      <c r="F3788" s="4"/>
      <c r="Q3788" s="3"/>
      <c r="R3788" s="3"/>
      <c r="S3788" s="3"/>
      <c r="T3788" s="3"/>
      <c r="U3788" s="3"/>
    </row>
    <row r="3789" spans="2:21" x14ac:dyDescent="0.25">
      <c r="B3789" s="2"/>
      <c r="C3789" s="2"/>
      <c r="D3789" s="4"/>
      <c r="E3789" s="4"/>
      <c r="F3789" s="4"/>
      <c r="Q3789" s="3"/>
      <c r="R3789" s="3"/>
      <c r="S3789" s="3"/>
      <c r="T3789" s="3"/>
      <c r="U3789" s="3"/>
    </row>
    <row r="3790" spans="2:21" x14ac:dyDescent="0.25">
      <c r="B3790" s="2"/>
      <c r="C3790" s="2"/>
      <c r="D3790" s="4"/>
      <c r="E3790" s="4"/>
      <c r="F3790" s="4"/>
      <c r="Q3790" s="3"/>
      <c r="R3790" s="3"/>
      <c r="S3790" s="3"/>
      <c r="T3790" s="3"/>
      <c r="U3790" s="3"/>
    </row>
    <row r="3791" spans="2:21" x14ac:dyDescent="0.25">
      <c r="B3791" s="2"/>
      <c r="C3791" s="2"/>
      <c r="D3791" s="4"/>
      <c r="E3791" s="4"/>
      <c r="F3791" s="4"/>
      <c r="Q3791" s="3"/>
      <c r="R3791" s="3"/>
      <c r="S3791" s="3"/>
      <c r="T3791" s="3"/>
      <c r="U3791" s="3"/>
    </row>
    <row r="3792" spans="2:21" x14ac:dyDescent="0.25">
      <c r="B3792" s="2"/>
      <c r="C3792" s="2"/>
      <c r="D3792" s="4"/>
      <c r="E3792" s="4"/>
      <c r="F3792" s="4"/>
      <c r="Q3792" s="3"/>
      <c r="R3792" s="3"/>
      <c r="S3792" s="3"/>
      <c r="T3792" s="3"/>
      <c r="U3792" s="3"/>
    </row>
    <row r="3793" spans="2:21" x14ac:dyDescent="0.25">
      <c r="B3793" s="2"/>
      <c r="C3793" s="2"/>
      <c r="D3793" s="4"/>
      <c r="E3793" s="4"/>
      <c r="F3793" s="4"/>
      <c r="Q3793" s="3"/>
      <c r="R3793" s="3"/>
      <c r="S3793" s="3"/>
      <c r="T3793" s="3"/>
      <c r="U3793" s="3"/>
    </row>
    <row r="3794" spans="2:21" x14ac:dyDescent="0.25">
      <c r="B3794" s="2"/>
      <c r="C3794" s="2"/>
      <c r="D3794" s="4"/>
      <c r="E3794" s="4"/>
      <c r="F3794" s="4"/>
      <c r="Q3794" s="3"/>
      <c r="R3794" s="3"/>
      <c r="S3794" s="3"/>
      <c r="T3794" s="3"/>
      <c r="U3794" s="3"/>
    </row>
    <row r="3795" spans="2:21" x14ac:dyDescent="0.25">
      <c r="B3795" s="2"/>
      <c r="C3795" s="2"/>
      <c r="D3795" s="4"/>
      <c r="E3795" s="4"/>
      <c r="F3795" s="4"/>
      <c r="Q3795" s="3"/>
      <c r="R3795" s="3"/>
      <c r="S3795" s="3"/>
      <c r="T3795" s="3"/>
      <c r="U3795" s="3"/>
    </row>
    <row r="3796" spans="2:21" x14ac:dyDescent="0.25">
      <c r="B3796" s="2"/>
      <c r="C3796" s="2"/>
      <c r="D3796" s="4"/>
      <c r="E3796" s="4"/>
      <c r="F3796" s="4"/>
      <c r="Q3796" s="3"/>
      <c r="R3796" s="3"/>
      <c r="S3796" s="3"/>
      <c r="T3796" s="3"/>
      <c r="U3796" s="3"/>
    </row>
    <row r="3797" spans="2:21" x14ac:dyDescent="0.25">
      <c r="B3797" s="2"/>
      <c r="C3797" s="2"/>
      <c r="D3797" s="4"/>
      <c r="E3797" s="4"/>
      <c r="F3797" s="4"/>
      <c r="Q3797" s="3"/>
      <c r="R3797" s="3"/>
      <c r="S3797" s="3"/>
      <c r="T3797" s="3"/>
      <c r="U3797" s="3"/>
    </row>
    <row r="3798" spans="2:21" x14ac:dyDescent="0.25">
      <c r="B3798" s="2"/>
      <c r="C3798" s="2"/>
      <c r="D3798" s="4"/>
      <c r="E3798" s="4"/>
      <c r="F3798" s="4"/>
      <c r="Q3798" s="3"/>
      <c r="R3798" s="3"/>
      <c r="S3798" s="3"/>
      <c r="T3798" s="3"/>
      <c r="U3798" s="3"/>
    </row>
    <row r="3799" spans="2:21" x14ac:dyDescent="0.25">
      <c r="B3799" s="2"/>
      <c r="C3799" s="2"/>
      <c r="D3799" s="4"/>
      <c r="E3799" s="4"/>
      <c r="F3799" s="4"/>
      <c r="Q3799" s="3"/>
      <c r="R3799" s="3"/>
      <c r="S3799" s="3"/>
      <c r="T3799" s="3"/>
      <c r="U3799" s="3"/>
    </row>
    <row r="3800" spans="2:21" x14ac:dyDescent="0.25">
      <c r="B3800" s="2"/>
      <c r="C3800" s="2"/>
      <c r="D3800" s="4"/>
      <c r="E3800" s="4"/>
      <c r="F3800" s="4"/>
      <c r="Q3800" s="3"/>
      <c r="R3800" s="3"/>
      <c r="S3800" s="3"/>
      <c r="T3800" s="3"/>
      <c r="U3800" s="3"/>
    </row>
    <row r="3801" spans="2:21" x14ac:dyDescent="0.25">
      <c r="B3801" s="2"/>
      <c r="C3801" s="2"/>
      <c r="D3801" s="4"/>
      <c r="E3801" s="4"/>
      <c r="F3801" s="4"/>
      <c r="Q3801" s="3"/>
      <c r="R3801" s="3"/>
      <c r="S3801" s="3"/>
      <c r="T3801" s="3"/>
      <c r="U3801" s="3"/>
    </row>
    <row r="3802" spans="2:21" x14ac:dyDescent="0.25">
      <c r="B3802" s="2"/>
      <c r="C3802" s="2"/>
      <c r="D3802" s="4"/>
      <c r="E3802" s="4"/>
      <c r="F3802" s="4"/>
      <c r="Q3802" s="3"/>
      <c r="R3802" s="3"/>
      <c r="S3802" s="3"/>
      <c r="T3802" s="3"/>
      <c r="U3802" s="3"/>
    </row>
    <row r="3803" spans="2:21" x14ac:dyDescent="0.25">
      <c r="B3803" s="2"/>
      <c r="C3803" s="2"/>
      <c r="D3803" s="4"/>
      <c r="E3803" s="4"/>
      <c r="F3803" s="4"/>
      <c r="Q3803" s="3"/>
      <c r="R3803" s="3"/>
      <c r="S3803" s="3"/>
      <c r="T3803" s="3"/>
      <c r="U3803" s="3"/>
    </row>
    <row r="3804" spans="2:21" x14ac:dyDescent="0.25">
      <c r="B3804" s="2"/>
      <c r="C3804" s="2"/>
      <c r="D3804" s="4"/>
      <c r="E3804" s="4"/>
      <c r="F3804" s="4"/>
      <c r="Q3804" s="3"/>
      <c r="R3804" s="3"/>
      <c r="S3804" s="3"/>
      <c r="T3804" s="3"/>
      <c r="U3804" s="3"/>
    </row>
    <row r="3805" spans="2:21" x14ac:dyDescent="0.25">
      <c r="B3805" s="2"/>
      <c r="C3805" s="2"/>
      <c r="D3805" s="4"/>
      <c r="E3805" s="4"/>
      <c r="F3805" s="4"/>
      <c r="Q3805" s="3"/>
      <c r="R3805" s="3"/>
      <c r="S3805" s="3"/>
      <c r="T3805" s="3"/>
      <c r="U3805" s="3"/>
    </row>
    <row r="3806" spans="2:21" x14ac:dyDescent="0.25">
      <c r="B3806" s="2"/>
      <c r="C3806" s="2"/>
      <c r="D3806" s="4"/>
      <c r="E3806" s="4"/>
      <c r="F3806" s="4"/>
      <c r="Q3806" s="3"/>
      <c r="R3806" s="3"/>
      <c r="S3806" s="3"/>
      <c r="T3806" s="3"/>
      <c r="U3806" s="3"/>
    </row>
    <row r="3807" spans="2:21" x14ac:dyDescent="0.25">
      <c r="B3807" s="2"/>
      <c r="C3807" s="2"/>
      <c r="D3807" s="4"/>
      <c r="E3807" s="4"/>
      <c r="F3807" s="4"/>
      <c r="Q3807" s="3"/>
      <c r="R3807" s="3"/>
      <c r="S3807" s="3"/>
      <c r="T3807" s="3"/>
      <c r="U3807" s="3"/>
    </row>
    <row r="3808" spans="2:21" x14ac:dyDescent="0.25">
      <c r="B3808" s="2"/>
      <c r="C3808" s="2"/>
      <c r="D3808" s="4"/>
      <c r="E3808" s="4"/>
      <c r="F3808" s="4"/>
      <c r="Q3808" s="3"/>
      <c r="R3808" s="3"/>
      <c r="S3808" s="3"/>
      <c r="T3808" s="3"/>
      <c r="U3808" s="3"/>
    </row>
    <row r="3809" spans="2:21" x14ac:dyDescent="0.25">
      <c r="B3809" s="2"/>
      <c r="C3809" s="2"/>
      <c r="D3809" s="4"/>
      <c r="E3809" s="4"/>
      <c r="F3809" s="4"/>
      <c r="Q3809" s="3"/>
      <c r="R3809" s="3"/>
      <c r="S3809" s="3"/>
      <c r="T3809" s="3"/>
      <c r="U3809" s="3"/>
    </row>
    <row r="3810" spans="2:21" x14ac:dyDescent="0.25">
      <c r="B3810" s="2"/>
      <c r="C3810" s="2"/>
      <c r="D3810" s="4"/>
      <c r="E3810" s="4"/>
      <c r="F3810" s="4"/>
      <c r="Q3810" s="3"/>
      <c r="R3810" s="3"/>
      <c r="S3810" s="3"/>
      <c r="T3810" s="3"/>
      <c r="U3810" s="3"/>
    </row>
    <row r="3811" spans="2:21" x14ac:dyDescent="0.25">
      <c r="B3811" s="2"/>
      <c r="C3811" s="2"/>
      <c r="D3811" s="4"/>
      <c r="E3811" s="4"/>
      <c r="F3811" s="4"/>
      <c r="Q3811" s="3"/>
      <c r="R3811" s="3"/>
      <c r="S3811" s="3"/>
      <c r="T3811" s="3"/>
      <c r="U3811" s="3"/>
    </row>
    <row r="3812" spans="2:21" x14ac:dyDescent="0.25">
      <c r="B3812" s="2"/>
      <c r="C3812" s="2"/>
      <c r="D3812" s="4"/>
      <c r="E3812" s="4"/>
      <c r="F3812" s="4"/>
      <c r="Q3812" s="3"/>
      <c r="R3812" s="3"/>
      <c r="S3812" s="3"/>
      <c r="T3812" s="3"/>
      <c r="U3812" s="3"/>
    </row>
    <row r="3813" spans="2:21" x14ac:dyDescent="0.25">
      <c r="B3813" s="2"/>
      <c r="C3813" s="2"/>
      <c r="D3813" s="4"/>
      <c r="E3813" s="4"/>
      <c r="F3813" s="4"/>
      <c r="Q3813" s="3"/>
      <c r="R3813" s="3"/>
      <c r="S3813" s="3"/>
      <c r="T3813" s="3"/>
      <c r="U3813" s="3"/>
    </row>
    <row r="3814" spans="2:21" x14ac:dyDescent="0.25">
      <c r="B3814" s="2"/>
      <c r="C3814" s="2"/>
      <c r="D3814" s="4"/>
      <c r="E3814" s="4"/>
      <c r="F3814" s="4"/>
      <c r="Q3814" s="3"/>
      <c r="R3814" s="3"/>
      <c r="S3814" s="3"/>
      <c r="T3814" s="3"/>
      <c r="U3814" s="3"/>
    </row>
    <row r="3815" spans="2:21" x14ac:dyDescent="0.25">
      <c r="B3815" s="2"/>
      <c r="C3815" s="2"/>
      <c r="D3815" s="4"/>
      <c r="E3815" s="4"/>
      <c r="F3815" s="4"/>
      <c r="Q3815" s="3"/>
      <c r="R3815" s="3"/>
      <c r="S3815" s="3"/>
      <c r="T3815" s="3"/>
      <c r="U3815" s="3"/>
    </row>
    <row r="3816" spans="2:21" x14ac:dyDescent="0.25">
      <c r="B3816" s="2"/>
      <c r="C3816" s="2"/>
      <c r="D3816" s="4"/>
      <c r="E3816" s="4"/>
      <c r="F3816" s="4"/>
      <c r="Q3816" s="3"/>
      <c r="R3816" s="3"/>
      <c r="S3816" s="3"/>
      <c r="T3816" s="3"/>
      <c r="U3816" s="3"/>
    </row>
    <row r="3817" spans="2:21" x14ac:dyDescent="0.25">
      <c r="B3817" s="2"/>
      <c r="C3817" s="2"/>
      <c r="D3817" s="4"/>
      <c r="E3817" s="4"/>
      <c r="F3817" s="4"/>
      <c r="Q3817" s="3"/>
      <c r="R3817" s="3"/>
      <c r="S3817" s="3"/>
      <c r="T3817" s="3"/>
      <c r="U3817" s="3"/>
    </row>
    <row r="3818" spans="2:21" x14ac:dyDescent="0.25">
      <c r="B3818" s="2"/>
      <c r="C3818" s="2"/>
      <c r="D3818" s="4"/>
      <c r="E3818" s="4"/>
      <c r="F3818" s="4"/>
      <c r="Q3818" s="3"/>
      <c r="R3818" s="3"/>
      <c r="S3818" s="3"/>
      <c r="T3818" s="3"/>
      <c r="U3818" s="3"/>
    </row>
    <row r="3819" spans="2:21" x14ac:dyDescent="0.25">
      <c r="B3819" s="2"/>
      <c r="C3819" s="2"/>
      <c r="D3819" s="4"/>
      <c r="E3819" s="4"/>
      <c r="F3819" s="4"/>
      <c r="Q3819" s="3"/>
      <c r="R3819" s="3"/>
      <c r="S3819" s="3"/>
      <c r="T3819" s="3"/>
      <c r="U3819" s="3"/>
    </row>
    <row r="3820" spans="2:21" x14ac:dyDescent="0.25">
      <c r="B3820" s="2"/>
      <c r="C3820" s="2"/>
      <c r="D3820" s="4"/>
      <c r="E3820" s="4"/>
      <c r="F3820" s="4"/>
      <c r="Q3820" s="3"/>
      <c r="R3820" s="3"/>
      <c r="S3820" s="3"/>
      <c r="T3820" s="3"/>
      <c r="U3820" s="3"/>
    </row>
    <row r="3821" spans="2:21" x14ac:dyDescent="0.25">
      <c r="B3821" s="2"/>
      <c r="C3821" s="2"/>
      <c r="D3821" s="4"/>
      <c r="E3821" s="4"/>
      <c r="F3821" s="4"/>
      <c r="Q3821" s="3"/>
      <c r="R3821" s="3"/>
      <c r="S3821" s="3"/>
      <c r="T3821" s="3"/>
      <c r="U3821" s="3"/>
    </row>
    <row r="3822" spans="2:21" x14ac:dyDescent="0.25">
      <c r="B3822" s="2"/>
      <c r="C3822" s="2"/>
      <c r="D3822" s="4"/>
      <c r="E3822" s="4"/>
      <c r="F3822" s="4"/>
      <c r="Q3822" s="3"/>
      <c r="R3822" s="3"/>
      <c r="S3822" s="3"/>
      <c r="T3822" s="3"/>
      <c r="U3822" s="3"/>
    </row>
    <row r="3823" spans="2:21" x14ac:dyDescent="0.25">
      <c r="B3823" s="2"/>
      <c r="C3823" s="2"/>
      <c r="D3823" s="4"/>
      <c r="E3823" s="4"/>
      <c r="F3823" s="4"/>
      <c r="Q3823" s="3"/>
      <c r="R3823" s="3"/>
      <c r="S3823" s="3"/>
      <c r="T3823" s="3"/>
      <c r="U3823" s="3"/>
    </row>
    <row r="3824" spans="2:21" x14ac:dyDescent="0.25">
      <c r="B3824" s="2"/>
      <c r="C3824" s="2"/>
      <c r="D3824" s="4"/>
      <c r="E3824" s="4"/>
      <c r="F3824" s="4"/>
      <c r="Q3824" s="3"/>
      <c r="R3824" s="3"/>
      <c r="S3824" s="3"/>
      <c r="T3824" s="3"/>
      <c r="U3824" s="3"/>
    </row>
    <row r="3825" spans="2:21" x14ac:dyDescent="0.25">
      <c r="B3825" s="2"/>
      <c r="C3825" s="2"/>
      <c r="D3825" s="4"/>
      <c r="E3825" s="4"/>
      <c r="F3825" s="4"/>
      <c r="Q3825" s="3"/>
      <c r="R3825" s="3"/>
      <c r="S3825" s="3"/>
      <c r="T3825" s="3"/>
      <c r="U3825" s="3"/>
    </row>
    <row r="3826" spans="2:21" x14ac:dyDescent="0.25">
      <c r="B3826" s="2"/>
      <c r="C3826" s="2"/>
      <c r="D3826" s="4"/>
      <c r="E3826" s="4"/>
      <c r="F3826" s="4"/>
      <c r="Q3826" s="3"/>
      <c r="R3826" s="3"/>
      <c r="S3826" s="3"/>
      <c r="T3826" s="3"/>
      <c r="U3826" s="3"/>
    </row>
    <row r="3827" spans="2:21" x14ac:dyDescent="0.25">
      <c r="B3827" s="2"/>
      <c r="C3827" s="2"/>
      <c r="D3827" s="4"/>
      <c r="E3827" s="4"/>
      <c r="F3827" s="4"/>
      <c r="Q3827" s="3"/>
      <c r="R3827" s="3"/>
      <c r="S3827" s="3"/>
      <c r="T3827" s="3"/>
      <c r="U3827" s="3"/>
    </row>
    <row r="3828" spans="2:21" x14ac:dyDescent="0.25">
      <c r="B3828" s="2"/>
      <c r="C3828" s="2"/>
      <c r="D3828" s="4"/>
      <c r="E3828" s="4"/>
      <c r="F3828" s="4"/>
      <c r="Q3828" s="3"/>
      <c r="R3828" s="3"/>
      <c r="S3828" s="3"/>
      <c r="T3828" s="3"/>
      <c r="U3828" s="3"/>
    </row>
    <row r="3829" spans="2:21" x14ac:dyDescent="0.25">
      <c r="B3829" s="2"/>
      <c r="C3829" s="2"/>
      <c r="D3829" s="4"/>
      <c r="E3829" s="4"/>
      <c r="F3829" s="4"/>
      <c r="Q3829" s="3"/>
      <c r="R3829" s="3"/>
      <c r="S3829" s="3"/>
      <c r="T3829" s="3"/>
      <c r="U3829" s="3"/>
    </row>
    <row r="3830" spans="2:21" x14ac:dyDescent="0.25">
      <c r="B3830" s="2"/>
      <c r="C3830" s="2"/>
      <c r="D3830" s="4"/>
      <c r="E3830" s="4"/>
      <c r="F3830" s="4"/>
      <c r="Q3830" s="3"/>
      <c r="R3830" s="3"/>
      <c r="S3830" s="3"/>
      <c r="T3830" s="3"/>
      <c r="U3830" s="3"/>
    </row>
    <row r="3831" spans="2:21" x14ac:dyDescent="0.25">
      <c r="B3831" s="2"/>
      <c r="C3831" s="2"/>
      <c r="D3831" s="4"/>
      <c r="E3831" s="4"/>
      <c r="F3831" s="4"/>
      <c r="Q3831" s="3"/>
      <c r="R3831" s="3"/>
      <c r="S3831" s="3"/>
      <c r="T3831" s="3"/>
      <c r="U3831" s="3"/>
    </row>
    <row r="3832" spans="2:21" x14ac:dyDescent="0.25">
      <c r="B3832" s="2"/>
      <c r="C3832" s="2"/>
      <c r="D3832" s="4"/>
      <c r="E3832" s="4"/>
      <c r="F3832" s="4"/>
      <c r="Q3832" s="3"/>
      <c r="R3832" s="3"/>
      <c r="S3832" s="3"/>
      <c r="T3832" s="3"/>
      <c r="U3832" s="3"/>
    </row>
    <row r="3833" spans="2:21" x14ac:dyDescent="0.25">
      <c r="B3833" s="2"/>
      <c r="C3833" s="2"/>
      <c r="D3833" s="4"/>
      <c r="E3833" s="4"/>
      <c r="F3833" s="4"/>
      <c r="Q3833" s="3"/>
      <c r="R3833" s="3"/>
      <c r="S3833" s="3"/>
      <c r="T3833" s="3"/>
      <c r="U3833" s="3"/>
    </row>
    <row r="3834" spans="2:21" x14ac:dyDescent="0.25">
      <c r="B3834" s="2"/>
      <c r="C3834" s="2"/>
      <c r="D3834" s="4"/>
      <c r="E3834" s="4"/>
      <c r="F3834" s="4"/>
      <c r="Q3834" s="3"/>
      <c r="R3834" s="3"/>
      <c r="S3834" s="3"/>
      <c r="T3834" s="3"/>
      <c r="U3834" s="3"/>
    </row>
    <row r="3835" spans="2:21" x14ac:dyDescent="0.25">
      <c r="B3835" s="2"/>
      <c r="C3835" s="2"/>
      <c r="D3835" s="4"/>
      <c r="E3835" s="4"/>
      <c r="F3835" s="4"/>
      <c r="Q3835" s="3"/>
      <c r="R3835" s="3"/>
      <c r="S3835" s="3"/>
      <c r="T3835" s="3"/>
      <c r="U3835" s="3"/>
    </row>
    <row r="3836" spans="2:21" x14ac:dyDescent="0.25">
      <c r="B3836" s="2"/>
      <c r="C3836" s="2"/>
      <c r="D3836" s="4"/>
      <c r="E3836" s="4"/>
      <c r="F3836" s="4"/>
      <c r="Q3836" s="3"/>
      <c r="R3836" s="3"/>
      <c r="S3836" s="3"/>
      <c r="T3836" s="3"/>
      <c r="U3836" s="3"/>
    </row>
    <row r="3837" spans="2:21" x14ac:dyDescent="0.25">
      <c r="B3837" s="2"/>
      <c r="C3837" s="2"/>
      <c r="D3837" s="4"/>
      <c r="E3837" s="4"/>
      <c r="F3837" s="4"/>
      <c r="Q3837" s="3"/>
      <c r="R3837" s="3"/>
      <c r="S3837" s="3"/>
      <c r="T3837" s="3"/>
      <c r="U3837" s="3"/>
    </row>
    <row r="3838" spans="2:21" x14ac:dyDescent="0.25">
      <c r="B3838" s="2"/>
      <c r="C3838" s="2"/>
      <c r="D3838" s="4"/>
      <c r="E3838" s="4"/>
      <c r="F3838" s="4"/>
      <c r="Q3838" s="3"/>
      <c r="R3838" s="3"/>
      <c r="S3838" s="3"/>
      <c r="T3838" s="3"/>
      <c r="U3838" s="3"/>
    </row>
    <row r="3839" spans="2:21" x14ac:dyDescent="0.25">
      <c r="B3839" s="2"/>
      <c r="C3839" s="2"/>
      <c r="D3839" s="4"/>
      <c r="E3839" s="4"/>
      <c r="F3839" s="4"/>
      <c r="Q3839" s="3"/>
      <c r="R3839" s="3"/>
      <c r="S3839" s="3"/>
      <c r="T3839" s="3"/>
      <c r="U3839" s="3"/>
    </row>
    <row r="3840" spans="2:21" x14ac:dyDescent="0.25">
      <c r="B3840" s="2"/>
      <c r="C3840" s="2"/>
      <c r="D3840" s="4"/>
      <c r="E3840" s="4"/>
      <c r="F3840" s="4"/>
      <c r="Q3840" s="3"/>
      <c r="R3840" s="3"/>
      <c r="S3840" s="3"/>
      <c r="T3840" s="3"/>
      <c r="U3840" s="3"/>
    </row>
    <row r="3841" spans="2:21" x14ac:dyDescent="0.25">
      <c r="B3841" s="2"/>
      <c r="C3841" s="2"/>
      <c r="D3841" s="4"/>
      <c r="E3841" s="4"/>
      <c r="F3841" s="4"/>
      <c r="Q3841" s="3"/>
      <c r="R3841" s="3"/>
      <c r="S3841" s="3"/>
      <c r="T3841" s="3"/>
      <c r="U3841" s="3"/>
    </row>
    <row r="3842" spans="2:21" x14ac:dyDescent="0.25">
      <c r="B3842" s="2"/>
      <c r="C3842" s="2"/>
      <c r="D3842" s="4"/>
      <c r="E3842" s="4"/>
      <c r="F3842" s="4"/>
      <c r="Q3842" s="3"/>
      <c r="R3842" s="3"/>
      <c r="S3842" s="3"/>
      <c r="T3842" s="3"/>
      <c r="U3842" s="3"/>
    </row>
    <row r="3843" spans="2:21" x14ac:dyDescent="0.25">
      <c r="B3843" s="2"/>
      <c r="C3843" s="2"/>
      <c r="D3843" s="4"/>
      <c r="E3843" s="4"/>
      <c r="F3843" s="4"/>
      <c r="Q3843" s="3"/>
      <c r="R3843" s="3"/>
      <c r="S3843" s="3"/>
      <c r="T3843" s="3"/>
      <c r="U3843" s="3"/>
    </row>
    <row r="3844" spans="2:21" x14ac:dyDescent="0.25">
      <c r="B3844" s="2"/>
      <c r="C3844" s="2"/>
      <c r="D3844" s="4"/>
      <c r="E3844" s="4"/>
      <c r="F3844" s="4"/>
      <c r="Q3844" s="3"/>
      <c r="R3844" s="3"/>
      <c r="S3844" s="3"/>
      <c r="T3844" s="3"/>
      <c r="U3844" s="3"/>
    </row>
    <row r="3845" spans="2:21" x14ac:dyDescent="0.25">
      <c r="B3845" s="2"/>
      <c r="C3845" s="2"/>
      <c r="D3845" s="4"/>
      <c r="E3845" s="4"/>
      <c r="F3845" s="4"/>
      <c r="Q3845" s="3"/>
      <c r="R3845" s="3"/>
      <c r="S3845" s="3"/>
      <c r="T3845" s="3"/>
      <c r="U3845" s="3"/>
    </row>
    <row r="3846" spans="2:21" x14ac:dyDescent="0.25">
      <c r="B3846" s="2"/>
      <c r="C3846" s="2"/>
      <c r="D3846" s="4"/>
      <c r="E3846" s="4"/>
      <c r="F3846" s="4"/>
      <c r="Q3846" s="3"/>
      <c r="R3846" s="3"/>
      <c r="S3846" s="3"/>
      <c r="T3846" s="3"/>
      <c r="U3846" s="3"/>
    </row>
    <row r="3847" spans="2:21" x14ac:dyDescent="0.25">
      <c r="B3847" s="2"/>
      <c r="C3847" s="2"/>
      <c r="D3847" s="4"/>
      <c r="E3847" s="4"/>
      <c r="F3847" s="4"/>
      <c r="Q3847" s="3"/>
      <c r="R3847" s="3"/>
      <c r="S3847" s="3"/>
      <c r="T3847" s="3"/>
      <c r="U3847" s="3"/>
    </row>
    <row r="3848" spans="2:21" x14ac:dyDescent="0.25">
      <c r="B3848" s="2"/>
      <c r="C3848" s="2"/>
      <c r="D3848" s="4"/>
      <c r="E3848" s="4"/>
      <c r="F3848" s="4"/>
      <c r="Q3848" s="3"/>
      <c r="R3848" s="3"/>
      <c r="S3848" s="3"/>
      <c r="T3848" s="3"/>
      <c r="U3848" s="3"/>
    </row>
    <row r="3849" spans="2:21" x14ac:dyDescent="0.25">
      <c r="B3849" s="2"/>
      <c r="C3849" s="2"/>
      <c r="D3849" s="4"/>
      <c r="E3849" s="4"/>
      <c r="F3849" s="4"/>
      <c r="Q3849" s="3"/>
      <c r="R3849" s="3"/>
      <c r="S3849" s="3"/>
      <c r="T3849" s="3"/>
      <c r="U3849" s="3"/>
    </row>
    <row r="3850" spans="2:21" x14ac:dyDescent="0.25">
      <c r="B3850" s="2"/>
      <c r="C3850" s="2"/>
      <c r="D3850" s="4"/>
      <c r="E3850" s="4"/>
      <c r="F3850" s="4"/>
      <c r="Q3850" s="3"/>
      <c r="R3850" s="3"/>
      <c r="S3850" s="3"/>
      <c r="T3850" s="3"/>
      <c r="U3850" s="3"/>
    </row>
    <row r="3851" spans="2:21" x14ac:dyDescent="0.25">
      <c r="B3851" s="2"/>
      <c r="C3851" s="2"/>
      <c r="D3851" s="4"/>
      <c r="E3851" s="4"/>
      <c r="F3851" s="4"/>
      <c r="Q3851" s="3"/>
      <c r="R3851" s="3"/>
      <c r="S3851" s="3"/>
      <c r="T3851" s="3"/>
      <c r="U3851" s="3"/>
    </row>
    <row r="3852" spans="2:21" x14ac:dyDescent="0.25">
      <c r="B3852" s="2"/>
      <c r="C3852" s="2"/>
      <c r="D3852" s="4"/>
      <c r="E3852" s="4"/>
      <c r="F3852" s="4"/>
      <c r="Q3852" s="3"/>
      <c r="R3852" s="3"/>
      <c r="S3852" s="3"/>
      <c r="T3852" s="3"/>
      <c r="U3852" s="3"/>
    </row>
    <row r="3853" spans="2:21" x14ac:dyDescent="0.25">
      <c r="B3853" s="2"/>
      <c r="C3853" s="2"/>
      <c r="D3853" s="4"/>
      <c r="E3853" s="4"/>
      <c r="F3853" s="4"/>
      <c r="Q3853" s="3"/>
      <c r="R3853" s="3"/>
      <c r="S3853" s="3"/>
      <c r="T3853" s="3"/>
      <c r="U3853" s="3"/>
    </row>
    <row r="3854" spans="2:21" x14ac:dyDescent="0.25">
      <c r="B3854" s="2"/>
      <c r="C3854" s="2"/>
      <c r="D3854" s="4"/>
      <c r="E3854" s="4"/>
      <c r="F3854" s="4"/>
      <c r="Q3854" s="3"/>
      <c r="R3854" s="3"/>
      <c r="S3854" s="3"/>
      <c r="T3854" s="3"/>
      <c r="U3854" s="3"/>
    </row>
    <row r="3855" spans="2:21" x14ac:dyDescent="0.25">
      <c r="B3855" s="2"/>
      <c r="C3855" s="2"/>
      <c r="D3855" s="4"/>
      <c r="E3855" s="4"/>
      <c r="F3855" s="4"/>
      <c r="Q3855" s="3"/>
      <c r="R3855" s="3"/>
      <c r="S3855" s="3"/>
      <c r="T3855" s="3"/>
      <c r="U3855" s="3"/>
    </row>
    <row r="3856" spans="2:21" x14ac:dyDescent="0.25">
      <c r="B3856" s="2"/>
      <c r="C3856" s="2"/>
      <c r="D3856" s="4"/>
      <c r="E3856" s="4"/>
      <c r="F3856" s="4"/>
      <c r="Q3856" s="3"/>
      <c r="R3856" s="3"/>
      <c r="S3856" s="3"/>
      <c r="T3856" s="3"/>
      <c r="U3856" s="3"/>
    </row>
    <row r="3857" spans="2:21" x14ac:dyDescent="0.25">
      <c r="B3857" s="2"/>
      <c r="C3857" s="2"/>
      <c r="D3857" s="4"/>
      <c r="E3857" s="4"/>
      <c r="F3857" s="4"/>
      <c r="Q3857" s="3"/>
      <c r="R3857" s="3"/>
      <c r="S3857" s="3"/>
      <c r="T3857" s="3"/>
      <c r="U3857" s="3"/>
    </row>
    <row r="3858" spans="2:21" x14ac:dyDescent="0.25">
      <c r="B3858" s="2"/>
      <c r="C3858" s="2"/>
      <c r="D3858" s="4"/>
      <c r="E3858" s="4"/>
      <c r="F3858" s="4"/>
      <c r="Q3858" s="3"/>
      <c r="R3858" s="3"/>
      <c r="S3858" s="3"/>
      <c r="T3858" s="3"/>
      <c r="U3858" s="3"/>
    </row>
    <row r="3859" spans="2:21" x14ac:dyDescent="0.25">
      <c r="B3859" s="2"/>
      <c r="C3859" s="2"/>
      <c r="D3859" s="4"/>
      <c r="E3859" s="4"/>
      <c r="F3859" s="4"/>
      <c r="Q3859" s="3"/>
      <c r="R3859" s="3"/>
      <c r="S3859" s="3"/>
      <c r="T3859" s="3"/>
      <c r="U3859" s="3"/>
    </row>
    <row r="3860" spans="2:21" x14ac:dyDescent="0.25">
      <c r="B3860" s="2"/>
      <c r="C3860" s="2"/>
      <c r="D3860" s="4"/>
      <c r="E3860" s="4"/>
      <c r="F3860" s="4"/>
      <c r="Q3860" s="3"/>
      <c r="R3860" s="3"/>
      <c r="S3860" s="3"/>
      <c r="T3860" s="3"/>
      <c r="U3860" s="3"/>
    </row>
    <row r="3861" spans="2:21" x14ac:dyDescent="0.25">
      <c r="B3861" s="2"/>
      <c r="C3861" s="2"/>
      <c r="D3861" s="4"/>
      <c r="E3861" s="4"/>
      <c r="F3861" s="4"/>
      <c r="Q3861" s="3"/>
      <c r="R3861" s="3"/>
      <c r="S3861" s="3"/>
      <c r="T3861" s="3"/>
      <c r="U3861" s="3"/>
    </row>
    <row r="3862" spans="2:21" x14ac:dyDescent="0.25">
      <c r="B3862" s="2"/>
      <c r="C3862" s="2"/>
      <c r="D3862" s="4"/>
      <c r="E3862" s="4"/>
      <c r="F3862" s="4"/>
      <c r="Q3862" s="3"/>
      <c r="R3862" s="3"/>
      <c r="S3862" s="3"/>
      <c r="T3862" s="3"/>
      <c r="U3862" s="3"/>
    </row>
    <row r="3863" spans="2:21" x14ac:dyDescent="0.25">
      <c r="B3863" s="2"/>
      <c r="C3863" s="2"/>
      <c r="D3863" s="4"/>
      <c r="E3863" s="4"/>
      <c r="F3863" s="4"/>
      <c r="Q3863" s="3"/>
      <c r="R3863" s="3"/>
      <c r="S3863" s="3"/>
      <c r="T3863" s="3"/>
      <c r="U3863" s="3"/>
    </row>
    <row r="3864" spans="2:21" x14ac:dyDescent="0.25">
      <c r="B3864" s="2"/>
      <c r="C3864" s="2"/>
      <c r="D3864" s="4"/>
      <c r="E3864" s="4"/>
      <c r="F3864" s="4"/>
      <c r="Q3864" s="3"/>
      <c r="R3864" s="3"/>
      <c r="S3864" s="3"/>
      <c r="T3864" s="3"/>
      <c r="U3864" s="3"/>
    </row>
    <row r="3865" spans="2:21" x14ac:dyDescent="0.25">
      <c r="B3865" s="2"/>
      <c r="C3865" s="2"/>
      <c r="D3865" s="4"/>
      <c r="E3865" s="4"/>
      <c r="F3865" s="4"/>
      <c r="Q3865" s="3"/>
      <c r="R3865" s="3"/>
      <c r="S3865" s="3"/>
      <c r="T3865" s="3"/>
      <c r="U3865" s="3"/>
    </row>
    <row r="3866" spans="2:21" x14ac:dyDescent="0.25">
      <c r="B3866" s="2"/>
      <c r="C3866" s="2"/>
      <c r="D3866" s="4"/>
      <c r="E3866" s="4"/>
      <c r="F3866" s="4"/>
      <c r="Q3866" s="3"/>
      <c r="R3866" s="3"/>
      <c r="S3866" s="3"/>
      <c r="T3866" s="3"/>
      <c r="U3866" s="3"/>
    </row>
    <row r="3867" spans="2:21" x14ac:dyDescent="0.25">
      <c r="B3867" s="2"/>
      <c r="C3867" s="2"/>
      <c r="D3867" s="4"/>
      <c r="E3867" s="4"/>
      <c r="F3867" s="4"/>
      <c r="Q3867" s="3"/>
      <c r="R3867" s="3"/>
      <c r="S3867" s="3"/>
      <c r="T3867" s="3"/>
      <c r="U3867" s="3"/>
    </row>
    <row r="3868" spans="2:21" x14ac:dyDescent="0.25">
      <c r="B3868" s="2"/>
      <c r="C3868" s="2"/>
      <c r="D3868" s="4"/>
      <c r="E3868" s="4"/>
      <c r="F3868" s="4"/>
      <c r="Q3868" s="3"/>
      <c r="R3868" s="3"/>
      <c r="S3868" s="3"/>
      <c r="T3868" s="3"/>
      <c r="U3868" s="3"/>
    </row>
    <row r="3869" spans="2:21" x14ac:dyDescent="0.25">
      <c r="B3869" s="2"/>
      <c r="C3869" s="2"/>
      <c r="D3869" s="4"/>
      <c r="E3869" s="4"/>
      <c r="F3869" s="4"/>
      <c r="Q3869" s="3"/>
      <c r="R3869" s="3"/>
      <c r="S3869" s="3"/>
      <c r="T3869" s="3"/>
      <c r="U3869" s="3"/>
    </row>
    <row r="3870" spans="2:21" x14ac:dyDescent="0.25">
      <c r="B3870" s="2"/>
      <c r="C3870" s="2"/>
      <c r="D3870" s="4"/>
      <c r="E3870" s="4"/>
      <c r="F3870" s="4"/>
      <c r="Q3870" s="3"/>
      <c r="R3870" s="3"/>
      <c r="S3870" s="3"/>
      <c r="T3870" s="3"/>
      <c r="U3870" s="3"/>
    </row>
    <row r="3871" spans="2:21" x14ac:dyDescent="0.25">
      <c r="B3871" s="2"/>
      <c r="C3871" s="2"/>
      <c r="D3871" s="4"/>
      <c r="E3871" s="4"/>
      <c r="F3871" s="4"/>
      <c r="Q3871" s="3"/>
      <c r="R3871" s="3"/>
      <c r="S3871" s="3"/>
      <c r="T3871" s="3"/>
      <c r="U3871" s="3"/>
    </row>
    <row r="3872" spans="2:21" x14ac:dyDescent="0.25">
      <c r="B3872" s="2"/>
      <c r="C3872" s="2"/>
      <c r="D3872" s="4"/>
      <c r="E3872" s="4"/>
      <c r="F3872" s="4"/>
      <c r="Q3872" s="3"/>
      <c r="R3872" s="3"/>
      <c r="S3872" s="3"/>
      <c r="T3872" s="3"/>
      <c r="U3872" s="3"/>
    </row>
    <row r="3873" spans="2:21" x14ac:dyDescent="0.25">
      <c r="B3873" s="2"/>
      <c r="C3873" s="2"/>
      <c r="D3873" s="4"/>
      <c r="E3873" s="4"/>
      <c r="F3873" s="4"/>
      <c r="Q3873" s="3"/>
      <c r="R3873" s="3"/>
      <c r="S3873" s="3"/>
      <c r="T3873" s="3"/>
      <c r="U3873" s="3"/>
    </row>
    <row r="3874" spans="2:21" x14ac:dyDescent="0.25">
      <c r="B3874" s="2"/>
      <c r="C3874" s="2"/>
      <c r="D3874" s="4"/>
      <c r="E3874" s="4"/>
      <c r="F3874" s="4"/>
      <c r="Q3874" s="3"/>
      <c r="R3874" s="3"/>
      <c r="S3874" s="3"/>
      <c r="T3874" s="3"/>
      <c r="U3874" s="3"/>
    </row>
    <row r="3875" spans="2:21" x14ac:dyDescent="0.25">
      <c r="B3875" s="2"/>
      <c r="C3875" s="2"/>
      <c r="D3875" s="4"/>
      <c r="E3875" s="4"/>
      <c r="F3875" s="4"/>
      <c r="Q3875" s="3"/>
      <c r="R3875" s="3"/>
      <c r="S3875" s="3"/>
      <c r="T3875" s="3"/>
      <c r="U3875" s="3"/>
    </row>
    <row r="3876" spans="2:21" x14ac:dyDescent="0.25">
      <c r="B3876" s="2"/>
      <c r="C3876" s="2"/>
      <c r="D3876" s="4"/>
      <c r="E3876" s="4"/>
      <c r="F3876" s="4"/>
      <c r="Q3876" s="3"/>
      <c r="R3876" s="3"/>
      <c r="S3876" s="3"/>
      <c r="T3876" s="3"/>
      <c r="U3876" s="3"/>
    </row>
    <row r="3877" spans="2:21" x14ac:dyDescent="0.25">
      <c r="B3877" s="2"/>
      <c r="C3877" s="2"/>
      <c r="D3877" s="4"/>
      <c r="E3877" s="4"/>
      <c r="F3877" s="4"/>
      <c r="Q3877" s="3"/>
      <c r="R3877" s="3"/>
      <c r="S3877" s="3"/>
      <c r="T3877" s="3"/>
      <c r="U3877" s="3"/>
    </row>
    <row r="3878" spans="2:21" x14ac:dyDescent="0.25">
      <c r="B3878" s="2"/>
      <c r="C3878" s="2"/>
      <c r="D3878" s="4"/>
      <c r="E3878" s="4"/>
      <c r="F3878" s="4"/>
      <c r="Q3878" s="3"/>
      <c r="R3878" s="3"/>
      <c r="S3878" s="3"/>
      <c r="T3878" s="3"/>
      <c r="U3878" s="3"/>
    </row>
    <row r="3879" spans="2:21" x14ac:dyDescent="0.25">
      <c r="B3879" s="2"/>
      <c r="C3879" s="2"/>
      <c r="D3879" s="4"/>
      <c r="E3879" s="4"/>
      <c r="F3879" s="4"/>
      <c r="Q3879" s="3"/>
      <c r="R3879" s="3"/>
      <c r="S3879" s="3"/>
      <c r="T3879" s="3"/>
      <c r="U3879" s="3"/>
    </row>
    <row r="3880" spans="2:21" x14ac:dyDescent="0.25">
      <c r="B3880" s="2"/>
      <c r="C3880" s="2"/>
      <c r="D3880" s="4"/>
      <c r="E3880" s="4"/>
      <c r="F3880" s="4"/>
      <c r="Q3880" s="3"/>
      <c r="R3880" s="3"/>
      <c r="S3880" s="3"/>
      <c r="T3880" s="3"/>
      <c r="U3880" s="3"/>
    </row>
    <row r="3881" spans="2:21" x14ac:dyDescent="0.25">
      <c r="B3881" s="2"/>
      <c r="C3881" s="2"/>
      <c r="D3881" s="4"/>
      <c r="E3881" s="4"/>
      <c r="F3881" s="4"/>
      <c r="Q3881" s="3"/>
      <c r="R3881" s="3"/>
      <c r="S3881" s="3"/>
      <c r="T3881" s="3"/>
      <c r="U3881" s="3"/>
    </row>
    <row r="3882" spans="2:21" x14ac:dyDescent="0.25">
      <c r="B3882" s="2"/>
      <c r="C3882" s="2"/>
      <c r="D3882" s="4"/>
      <c r="E3882" s="4"/>
      <c r="F3882" s="4"/>
      <c r="Q3882" s="3"/>
      <c r="R3882" s="3"/>
      <c r="S3882" s="3"/>
      <c r="T3882" s="3"/>
      <c r="U3882" s="3"/>
    </row>
    <row r="3883" spans="2:21" x14ac:dyDescent="0.25">
      <c r="B3883" s="2"/>
      <c r="C3883" s="2"/>
      <c r="D3883" s="4"/>
      <c r="E3883" s="4"/>
      <c r="F3883" s="4"/>
      <c r="Q3883" s="3"/>
      <c r="R3883" s="3"/>
      <c r="S3883" s="3"/>
      <c r="T3883" s="3"/>
      <c r="U3883" s="3"/>
    </row>
    <row r="3884" spans="2:21" x14ac:dyDescent="0.25">
      <c r="B3884" s="2"/>
      <c r="C3884" s="2"/>
      <c r="D3884" s="4"/>
      <c r="E3884" s="4"/>
      <c r="F3884" s="4"/>
      <c r="Q3884" s="3"/>
      <c r="R3884" s="3"/>
      <c r="S3884" s="3"/>
      <c r="T3884" s="3"/>
      <c r="U3884" s="3"/>
    </row>
    <row r="3885" spans="2:21" x14ac:dyDescent="0.25">
      <c r="B3885" s="2"/>
      <c r="C3885" s="2"/>
      <c r="D3885" s="4"/>
      <c r="E3885" s="4"/>
      <c r="F3885" s="4"/>
      <c r="Q3885" s="3"/>
      <c r="R3885" s="3"/>
      <c r="S3885" s="3"/>
      <c r="T3885" s="3"/>
      <c r="U3885" s="3"/>
    </row>
    <row r="3886" spans="2:21" x14ac:dyDescent="0.25">
      <c r="B3886" s="2"/>
      <c r="C3886" s="2"/>
      <c r="D3886" s="4"/>
      <c r="E3886" s="4"/>
      <c r="F3886" s="4"/>
      <c r="Q3886" s="3"/>
      <c r="R3886" s="3"/>
      <c r="S3886" s="3"/>
      <c r="T3886" s="3"/>
      <c r="U3886" s="3"/>
    </row>
    <row r="3887" spans="2:21" x14ac:dyDescent="0.25">
      <c r="B3887" s="2"/>
      <c r="C3887" s="2"/>
      <c r="D3887" s="4"/>
      <c r="E3887" s="4"/>
      <c r="F3887" s="4"/>
      <c r="Q3887" s="3"/>
      <c r="R3887" s="3"/>
      <c r="S3887" s="3"/>
      <c r="T3887" s="3"/>
      <c r="U3887" s="3"/>
    </row>
    <row r="3888" spans="2:21" x14ac:dyDescent="0.25">
      <c r="B3888" s="2"/>
      <c r="C3888" s="2"/>
      <c r="D3888" s="4"/>
      <c r="E3888" s="4"/>
      <c r="F3888" s="4"/>
      <c r="Q3888" s="3"/>
      <c r="R3888" s="3"/>
      <c r="S3888" s="3"/>
      <c r="T3888" s="3"/>
      <c r="U3888" s="3"/>
    </row>
    <row r="3889" spans="2:21" x14ac:dyDescent="0.25">
      <c r="B3889" s="2"/>
      <c r="C3889" s="2"/>
      <c r="D3889" s="4"/>
      <c r="E3889" s="4"/>
      <c r="F3889" s="4"/>
      <c r="Q3889" s="3"/>
      <c r="R3889" s="3"/>
      <c r="S3889" s="3"/>
      <c r="T3889" s="3"/>
      <c r="U3889" s="3"/>
    </row>
    <row r="3890" spans="2:21" x14ac:dyDescent="0.25">
      <c r="B3890" s="2"/>
      <c r="C3890" s="2"/>
      <c r="D3890" s="4"/>
      <c r="E3890" s="4"/>
      <c r="F3890" s="4"/>
      <c r="Q3890" s="3"/>
      <c r="R3890" s="3"/>
      <c r="S3890" s="3"/>
      <c r="T3890" s="3"/>
      <c r="U3890" s="3"/>
    </row>
    <row r="3891" spans="2:21" x14ac:dyDescent="0.25">
      <c r="B3891" s="2"/>
      <c r="C3891" s="2"/>
      <c r="D3891" s="4"/>
      <c r="E3891" s="4"/>
      <c r="F3891" s="4"/>
      <c r="Q3891" s="3"/>
      <c r="R3891" s="3"/>
      <c r="S3891" s="3"/>
      <c r="T3891" s="3"/>
      <c r="U3891" s="3"/>
    </row>
    <row r="3892" spans="2:21" x14ac:dyDescent="0.25">
      <c r="B3892" s="2"/>
      <c r="C3892" s="2"/>
      <c r="D3892" s="4"/>
      <c r="E3892" s="4"/>
      <c r="F3892" s="4"/>
      <c r="Q3892" s="3"/>
      <c r="R3892" s="3"/>
      <c r="S3892" s="3"/>
      <c r="T3892" s="3"/>
      <c r="U3892" s="3"/>
    </row>
    <row r="3893" spans="2:21" x14ac:dyDescent="0.25">
      <c r="B3893" s="2"/>
      <c r="C3893" s="2"/>
      <c r="D3893" s="4"/>
      <c r="E3893" s="4"/>
      <c r="F3893" s="4"/>
      <c r="Q3893" s="3"/>
      <c r="R3893" s="3"/>
      <c r="S3893" s="3"/>
      <c r="T3893" s="3"/>
      <c r="U3893" s="3"/>
    </row>
    <row r="3894" spans="2:21" x14ac:dyDescent="0.25">
      <c r="B3894" s="2"/>
      <c r="C3894" s="2"/>
      <c r="D3894" s="4"/>
      <c r="E3894" s="4"/>
      <c r="F3894" s="4"/>
      <c r="Q3894" s="3"/>
      <c r="R3894" s="3"/>
      <c r="S3894" s="3"/>
      <c r="T3894" s="3"/>
      <c r="U3894" s="3"/>
    </row>
    <row r="3895" spans="2:21" x14ac:dyDescent="0.25">
      <c r="B3895" s="2"/>
      <c r="C3895" s="2"/>
      <c r="D3895" s="4"/>
      <c r="E3895" s="4"/>
      <c r="F3895" s="4"/>
      <c r="Q3895" s="3"/>
      <c r="R3895" s="3"/>
      <c r="S3895" s="3"/>
      <c r="T3895" s="3"/>
      <c r="U3895" s="3"/>
    </row>
    <row r="3896" spans="2:21" x14ac:dyDescent="0.25">
      <c r="B3896" s="2"/>
      <c r="C3896" s="2"/>
      <c r="D3896" s="4"/>
      <c r="E3896" s="4"/>
      <c r="F3896" s="4"/>
      <c r="Q3896" s="3"/>
      <c r="R3896" s="3"/>
      <c r="S3896" s="3"/>
      <c r="T3896" s="3"/>
      <c r="U3896" s="3"/>
    </row>
    <row r="3897" spans="2:21" x14ac:dyDescent="0.25">
      <c r="B3897" s="2"/>
      <c r="C3897" s="2"/>
      <c r="D3897" s="4"/>
      <c r="E3897" s="4"/>
      <c r="F3897" s="4"/>
      <c r="Q3897" s="3"/>
      <c r="R3897" s="3"/>
      <c r="S3897" s="3"/>
      <c r="T3897" s="3"/>
      <c r="U3897" s="3"/>
    </row>
    <row r="3898" spans="2:21" x14ac:dyDescent="0.25">
      <c r="B3898" s="2"/>
      <c r="C3898" s="2"/>
      <c r="D3898" s="4"/>
      <c r="E3898" s="4"/>
      <c r="F3898" s="4"/>
      <c r="Q3898" s="3"/>
      <c r="R3898" s="3"/>
      <c r="S3898" s="3"/>
      <c r="T3898" s="3"/>
      <c r="U3898" s="3"/>
    </row>
    <row r="3899" spans="2:21" x14ac:dyDescent="0.25">
      <c r="B3899" s="2"/>
      <c r="C3899" s="2"/>
      <c r="D3899" s="4"/>
      <c r="E3899" s="4"/>
      <c r="F3899" s="4"/>
      <c r="Q3899" s="3"/>
      <c r="R3899" s="3"/>
      <c r="S3899" s="3"/>
      <c r="T3899" s="3"/>
      <c r="U3899" s="3"/>
    </row>
    <row r="3900" spans="2:21" x14ac:dyDescent="0.25">
      <c r="B3900" s="2"/>
      <c r="C3900" s="2"/>
      <c r="D3900" s="4"/>
      <c r="E3900" s="4"/>
      <c r="F3900" s="4"/>
      <c r="Q3900" s="3"/>
      <c r="R3900" s="3"/>
      <c r="S3900" s="3"/>
      <c r="T3900" s="3"/>
      <c r="U3900" s="3"/>
    </row>
    <row r="3901" spans="2:21" x14ac:dyDescent="0.25">
      <c r="B3901" s="2"/>
      <c r="C3901" s="2"/>
      <c r="D3901" s="4"/>
      <c r="E3901" s="4"/>
      <c r="F3901" s="4"/>
      <c r="Q3901" s="3"/>
      <c r="R3901" s="3"/>
      <c r="S3901" s="3"/>
      <c r="T3901" s="3"/>
      <c r="U3901" s="3"/>
    </row>
    <row r="3902" spans="2:21" x14ac:dyDescent="0.25">
      <c r="B3902" s="2"/>
      <c r="C3902" s="2"/>
      <c r="D3902" s="4"/>
      <c r="E3902" s="4"/>
      <c r="F3902" s="4"/>
      <c r="Q3902" s="3"/>
      <c r="R3902" s="3"/>
      <c r="S3902" s="3"/>
      <c r="T3902" s="3"/>
      <c r="U3902" s="3"/>
    </row>
    <row r="3903" spans="2:21" x14ac:dyDescent="0.25">
      <c r="B3903" s="2"/>
      <c r="C3903" s="2"/>
      <c r="D3903" s="4"/>
      <c r="E3903" s="4"/>
      <c r="F3903" s="4"/>
      <c r="Q3903" s="3"/>
      <c r="R3903" s="3"/>
      <c r="S3903" s="3"/>
      <c r="T3903" s="3"/>
      <c r="U3903" s="3"/>
    </row>
    <row r="3904" spans="2:21" x14ac:dyDescent="0.25">
      <c r="B3904" s="2"/>
      <c r="C3904" s="2"/>
      <c r="D3904" s="4"/>
      <c r="E3904" s="4"/>
      <c r="F3904" s="4"/>
      <c r="Q3904" s="3"/>
      <c r="R3904" s="3"/>
      <c r="S3904" s="3"/>
      <c r="T3904" s="3"/>
      <c r="U3904" s="3"/>
    </row>
    <row r="3905" spans="2:21" x14ac:dyDescent="0.25">
      <c r="B3905" s="2"/>
      <c r="C3905" s="2"/>
      <c r="D3905" s="4"/>
      <c r="E3905" s="4"/>
      <c r="F3905" s="4"/>
      <c r="Q3905" s="3"/>
      <c r="R3905" s="3"/>
      <c r="S3905" s="3"/>
      <c r="T3905" s="3"/>
      <c r="U3905" s="3"/>
    </row>
    <row r="3906" spans="2:21" x14ac:dyDescent="0.25">
      <c r="B3906" s="2"/>
      <c r="C3906" s="2"/>
      <c r="D3906" s="4"/>
      <c r="E3906" s="4"/>
      <c r="F3906" s="4"/>
      <c r="Q3906" s="3"/>
      <c r="R3906" s="3"/>
      <c r="S3906" s="3"/>
      <c r="T3906" s="3"/>
      <c r="U3906" s="3"/>
    </row>
    <row r="3907" spans="2:21" x14ac:dyDescent="0.25">
      <c r="B3907" s="2"/>
      <c r="C3907" s="2"/>
      <c r="D3907" s="4"/>
      <c r="E3907" s="4"/>
      <c r="F3907" s="4"/>
      <c r="Q3907" s="3"/>
      <c r="R3907" s="3"/>
      <c r="S3907" s="3"/>
      <c r="T3907" s="3"/>
      <c r="U3907" s="3"/>
    </row>
    <row r="3908" spans="2:21" x14ac:dyDescent="0.25">
      <c r="B3908" s="2"/>
      <c r="C3908" s="2"/>
      <c r="D3908" s="4"/>
      <c r="E3908" s="4"/>
      <c r="F3908" s="4"/>
      <c r="Q3908" s="3"/>
      <c r="R3908" s="3"/>
      <c r="S3908" s="3"/>
      <c r="T3908" s="3"/>
      <c r="U3908" s="3"/>
    </row>
    <row r="3909" spans="2:21" x14ac:dyDescent="0.25">
      <c r="B3909" s="2"/>
      <c r="C3909" s="2"/>
      <c r="D3909" s="4"/>
      <c r="E3909" s="4"/>
      <c r="F3909" s="4"/>
      <c r="Q3909" s="3"/>
      <c r="R3909" s="3"/>
      <c r="S3909" s="3"/>
      <c r="T3909" s="3"/>
      <c r="U3909" s="3"/>
    </row>
    <row r="3910" spans="2:21" x14ac:dyDescent="0.25">
      <c r="B3910" s="2"/>
      <c r="C3910" s="2"/>
      <c r="D3910" s="4"/>
      <c r="E3910" s="4"/>
      <c r="F3910" s="4"/>
      <c r="Q3910" s="3"/>
      <c r="R3910" s="3"/>
      <c r="S3910" s="3"/>
      <c r="T3910" s="3"/>
      <c r="U3910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19</xdr:col>
                    <xdr:colOff>476250</xdr:colOff>
                    <xdr:row>1</xdr:row>
                    <xdr:rowOff>38100</xdr:rowOff>
                  </from>
                  <to>
                    <xdr:col>20</xdr:col>
                    <xdr:colOff>466725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showGridLines="0" tabSelected="1" workbookViewId="0">
      <selection sqref="A1:E15"/>
    </sheetView>
  </sheetViews>
  <sheetFormatPr defaultRowHeight="16.5" x14ac:dyDescent="0.3"/>
  <cols>
    <col min="1" max="1" width="14.125" style="12" customWidth="1"/>
    <col min="2" max="2" width="8.75" style="12" customWidth="1"/>
    <col min="3" max="3" width="11.25" style="17" customWidth="1"/>
    <col min="4" max="4" width="9.75" style="12" customWidth="1"/>
    <col min="5" max="6" width="7.875" style="12" customWidth="1"/>
    <col min="7" max="7" width="18" style="12" customWidth="1"/>
    <col min="8" max="8" width="20.125" style="12" customWidth="1"/>
    <col min="9" max="9" width="9.25" style="6" customWidth="1"/>
    <col min="10" max="10" width="7.875" style="6" customWidth="1"/>
    <col min="11" max="20" width="9.875" style="6" bestFit="1" customWidth="1"/>
    <col min="21" max="21" width="9.25" style="6" bestFit="1" customWidth="1"/>
    <col min="22" max="16384" width="9" style="6"/>
  </cols>
  <sheetData>
    <row r="1" spans="1:9" x14ac:dyDescent="0.3">
      <c r="A1"/>
      <c r="B1"/>
    </row>
    <row r="2" spans="1:9" x14ac:dyDescent="0.3">
      <c r="A2" s="11" t="s">
        <v>43</v>
      </c>
      <c r="B2" s="15">
        <v>2024</v>
      </c>
    </row>
    <row r="3" spans="1:9" x14ac:dyDescent="0.3">
      <c r="A3" s="11" t="s">
        <v>125</v>
      </c>
      <c r="B3" s="10" t="s">
        <v>124</v>
      </c>
    </row>
    <row r="4" spans="1:9" x14ac:dyDescent="0.3">
      <c r="A4" s="11" t="s">
        <v>19</v>
      </c>
      <c r="B4" s="10" t="s">
        <v>121</v>
      </c>
    </row>
    <row r="5" spans="1:9" x14ac:dyDescent="0.3">
      <c r="A5" s="11" t="s">
        <v>9</v>
      </c>
      <c r="B5" s="10" t="s">
        <v>121</v>
      </c>
    </row>
    <row r="6" spans="1:9" x14ac:dyDescent="0.3">
      <c r="A6"/>
      <c r="B6"/>
      <c r="C6" s="18"/>
      <c r="D6"/>
      <c r="E6"/>
      <c r="I6"/>
    </row>
    <row r="7" spans="1:9" x14ac:dyDescent="0.3">
      <c r="A7" s="11" t="s">
        <v>22</v>
      </c>
      <c r="B7" s="10"/>
      <c r="C7" s="10"/>
      <c r="D7" s="11" t="s">
        <v>0</v>
      </c>
      <c r="E7" s="10"/>
      <c r="F7"/>
      <c r="G7"/>
      <c r="H7"/>
      <c r="I7"/>
    </row>
    <row r="8" spans="1:9" x14ac:dyDescent="0.3">
      <c r="A8" s="11" t="s">
        <v>122</v>
      </c>
      <c r="B8" s="11" t="s">
        <v>126</v>
      </c>
      <c r="C8" s="11" t="s">
        <v>17</v>
      </c>
      <c r="D8" s="10" t="s">
        <v>2</v>
      </c>
      <c r="E8" s="10" t="s">
        <v>21</v>
      </c>
      <c r="F8"/>
      <c r="G8"/>
      <c r="H8"/>
      <c r="I8"/>
    </row>
    <row r="9" spans="1:9" x14ac:dyDescent="0.3">
      <c r="A9" s="10" t="s">
        <v>123</v>
      </c>
      <c r="B9" s="20">
        <v>9</v>
      </c>
      <c r="C9" s="10" t="s">
        <v>31</v>
      </c>
      <c r="D9" s="16">
        <v>14380</v>
      </c>
      <c r="E9" s="16">
        <v>14380</v>
      </c>
      <c r="F9"/>
      <c r="G9"/>
      <c r="H9"/>
      <c r="I9"/>
    </row>
    <row r="10" spans="1:9" x14ac:dyDescent="0.3">
      <c r="A10" s="10"/>
      <c r="B10" s="20"/>
      <c r="C10" s="10" t="s">
        <v>32</v>
      </c>
      <c r="D10" s="16">
        <v>10320</v>
      </c>
      <c r="E10" s="16">
        <v>10320</v>
      </c>
      <c r="F10"/>
      <c r="G10"/>
      <c r="H10"/>
      <c r="I10"/>
    </row>
    <row r="11" spans="1:9" x14ac:dyDescent="0.3">
      <c r="A11" s="10"/>
      <c r="B11" s="20"/>
      <c r="C11" s="10" t="s">
        <v>36</v>
      </c>
      <c r="D11" s="16">
        <v>15430</v>
      </c>
      <c r="E11" s="16">
        <v>15430</v>
      </c>
      <c r="F11"/>
      <c r="G11"/>
      <c r="H11"/>
      <c r="I11"/>
    </row>
    <row r="12" spans="1:9" x14ac:dyDescent="0.3">
      <c r="A12" s="10"/>
      <c r="B12" s="20"/>
      <c r="C12" s="10" t="s">
        <v>34</v>
      </c>
      <c r="D12" s="16">
        <v>1865</v>
      </c>
      <c r="E12" s="16">
        <v>1865</v>
      </c>
      <c r="F12"/>
      <c r="G12"/>
      <c r="H12"/>
      <c r="I12"/>
    </row>
    <row r="13" spans="1:9" x14ac:dyDescent="0.3">
      <c r="A13" s="10"/>
      <c r="B13" s="20"/>
      <c r="C13" s="10" t="s">
        <v>33</v>
      </c>
      <c r="D13" s="16">
        <v>2040</v>
      </c>
      <c r="E13" s="16">
        <v>2040</v>
      </c>
      <c r="F13"/>
      <c r="G13"/>
      <c r="H13"/>
      <c r="I13"/>
    </row>
    <row r="14" spans="1:9" x14ac:dyDescent="0.3">
      <c r="A14" s="10" t="s">
        <v>21</v>
      </c>
      <c r="B14" s="10"/>
      <c r="C14" s="10"/>
      <c r="D14" s="16">
        <v>44035</v>
      </c>
      <c r="E14" s="16">
        <v>44035</v>
      </c>
      <c r="F14"/>
      <c r="G14"/>
      <c r="H14"/>
    </row>
    <row r="15" spans="1:9" x14ac:dyDescent="0.3">
      <c r="A15"/>
      <c r="B15"/>
      <c r="C15"/>
      <c r="D15"/>
      <c r="E15"/>
      <c r="F15"/>
      <c r="G15"/>
      <c r="H15"/>
    </row>
    <row r="16" spans="1:9" x14ac:dyDescent="0.3">
      <c r="A16"/>
      <c r="B16"/>
      <c r="C16"/>
      <c r="D16"/>
      <c r="E16"/>
      <c r="F16"/>
      <c r="G16"/>
      <c r="H16"/>
    </row>
    <row r="17" spans="1:9" x14ac:dyDescent="0.3">
      <c r="A17"/>
      <c r="B17"/>
      <c r="C17"/>
      <c r="D17"/>
      <c r="E17"/>
      <c r="F17"/>
      <c r="G17"/>
      <c r="H17"/>
    </row>
    <row r="18" spans="1:9" x14ac:dyDescent="0.3">
      <c r="A18"/>
      <c r="B18"/>
      <c r="C18"/>
      <c r="D18"/>
      <c r="E18"/>
      <c r="F18"/>
      <c r="G18"/>
      <c r="H18"/>
    </row>
    <row r="19" spans="1:9" x14ac:dyDescent="0.3">
      <c r="A19"/>
      <c r="B19"/>
      <c r="C19"/>
      <c r="D19"/>
      <c r="E19"/>
      <c r="F19"/>
      <c r="G19"/>
      <c r="H19"/>
    </row>
    <row r="20" spans="1:9" x14ac:dyDescent="0.3">
      <c r="A20"/>
      <c r="B20"/>
      <c r="C20"/>
      <c r="D20"/>
      <c r="E20"/>
      <c r="F20"/>
    </row>
    <row r="21" spans="1:9" x14ac:dyDescent="0.3">
      <c r="A21"/>
      <c r="B21"/>
      <c r="C21"/>
      <c r="D21"/>
      <c r="E21"/>
    </row>
    <row r="22" spans="1:9" x14ac:dyDescent="0.3">
      <c r="A22"/>
      <c r="B22"/>
      <c r="C22"/>
      <c r="D22"/>
      <c r="E22"/>
      <c r="F22" s="13"/>
      <c r="G22" s="13"/>
      <c r="I22" s="9"/>
    </row>
    <row r="24" spans="1:9" x14ac:dyDescent="0.3">
      <c r="C24" s="19"/>
      <c r="G24" s="14"/>
      <c r="H24" s="14"/>
      <c r="I24" s="8"/>
    </row>
    <row r="25" spans="1:9" x14ac:dyDescent="0.3">
      <c r="C25" s="19"/>
      <c r="G25" s="14"/>
      <c r="H25" s="14"/>
      <c r="I25" s="8"/>
    </row>
    <row r="26" spans="1:9" x14ac:dyDescent="0.3">
      <c r="C26" s="19"/>
      <c r="G26" s="14"/>
      <c r="H26" s="14"/>
      <c r="I26" s="8"/>
    </row>
    <row r="27" spans="1:9" x14ac:dyDescent="0.3">
      <c r="C27" s="19"/>
      <c r="G27" s="14"/>
      <c r="H27" s="14"/>
      <c r="I27" s="8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0"/>
  <sheetViews>
    <sheetView showGridLines="0" workbookViewId="0">
      <selection activeCell="A2" sqref="A2"/>
    </sheetView>
  </sheetViews>
  <sheetFormatPr defaultRowHeight="13.5" x14ac:dyDescent="0.25"/>
  <cols>
    <col min="1" max="1" width="11.375" style="6" customWidth="1"/>
    <col min="2" max="2" width="11.625" style="6" customWidth="1"/>
    <col min="3" max="3" width="6.75" style="6" customWidth="1"/>
    <col min="4" max="4" width="10.25" style="6" customWidth="1"/>
    <col min="5" max="6" width="9.875" style="6" customWidth="1"/>
    <col min="7" max="7" width="10.25" style="6" customWidth="1"/>
    <col min="8" max="8" width="7.875" style="6" customWidth="1"/>
    <col min="9" max="9" width="9.25" style="6" customWidth="1"/>
    <col min="10" max="10" width="7.875" style="6" customWidth="1"/>
    <col min="11" max="20" width="9.875" style="6" bestFit="1" customWidth="1"/>
    <col min="21" max="21" width="9.25" style="6" bestFit="1" customWidth="1"/>
    <col min="22" max="16384" width="9" style="6"/>
  </cols>
  <sheetData>
    <row r="1" spans="1:9" x14ac:dyDescent="0.25">
      <c r="A1" s="5" t="s">
        <v>43</v>
      </c>
      <c r="B1" s="1" t="s">
        <v>116</v>
      </c>
    </row>
    <row r="2" spans="1:9" x14ac:dyDescent="0.25">
      <c r="A2" s="5" t="s">
        <v>44</v>
      </c>
      <c r="B2" s="1" t="s">
        <v>116</v>
      </c>
    </row>
    <row r="3" spans="1:9" x14ac:dyDescent="0.25">
      <c r="A3" s="5" t="s">
        <v>19</v>
      </c>
      <c r="B3" s="1" t="s">
        <v>6</v>
      </c>
    </row>
    <row r="4" spans="1:9" x14ac:dyDescent="0.25">
      <c r="A4" s="5" t="s">
        <v>9</v>
      </c>
      <c r="B4" s="1" t="s">
        <v>116</v>
      </c>
    </row>
    <row r="6" spans="1:9" ht="16.5" x14ac:dyDescent="0.3">
      <c r="A6" s="5" t="s">
        <v>22</v>
      </c>
      <c r="B6" s="5" t="s">
        <v>0</v>
      </c>
      <c r="C6" s="5" t="s">
        <v>18</v>
      </c>
      <c r="D6"/>
      <c r="E6"/>
      <c r="F6"/>
      <c r="G6"/>
      <c r="H6"/>
      <c r="I6"/>
    </row>
    <row r="7" spans="1:9" ht="16.5" x14ac:dyDescent="0.3">
      <c r="A7" s="1"/>
      <c r="B7" s="1" t="s">
        <v>21</v>
      </c>
      <c r="C7" s="1"/>
      <c r="D7"/>
      <c r="E7"/>
      <c r="F7"/>
      <c r="G7"/>
      <c r="H7"/>
      <c r="I7"/>
    </row>
    <row r="8" spans="1:9" ht="16.5" x14ac:dyDescent="0.3">
      <c r="A8" s="5" t="s">
        <v>17</v>
      </c>
      <c r="B8" s="1"/>
      <c r="C8" s="1"/>
      <c r="D8"/>
      <c r="E8"/>
      <c r="F8"/>
      <c r="G8"/>
      <c r="H8"/>
      <c r="I8"/>
    </row>
    <row r="9" spans="1:9" ht="16.5" x14ac:dyDescent="0.3">
      <c r="A9" s="1" t="s">
        <v>21</v>
      </c>
      <c r="B9" s="3"/>
      <c r="C9" s="1"/>
      <c r="D9"/>
      <c r="E9"/>
      <c r="F9"/>
      <c r="G9"/>
      <c r="H9"/>
      <c r="I9"/>
    </row>
    <row r="10" spans="1:9" ht="16.5" x14ac:dyDescent="0.3">
      <c r="A10"/>
      <c r="B10"/>
      <c r="C10"/>
      <c r="D10"/>
      <c r="E10"/>
      <c r="F10"/>
      <c r="G10"/>
      <c r="H10"/>
      <c r="I10"/>
    </row>
    <row r="11" spans="1:9" ht="16.5" x14ac:dyDescent="0.3">
      <c r="A11"/>
      <c r="B11"/>
      <c r="C11"/>
      <c r="D11"/>
      <c r="E11"/>
      <c r="F11"/>
      <c r="G11"/>
      <c r="H11"/>
      <c r="I11"/>
    </row>
    <row r="12" spans="1:9" ht="16.5" x14ac:dyDescent="0.3">
      <c r="A12"/>
      <c r="B12"/>
      <c r="C12"/>
      <c r="D12"/>
      <c r="E12"/>
      <c r="F12"/>
      <c r="G12"/>
      <c r="H12"/>
      <c r="I12"/>
    </row>
    <row r="13" spans="1:9" ht="16.5" x14ac:dyDescent="0.3">
      <c r="A13"/>
      <c r="B13"/>
      <c r="C13"/>
      <c r="D13"/>
      <c r="E13"/>
      <c r="F13"/>
      <c r="G13"/>
      <c r="H13"/>
      <c r="I13"/>
    </row>
    <row r="15" spans="1:9" x14ac:dyDescent="0.25">
      <c r="B15" s="9" t="e">
        <f>B13/$H$13</f>
        <v>#DIV/0!</v>
      </c>
      <c r="C15" s="9" t="e">
        <f t="shared" ref="C15:H15" si="0">C13/$H$13</f>
        <v>#DIV/0!</v>
      </c>
      <c r="D15" s="9" t="e">
        <f t="shared" si="0"/>
        <v>#DIV/0!</v>
      </c>
      <c r="E15" s="9" t="e">
        <f t="shared" si="0"/>
        <v>#DIV/0!</v>
      </c>
      <c r="F15" s="9" t="e">
        <f t="shared" si="0"/>
        <v>#DIV/0!</v>
      </c>
      <c r="G15" s="9" t="e">
        <f t="shared" si="0"/>
        <v>#DIV/0!</v>
      </c>
      <c r="H15" s="9" t="e">
        <f t="shared" si="0"/>
        <v>#DIV/0!</v>
      </c>
      <c r="I15" s="9"/>
    </row>
    <row r="17" spans="1:9" x14ac:dyDescent="0.25">
      <c r="A17" s="6" t="str">
        <f>A9</f>
        <v>총합계</v>
      </c>
      <c r="C17" s="8" t="e">
        <f>C9/$C$13</f>
        <v>#DIV/0!</v>
      </c>
      <c r="G17" s="8" t="e">
        <f>G9/$G$13</f>
        <v>#DIV/0!</v>
      </c>
      <c r="H17" s="8" t="e">
        <f>H9/$H$13</f>
        <v>#DIV/0!</v>
      </c>
      <c r="I17" s="8"/>
    </row>
    <row r="18" spans="1:9" x14ac:dyDescent="0.25">
      <c r="A18" s="6">
        <f>A10</f>
        <v>0</v>
      </c>
      <c r="C18" s="8" t="e">
        <f>C10/$C$13</f>
        <v>#DIV/0!</v>
      </c>
      <c r="G18" s="8" t="e">
        <f>G10/$G$13</f>
        <v>#DIV/0!</v>
      </c>
      <c r="H18" s="8" t="e">
        <f t="shared" ref="H18:H20" si="1">H10/$H$13</f>
        <v>#DIV/0!</v>
      </c>
      <c r="I18" s="8"/>
    </row>
    <row r="19" spans="1:9" x14ac:dyDescent="0.25">
      <c r="A19" s="6">
        <f>A11</f>
        <v>0</v>
      </c>
      <c r="C19" s="8" t="e">
        <f>C11/$C$13</f>
        <v>#DIV/0!</v>
      </c>
      <c r="G19" s="8" t="e">
        <f>G11/$G$13</f>
        <v>#DIV/0!</v>
      </c>
      <c r="H19" s="8" t="e">
        <f t="shared" si="1"/>
        <v>#DIV/0!</v>
      </c>
      <c r="I19" s="8"/>
    </row>
    <row r="20" spans="1:9" x14ac:dyDescent="0.25">
      <c r="A20" s="6">
        <f>A12</f>
        <v>0</v>
      </c>
      <c r="C20" s="8" t="e">
        <f>C12/$C$13</f>
        <v>#DIV/0!</v>
      </c>
      <c r="G20" s="8" t="e">
        <f>G12/$G$13</f>
        <v>#DIV/0!</v>
      </c>
      <c r="H20" s="8" t="e">
        <f t="shared" si="1"/>
        <v>#DIV/0!</v>
      </c>
      <c r="I20" s="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31</vt:i4>
      </vt:variant>
    </vt:vector>
  </HeadingPairs>
  <TitlesOfParts>
    <vt:vector size="34" baseType="lpstr">
      <vt:lpstr>List</vt:lpstr>
      <vt:lpstr>업체별_매출보고서</vt:lpstr>
      <vt:lpstr>Qty</vt:lpstr>
      <vt:lpstr>List!JWLee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List!JWLee_2</vt:lpstr>
      <vt:lpstr>List!JWLee_20</vt:lpstr>
      <vt:lpstr>List!JWLee_21</vt:lpstr>
      <vt:lpstr>List!JWLee_22</vt:lpstr>
      <vt:lpstr>List!JWLee_23</vt:lpstr>
      <vt:lpstr>List!JWLee_24</vt:lpstr>
      <vt:lpstr>List!JWLee_25</vt:lpstr>
      <vt:lpstr>List!JWLee_26</vt:lpstr>
      <vt:lpstr>List!JWLee_27</vt:lpstr>
      <vt:lpstr>List!JWLee_28</vt:lpstr>
      <vt:lpstr>List!JWLee_29</vt:lpstr>
      <vt:lpstr>List!JWLee_3</vt:lpstr>
      <vt:lpstr>List!JWLee_30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Jongwook Lee</cp:lastModifiedBy>
  <dcterms:created xsi:type="dcterms:W3CDTF">2015-06-05T18:19:34Z</dcterms:created>
  <dcterms:modified xsi:type="dcterms:W3CDTF">2024-01-10T05:17:32Z</dcterms:modified>
</cp:coreProperties>
</file>