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매입매출_2024\dbs\매출_2024\"/>
    </mc:Choice>
  </mc:AlternateContent>
  <bookViews>
    <workbookView xWindow="0" yWindow="0" windowWidth="22260" windowHeight="12645" activeTab="4"/>
  </bookViews>
  <sheets>
    <sheet name="Customer" sheetId="4" r:id="rId1"/>
    <sheet name="변수" sheetId="5" r:id="rId2"/>
    <sheet name="List" sheetId="1" r:id="rId3"/>
    <sheet name="Qty" sheetId="2" r:id="rId4"/>
    <sheet name="Value_알캔" sheetId="3" r:id="rId5"/>
    <sheet name="Value_철캔" sheetId="6" r:id="rId6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List!$A$1:$V$15</definedName>
    <definedName name="JWLee_19" localSheetId="2">List!$A$1:$V$2</definedName>
    <definedName name="JWLee_2" localSheetId="0">Customer!$A$1:$F$29</definedName>
    <definedName name="JWLee_2" localSheetId="2">List!$A$1:$P$624</definedName>
    <definedName name="JWLee_20" localSheetId="2">List!$A$1:$V$2</definedName>
    <definedName name="JWLee_21" localSheetId="2">List!$A$1:$V$2</definedName>
    <definedName name="JWLee_22" localSheetId="2">List!$A$1:$V$3</definedName>
    <definedName name="JWLee_23" localSheetId="2">List!$A$1:$V$4</definedName>
    <definedName name="JWLee_24" localSheetId="2">List!$A$1:$V$4</definedName>
    <definedName name="JWLee_25" localSheetId="2">List!$A$1:$V$5</definedName>
    <definedName name="JWLee_3" localSheetId="0">Customer!$A$1:$F$33</definedName>
    <definedName name="JWLee_3" localSheetId="2">List!$A$1:$F$624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18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3" l="1"/>
  <c r="H7" i="3"/>
</calcChain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<sst xmlns="http://schemas.openxmlformats.org/spreadsheetml/2006/main" count="225" uniqueCount="93">
  <si>
    <t>dname</t>
  </si>
  <si>
    <t>remark</t>
  </si>
  <si>
    <t>상차도</t>
  </si>
  <si>
    <t>kg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</si>
  <si>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</si>
  <si>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</si>
  <si>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</si>
  <si>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</si>
  <si>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</si>
  <si>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</si>
  <si>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</si>
  <si>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</si>
  <si>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</si>
  <si>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</si>
  <si>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</si>
  <si>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</si>
  <si>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</si>
  <si>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</si>
  <si>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</si>
  <si>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</si>
  <si>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</si>
  <si>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</si>
  <si>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</si>
  <si>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</si>
  <si>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</si>
  <si>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</si>
  <si>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</si>
  <si>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</si>
  <si>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</si>
  <si>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</si>
  <si>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</si>
  <si>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</si>
  <si>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</si>
  <si>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</si>
  <si>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</si>
  <si>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</si>
  <si>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</si>
  <si>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</si>
  <si>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</si>
  <si>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</si>
  <si>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</si>
  <si>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</si>
  <si>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</si>
  <si>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</si>
  <si>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</si>
  <si>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</si>
  <si>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</si>
  <si>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</si>
  <si>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</si>
  <si>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</si>
  <si>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</si>
  <si>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</si>
  <si>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</si>
  <si>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</si>
  <si>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</si>
  <si>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</si>
  <si>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</si>
  <si>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</si>
  <si>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</si>
  <si>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</si>
  <si>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0309</t>
  </si>
  <si>
    <t>금속캔</t>
  </si>
  <si>
    <t>비철</t>
  </si>
  <si>
    <t>알루미늄캔</t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</si>
  <si>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</si>
  <si>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</si>
  <si>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</si>
  <si>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</si>
  <si>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</si>
  <si>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</si>
  <si>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</si>
  <si>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</si>
  <si>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</si>
  <si>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</si>
  <si>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</si>
  <si>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</si>
  <si>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</si>
  <si>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</si>
  <si>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</si>
  <si>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</si>
  <si>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</si>
  <si>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</si>
  <si>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</si>
  <si>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</si>
  <si>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1 요약</t>
  </si>
  <si>
    <t>입금일</t>
    <phoneticPr fontId="1" type="noConversion"/>
  </si>
  <si>
    <t>입금액</t>
    <phoneticPr fontId="1" type="noConversion"/>
  </si>
  <si>
    <t>고철</t>
  </si>
  <si>
    <t>철캔</t>
  </si>
  <si>
    <t>수제산업으로</t>
    <phoneticPr fontId="1" type="noConversion"/>
  </si>
  <si>
    <t>수제산업으로</t>
    <phoneticPr fontId="1" type="noConversion"/>
  </si>
  <si>
    <t xml:space="preserve">여기서부터 수제환경으로 </t>
    <phoneticPr fontId="1" type="noConversion"/>
  </si>
  <si>
    <t>세금계산서발행처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</si>
</sst>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mm&quot;월&quot;\ dd&quot;일&quot;"/>
  </numFmts>
  <fonts count="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1" fontId="7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applyFont="1"/>
    <xf numFmtId="0" fontId="0" fillId="0" borderId="0" xfId="0" pivotButton="1" applyFont="1"/>
    <xf numFmtId="0" fontId="6" fillId="0" borderId="0" xfId="0" applyFont="1" applyAlignment="1">
      <alignment horizontal="right"/>
    </xf>
    <xf numFmtId="3" fontId="6" fillId="0" borderId="0" xfId="0" applyNumberFormat="1" applyFont="1"/>
    <xf numFmtId="176" fontId="6" fillId="0" borderId="0" xfId="0" applyNumberFormat="1" applyFont="1"/>
    <xf numFmtId="3" fontId="0" fillId="0" borderId="0" xfId="0" applyNumberFormat="1" applyFont="1"/>
    <xf numFmtId="176" fontId="0" fillId="0" borderId="0" xfId="0" applyNumberFormat="1" applyFont="1"/>
    <xf numFmtId="41" fontId="0" fillId="0" borderId="0" xfId="1" applyFont="1" applyAlignment="1">
      <alignment horizontal="center"/>
    </xf>
    <xf numFmtId="0" fontId="5" fillId="3" borderId="0" xfId="0" applyFont="1" applyFill="1"/>
  </cellXfs>
  <cellStyles count="2">
    <cellStyle name="쉼표 [0]" xfId="1" builtinId="6"/>
    <cellStyle name="표준" xfId="0" builtinId="0"/>
  </cellStyles>
  <dxfs count="61"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47625</xdr:colOff>
          <xdr:row>1</xdr:row>
          <xdr:rowOff>38100</xdr:rowOff>
        </xdr:from>
        <xdr:to>
          <xdr:col>22</xdr:col>
          <xdr:colOff>0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301.415428356479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String="0" containsBlank="1" containsNumber="1" containsInteger="1" minValue="60" maxValue="503"/>
    </cacheField>
    <cacheField name="입력일자" numFmtId="0">
      <sharedItems containsNonDate="0" containsDate="1" containsString="0" containsBlank="1" minDate="2024-01-02T00:00:00" maxDate="2024-01-10T00:00:00"/>
    </cacheField>
    <cacheField name="입력년" numFmtId="0">
      <sharedItems containsString="0" containsBlank="1" containsNumber="1" containsInteger="1" minValue="2024" maxValue="2024"/>
    </cacheField>
    <cacheField name="입력월" numFmtId="0">
      <sharedItems containsString="0" containsBlank="1" containsNumber="1" containsInteger="1" minValue="1" maxValue="10" count="3">
        <n v="1"/>
        <m/>
        <n v="10" u="1"/>
      </sharedItems>
    </cacheField>
    <cacheField name="입력일" numFmtId="0">
      <sharedItems containsString="0" containsBlank="1" containsNumber="1" containsInteger="1" minValue="1" maxValue="29" count="30">
        <n v="2"/>
        <n v="5"/>
        <n v="8"/>
        <n v="9"/>
        <m/>
        <n v="13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24" u="1"/>
        <n v="25" u="1"/>
        <n v="26" u="1"/>
        <n v="27" u="1"/>
        <n v="10" u="1"/>
        <n v="28" u="1"/>
        <n v="29" u="1"/>
        <n v="11" u="1"/>
        <n v="4" u="1"/>
        <n v="12" u="1"/>
      </sharedItems>
    </cacheField>
    <cacheField name="실입고일" numFmtId="0">
      <sharedItems containsNonDate="0" containsDate="1" containsString="0" containsBlank="1" minDate="2024-01-02T00:00:00" maxDate="2024-01-10T00:00:00"/>
    </cacheField>
    <cacheField name="거래처명" numFmtId="0">
      <sharedItems containsBlank="1" count="5">
        <s v="무등자원"/>
        <m/>
        <s v="이수페이퍼" u="1"/>
        <s v="대성리싸이클링" u="1"/>
        <s v="수정자원" u="1"/>
      </sharedItems>
    </cacheField>
    <cacheField name="지역" numFmtId="0">
      <sharedItems containsNonDate="0" containsBlank="1" count="3">
        <m/>
        <s v="익산" u="1"/>
        <s v="군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6">
        <s v="알루미늄캔"/>
        <s v="철캔"/>
        <m/>
        <s v="책" u="1"/>
        <s v="파지" u="1"/>
        <s v="신문지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1785" maxValue="3485"/>
    </cacheField>
    <cacheField name="단가" numFmtId="0">
      <sharedItems containsString="0" containsBlank="1" containsNumber="1" containsInteger="1" minValue="250" maxValue="1450"/>
    </cacheField>
    <cacheField name="공급가" numFmtId="0">
      <sharedItems containsString="0" containsBlank="1" containsNumber="1" containsInteger="1" minValue="871250" maxValue="2704250"/>
    </cacheField>
    <cacheField name="부가세" numFmtId="0">
      <sharedItems containsString="0" containsBlank="1" containsNumber="1" containsInteger="1" minValue="87125" maxValue="270425"/>
    </cacheField>
    <cacheField name="총액" numFmtId="0">
      <sharedItems containsString="0" containsBlank="1" containsNumber="1" minValue="958375.00000000012" maxValue="2974675.0000000005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60"/>
    <d v="2024-01-02T00:00:00"/>
    <n v="2024"/>
    <x v="0"/>
    <x v="0"/>
    <d v="2024-01-02T00:00:00"/>
    <x v="0"/>
    <x v="0"/>
    <s v="0309"/>
    <s v="무등자원"/>
    <s v="cus"/>
    <s v="금속캔"/>
    <s v="비철"/>
    <x v="0"/>
    <s v="상차도"/>
    <s v="kg"/>
    <n v="1785"/>
    <n v="1450"/>
    <n v="2588250"/>
    <n v="258825"/>
    <n v="2847075"/>
    <m/>
  </r>
  <r>
    <n v="254"/>
    <d v="2024-01-05T00:00:00"/>
    <n v="2024"/>
    <x v="0"/>
    <x v="1"/>
    <d v="2024-01-05T00:00:00"/>
    <x v="0"/>
    <x v="0"/>
    <s v="0309"/>
    <s v="무등자원"/>
    <s v="cus"/>
    <s v="금속캔"/>
    <s v="비철"/>
    <x v="0"/>
    <s v="상차도"/>
    <s v="kg"/>
    <n v="1825"/>
    <n v="1450"/>
    <n v="2646250"/>
    <n v="264625"/>
    <n v="2910875.0000000005"/>
    <m/>
  </r>
  <r>
    <n v="432"/>
    <d v="2024-01-08T00:00:00"/>
    <n v="2024"/>
    <x v="0"/>
    <x v="2"/>
    <d v="2024-01-08T00:00:00"/>
    <x v="0"/>
    <x v="0"/>
    <s v="0309"/>
    <s v="무등자원"/>
    <s v="cus"/>
    <s v="금속캔"/>
    <s v="고철"/>
    <x v="1"/>
    <s v="상차도"/>
    <s v="kg"/>
    <n v="3485"/>
    <n v="250"/>
    <n v="871250"/>
    <n v="87125"/>
    <n v="958375.00000000012"/>
    <m/>
  </r>
  <r>
    <n v="503"/>
    <d v="2024-01-09T00:00:00"/>
    <n v="2024"/>
    <x v="0"/>
    <x v="3"/>
    <d v="2024-01-09T00:00:00"/>
    <x v="0"/>
    <x v="0"/>
    <s v="0309"/>
    <s v="무등자원"/>
    <s v="cus"/>
    <s v="금속캔"/>
    <s v="비철"/>
    <x v="0"/>
    <s v="상차도"/>
    <s v="kg"/>
    <n v="1865"/>
    <n v="1450"/>
    <n v="2704250"/>
    <n v="270425"/>
    <n v="2974675.0000000005"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  <r>
    <m/>
    <m/>
    <m/>
    <x v="1"/>
    <x v="4"/>
    <m/>
    <x v="1"/>
    <x v="0"/>
    <m/>
    <m/>
    <m/>
    <m/>
    <m/>
    <x v="2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8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1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4">
        <item m="1" x="2"/>
        <item x="1"/>
        <item x="0"/>
        <item t="default"/>
      </items>
    </pivotField>
    <pivotField axis="axisRow" compact="0" outline="0" showAll="0">
      <items count="31">
        <item m="1" x="17"/>
        <item x="0"/>
        <item m="1" x="19"/>
        <item m="1" x="28"/>
        <item x="1"/>
        <item m="1" x="8"/>
        <item m="1" x="13"/>
        <item x="2"/>
        <item x="3"/>
        <item m="1" x="24"/>
        <item m="1" x="27"/>
        <item m="1" x="29"/>
        <item m="1" x="5"/>
        <item m="1" x="6"/>
        <item m="1" x="7"/>
        <item m="1" x="9"/>
        <item m="1" x="10"/>
        <item m="1" x="11"/>
        <item m="1" x="12"/>
        <item m="1" x="14"/>
        <item x="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t="default"/>
      </items>
    </pivotField>
    <pivotField compact="0" outline="0" showAll="0"/>
    <pivotField axis="axisPage" compact="0" outline="0" multipleItemSelectionAllowed="1" showAll="0">
      <items count="6">
        <item m="1" x="4"/>
        <item h="1" x="1"/>
        <item m="1" x="2"/>
        <item m="1" x="3"/>
        <item x="0"/>
        <item t="default"/>
      </items>
    </pivotField>
    <pivotField axis="axisPage" compact="0" outline="0" showAll="0">
      <items count="4">
        <item m="1" x="2"/>
        <item m="1" x="1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7">
        <item m="1" x="5"/>
        <item m="1" x="4"/>
        <item x="2"/>
        <item m="1" x="3"/>
        <item x="0"/>
        <item x="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6">
    <i>
      <x v="2"/>
      <x v="1"/>
    </i>
    <i r="1">
      <x v="4"/>
    </i>
    <i r="1">
      <x v="7"/>
    </i>
    <i r="1">
      <x v="8"/>
    </i>
    <i t="default">
      <x v="2"/>
    </i>
    <i t="grand">
      <x/>
    </i>
  </rowItems>
  <colFields count="1">
    <field x="13"/>
  </colFields>
  <colItems count="3">
    <i>
      <x v="4"/>
    </i>
    <i>
      <x v="5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60">
      <pivotArea type="all" dataOnly="0" outline="0" fieldPosition="0"/>
    </format>
    <format dxfId="59">
      <pivotArea outline="0" collapsedLevelsAreSubtotals="1" fieldPosition="0"/>
    </format>
    <format dxfId="58">
      <pivotArea type="origin" dataOnly="0" labelOnly="1" outline="0" fieldPosition="0"/>
    </format>
    <format dxfId="57">
      <pivotArea field="13" type="button" dataOnly="0" labelOnly="1" outline="0" axis="axisCol" fieldPosition="0"/>
    </format>
    <format dxfId="56">
      <pivotArea type="topRight" dataOnly="0" labelOnly="1" outline="0" fieldPosition="0"/>
    </format>
    <format dxfId="55">
      <pivotArea field="3" type="button" dataOnly="0" labelOnly="1" outline="0" axis="axisRow" fieldPosition="0"/>
    </format>
    <format dxfId="54">
      <pivotArea field="4" type="button" dataOnly="0" labelOnly="1" outline="0" axis="axisRow" fieldPosition="1"/>
    </format>
    <format dxfId="53">
      <pivotArea dataOnly="0" labelOnly="1" outline="0" fieldPosition="0">
        <references count="1">
          <reference field="3" count="0"/>
        </references>
      </pivotArea>
    </format>
    <format dxfId="52">
      <pivotArea dataOnly="0" labelOnly="1" outline="0" fieldPosition="0">
        <references count="1">
          <reference field="3" count="0" defaultSubtotal="1"/>
        </references>
      </pivotArea>
    </format>
    <format dxfId="51">
      <pivotArea dataOnly="0" labelOnly="1" grandRow="1" outline="0" fieldPosition="0"/>
    </format>
    <format dxfId="50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49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48">
      <pivotArea dataOnly="0" labelOnly="1" outline="0" fieldPosition="0">
        <references count="1">
          <reference field="13" count="0"/>
        </references>
      </pivotArea>
    </format>
    <format dxfId="47">
      <pivotArea dataOnly="0" labelOnly="1" grandCol="1" outline="0" fieldPosition="0"/>
    </format>
    <format dxfId="4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18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5:E11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4">
        <item m="1" x="2"/>
        <item x="1"/>
        <item x="0"/>
        <item t="default"/>
      </items>
    </pivotField>
    <pivotField axis="axisRow" compact="0" outline="0" showAll="0">
      <items count="31">
        <item m="1" x="17"/>
        <item x="0"/>
        <item m="1" x="19"/>
        <item m="1" x="28"/>
        <item x="1"/>
        <item m="1" x="8"/>
        <item m="1" x="13"/>
        <item x="2"/>
        <item x="3"/>
        <item m="1" x="24"/>
        <item m="1" x="27"/>
        <item m="1" x="29"/>
        <item m="1" x="5"/>
        <item m="1" x="6"/>
        <item m="1" x="7"/>
        <item m="1" x="9"/>
        <item m="1" x="10"/>
        <item m="1" x="11"/>
        <item m="1" x="12"/>
        <item m="1" x="14"/>
        <item x="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t="default"/>
      </items>
    </pivotField>
    <pivotField compact="0" outline="0" showAll="0"/>
    <pivotField axis="axisPage" compact="0" outline="0" multipleItemSelectionAllowed="1" showAll="0">
      <items count="6">
        <item m="1" x="4"/>
        <item h="1" x="1"/>
        <item m="1" x="2"/>
        <item m="1" x="3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7">
        <item m="1" x="5"/>
        <item m="1" x="4"/>
        <item h="1" x="2"/>
        <item m="1" x="3"/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5">
    <i>
      <x v="2"/>
      <x v="1"/>
    </i>
    <i r="1">
      <x v="4"/>
    </i>
    <i r="1">
      <x v="8"/>
    </i>
    <i t="default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13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29">
    <format dxfId="45">
      <pivotArea type="all" dataOnly="0" outline="0" fieldPosition="0"/>
    </format>
    <format dxfId="44">
      <pivotArea outline="0" collapsedLevelsAreSubtotals="1" fieldPosition="0"/>
    </format>
    <format dxfId="43">
      <pivotArea type="origin" dataOnly="0" labelOnly="1" outline="0" fieldPosition="0"/>
    </format>
    <format dxfId="42">
      <pivotArea field="13" type="button" dataOnly="0" labelOnly="1" outline="0" axis="axisPage" fieldPosition="1"/>
    </format>
    <format dxfId="41">
      <pivotArea type="topRight" dataOnly="0" labelOnly="1" outline="0" fieldPosition="0"/>
    </format>
    <format dxfId="40">
      <pivotArea field="3" type="button" dataOnly="0" labelOnly="1" outline="0" axis="axisRow" fieldPosition="0"/>
    </format>
    <format dxfId="39">
      <pivotArea field="4" type="button" dataOnly="0" labelOnly="1" outline="0" axis="axisRow" fieldPosition="1"/>
    </format>
    <format dxfId="38">
      <pivotArea dataOnly="0" labelOnly="1" outline="0" fieldPosition="0">
        <references count="1">
          <reference field="3" count="0"/>
        </references>
      </pivotArea>
    </format>
    <format dxfId="37">
      <pivotArea dataOnly="0" labelOnly="1" outline="0" fieldPosition="0">
        <references count="1">
          <reference field="3" count="0" defaultSubtotal="1"/>
        </references>
      </pivotArea>
    </format>
    <format dxfId="36">
      <pivotArea dataOnly="0" labelOnly="1" grandRow="1" outline="0" fieldPosition="0"/>
    </format>
    <format dxfId="35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33">
      <pivotArea dataOnly="0" labelOnly="1" grandCol="1" outline="0" fieldPosition="0"/>
    </format>
    <format dxfId="32">
      <pivotArea outline="0" fieldPosition="0">
        <references count="1">
          <reference field="4294967294" count="1">
            <x v="2"/>
          </reference>
        </references>
      </pivotArea>
    </format>
    <format dxfId="31">
      <pivotArea outline="0" fieldPosition="0">
        <references count="1">
          <reference field="4294967294" count="1">
            <x v="1"/>
          </reference>
        </references>
      </pivotArea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fieldPosition="0">
        <references count="1">
          <reference field="4294967294" count="1">
            <x v="0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-2" type="button" dataOnly="0" labelOnly="1" outline="0" axis="axisCol" fieldPosition="0"/>
    </format>
    <format dxfId="24">
      <pivotArea type="topRight" dataOnly="0" labelOnly="1" outline="0" fieldPosition="0"/>
    </format>
    <format dxfId="23">
      <pivotArea field="3" type="button" dataOnly="0" labelOnly="1" outline="0" axis="axisRow" fieldPosition="0"/>
    </format>
    <format dxfId="22">
      <pivotArea field="4" type="button" dataOnly="0" labelOnly="1" outline="0" axis="axisRow" fieldPosition="1"/>
    </format>
    <format dxfId="21">
      <pivotArea dataOnly="0" labelOnly="1" outline="0" fieldPosition="0">
        <references count="1">
          <reference field="3" count="1">
            <x v="2"/>
          </reference>
        </references>
      </pivotArea>
    </format>
    <format dxfId="20">
      <pivotArea dataOnly="0" labelOnly="1" outline="0" fieldPosition="0">
        <references count="1">
          <reference field="3" count="1" defaultSubtotal="1">
            <x v="2"/>
          </reference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3" count="1" selected="0">
            <x v="2"/>
          </reference>
          <reference field="4" count="1">
            <x v="1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18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5:E9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4">
        <item m="1" x="2"/>
        <item x="1"/>
        <item x="0"/>
        <item t="default"/>
      </items>
    </pivotField>
    <pivotField axis="axisRow" compact="0" outline="0" showAll="0">
      <items count="31">
        <item m="1" x="17"/>
        <item x="0"/>
        <item m="1" x="19"/>
        <item m="1" x="28"/>
        <item x="1"/>
        <item m="1" x="8"/>
        <item m="1" x="13"/>
        <item x="2"/>
        <item x="3"/>
        <item m="1" x="24"/>
        <item m="1" x="27"/>
        <item m="1" x="29"/>
        <item m="1" x="5"/>
        <item m="1" x="6"/>
        <item m="1" x="7"/>
        <item m="1" x="9"/>
        <item m="1" x="10"/>
        <item m="1" x="11"/>
        <item m="1" x="12"/>
        <item m="1" x="14"/>
        <item x="4"/>
        <item m="1" x="15"/>
        <item m="1" x="16"/>
        <item m="1" x="18"/>
        <item m="1" x="20"/>
        <item m="1" x="21"/>
        <item m="1" x="22"/>
        <item m="1" x="23"/>
        <item m="1" x="25"/>
        <item m="1" x="26"/>
        <item t="default"/>
      </items>
    </pivotField>
    <pivotField compact="0" outline="0" showAll="0"/>
    <pivotField axis="axisPage" compact="0" outline="0" multipleItemSelectionAllowed="1" showAll="0">
      <items count="6">
        <item m="1" x="4"/>
        <item h="1" x="1"/>
        <item m="1" x="2"/>
        <item m="1" x="3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7">
        <item m="1" x="5"/>
        <item m="1" x="4"/>
        <item h="1" x="2"/>
        <item m="1" x="3"/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3">
    <i>
      <x v="2"/>
      <x v="7"/>
    </i>
    <i t="default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13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13" type="button" dataOnly="0" labelOnly="1" outline="0" axis="axisPage" fieldPosition="1"/>
    </format>
    <format dxfId="12">
      <pivotArea type="topRight" dataOnly="0" labelOnly="1" outline="0" fieldPosition="0"/>
    </format>
    <format dxfId="11">
      <pivotArea field="3" type="button" dataOnly="0" labelOnly="1" outline="0" axis="axisRow" fieldPosition="0"/>
    </format>
    <format dxfId="10">
      <pivotArea field="4" type="button" dataOnly="0" labelOnly="1" outline="0" axis="axisRow" fieldPosition="1"/>
    </format>
    <format dxfId="9">
      <pivotArea dataOnly="0" labelOnly="1" outline="0" fieldPosition="0">
        <references count="1">
          <reference field="3" count="0"/>
        </references>
      </pivotArea>
    </format>
    <format dxfId="8">
      <pivotArea dataOnly="0" labelOnly="1" outline="0" fieldPosition="0">
        <references count="1">
          <reference field="3" count="0" defaultSubtotal="1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4">
      <pivotArea dataOnly="0" labelOnly="1" grandCol="1" outline="0" fieldPosition="0"/>
    </format>
    <format dxfId="3">
      <pivotArea outline="0" fieldPosition="0">
        <references count="1">
          <reference field="4294967294" count="1">
            <x v="2"/>
          </reference>
        </references>
      </pivotArea>
    </format>
    <format dxfId="2">
      <pivotArea outline="0" fieldPosition="0">
        <references count="1">
          <reference field="4294967294" count="1">
            <x v="1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6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7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9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0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1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2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3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4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15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6.xml><?xml version="1.0" encoding="utf-8"?>
<queryTable xmlns="http://schemas.openxmlformats.org/spreadsheetml/2006/main" name="JWLee_2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8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19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0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1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2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5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26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27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8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9.xml><?xml version="1.0" encoding="utf-8"?>
<queryTable xmlns="http://schemas.openxmlformats.org/spreadsheetml/2006/main" name="JWLee_2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0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4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64</v>
      </c>
      <c r="D2" s="6" t="s">
        <v>65</v>
      </c>
      <c r="E2" s="6" t="s">
        <v>38</v>
      </c>
    </row>
    <row r="3" spans="1:6" x14ac:dyDescent="0.25">
      <c r="A3" s="6">
        <v>1</v>
      </c>
      <c r="B3" s="6">
        <v>80000004</v>
      </c>
      <c r="C3" s="6" t="s">
        <v>37</v>
      </c>
      <c r="D3" s="6" t="s">
        <v>76</v>
      </c>
      <c r="E3" s="6" t="s">
        <v>38</v>
      </c>
      <c r="F3" s="6" t="s">
        <v>25</v>
      </c>
    </row>
    <row r="4" spans="1:6" x14ac:dyDescent="0.25">
      <c r="A4" s="6">
        <v>16</v>
      </c>
      <c r="B4" s="6">
        <v>80000019</v>
      </c>
      <c r="C4" s="6" t="s">
        <v>53</v>
      </c>
      <c r="D4" s="6" t="s">
        <v>76</v>
      </c>
      <c r="E4" s="6" t="s">
        <v>38</v>
      </c>
    </row>
    <row r="5" spans="1:6" x14ac:dyDescent="0.25">
      <c r="A5" s="6">
        <v>7</v>
      </c>
      <c r="B5" s="6">
        <v>80000010</v>
      </c>
      <c r="C5" s="6" t="s">
        <v>44</v>
      </c>
      <c r="D5" s="6" t="s">
        <v>76</v>
      </c>
      <c r="E5" s="6" t="s">
        <v>38</v>
      </c>
      <c r="F5" s="6" t="s">
        <v>25</v>
      </c>
    </row>
    <row r="6" spans="1:6" x14ac:dyDescent="0.25">
      <c r="A6" s="6">
        <v>6</v>
      </c>
      <c r="B6" s="6">
        <v>80000009</v>
      </c>
      <c r="C6" s="6" t="s">
        <v>32</v>
      </c>
      <c r="D6" s="6" t="s">
        <v>76</v>
      </c>
      <c r="E6" s="6" t="s">
        <v>38</v>
      </c>
      <c r="F6" s="6" t="s">
        <v>25</v>
      </c>
    </row>
    <row r="7" spans="1:6" x14ac:dyDescent="0.25">
      <c r="A7" s="6">
        <v>4</v>
      </c>
      <c r="B7" s="6">
        <v>80000007</v>
      </c>
      <c r="C7" s="6" t="s">
        <v>41</v>
      </c>
      <c r="D7" s="6" t="s">
        <v>76</v>
      </c>
      <c r="E7" s="6" t="s">
        <v>38</v>
      </c>
      <c r="F7" s="6" t="s">
        <v>25</v>
      </c>
    </row>
    <row r="8" spans="1:6" x14ac:dyDescent="0.25">
      <c r="A8" s="6">
        <v>25</v>
      </c>
      <c r="B8" s="6">
        <v>80000025</v>
      </c>
      <c r="C8" s="6" t="s">
        <v>66</v>
      </c>
      <c r="D8" s="6" t="s">
        <v>67</v>
      </c>
      <c r="E8" s="6" t="s">
        <v>38</v>
      </c>
      <c r="F8" s="6" t="s">
        <v>68</v>
      </c>
    </row>
    <row r="9" spans="1:6" x14ac:dyDescent="0.25">
      <c r="A9" s="6">
        <v>12</v>
      </c>
      <c r="B9" s="6">
        <v>80000015</v>
      </c>
      <c r="C9" s="6" t="s">
        <v>49</v>
      </c>
      <c r="D9" s="6" t="s">
        <v>76</v>
      </c>
      <c r="E9" s="6" t="s">
        <v>43</v>
      </c>
    </row>
    <row r="10" spans="1:6" x14ac:dyDescent="0.25">
      <c r="A10" s="6">
        <v>10</v>
      </c>
      <c r="B10" s="6">
        <v>80000013</v>
      </c>
      <c r="C10" s="6" t="s">
        <v>47</v>
      </c>
      <c r="D10" s="6" t="s">
        <v>76</v>
      </c>
      <c r="E10" s="6" t="s">
        <v>38</v>
      </c>
      <c r="F10" s="6" t="s">
        <v>25</v>
      </c>
    </row>
    <row r="11" spans="1:6" x14ac:dyDescent="0.25">
      <c r="A11" s="6">
        <v>15</v>
      </c>
      <c r="B11" s="6">
        <v>80000018</v>
      </c>
      <c r="C11" s="6" t="s">
        <v>52</v>
      </c>
      <c r="D11" s="6" t="s">
        <v>76</v>
      </c>
      <c r="E11" s="6" t="s">
        <v>38</v>
      </c>
    </row>
    <row r="12" spans="1:6" x14ac:dyDescent="0.25">
      <c r="A12" s="6">
        <v>19</v>
      </c>
      <c r="B12" s="6">
        <v>80000022</v>
      </c>
      <c r="C12" s="6" t="s">
        <v>56</v>
      </c>
      <c r="D12" s="6" t="s">
        <v>77</v>
      </c>
      <c r="E12" s="6" t="s">
        <v>43</v>
      </c>
    </row>
    <row r="13" spans="1:6" x14ac:dyDescent="0.25">
      <c r="A13" s="6">
        <v>11</v>
      </c>
      <c r="B13" s="6">
        <v>80000014</v>
      </c>
      <c r="C13" s="6" t="s">
        <v>48</v>
      </c>
      <c r="D13" s="6" t="s">
        <v>76</v>
      </c>
      <c r="E13" s="6" t="s">
        <v>38</v>
      </c>
    </row>
    <row r="14" spans="1:6" x14ac:dyDescent="0.25">
      <c r="A14" s="6">
        <v>2</v>
      </c>
      <c r="B14" s="6">
        <v>80000005</v>
      </c>
      <c r="C14" s="6" t="s">
        <v>39</v>
      </c>
      <c r="D14" s="6" t="s">
        <v>76</v>
      </c>
      <c r="E14" s="6" t="s">
        <v>38</v>
      </c>
      <c r="F14" s="6" t="s">
        <v>25</v>
      </c>
    </row>
    <row r="15" spans="1:6" x14ac:dyDescent="0.25">
      <c r="A15" s="6">
        <v>23</v>
      </c>
      <c r="B15" s="6">
        <v>80000002</v>
      </c>
      <c r="C15" s="6" t="s">
        <v>69</v>
      </c>
      <c r="D15" s="6" t="s">
        <v>65</v>
      </c>
      <c r="E15" s="6" t="s">
        <v>38</v>
      </c>
    </row>
    <row r="16" spans="1:6" x14ac:dyDescent="0.25">
      <c r="A16" s="6">
        <v>27</v>
      </c>
      <c r="B16" s="6">
        <v>80000027</v>
      </c>
      <c r="C16" s="6" t="s">
        <v>70</v>
      </c>
      <c r="D16" s="6" t="s">
        <v>65</v>
      </c>
      <c r="E16" s="6" t="s">
        <v>38</v>
      </c>
    </row>
    <row r="17" spans="1:6" x14ac:dyDescent="0.25">
      <c r="A17" s="6">
        <v>26</v>
      </c>
      <c r="B17" s="6">
        <v>80000026</v>
      </c>
      <c r="C17" s="6" t="s">
        <v>71</v>
      </c>
      <c r="D17" s="6" t="s">
        <v>65</v>
      </c>
      <c r="E17" s="6" t="s">
        <v>38</v>
      </c>
    </row>
    <row r="18" spans="1:6" x14ac:dyDescent="0.25">
      <c r="A18" s="6">
        <v>8</v>
      </c>
      <c r="B18" s="6">
        <v>80000011</v>
      </c>
      <c r="C18" s="6" t="s">
        <v>45</v>
      </c>
      <c r="D18" s="6" t="s">
        <v>76</v>
      </c>
      <c r="E18" s="6" t="s">
        <v>38</v>
      </c>
      <c r="F18" s="6" t="s">
        <v>25</v>
      </c>
    </row>
    <row r="19" spans="1:6" x14ac:dyDescent="0.25">
      <c r="A19" s="6">
        <v>22</v>
      </c>
      <c r="B19" s="6">
        <v>80000001</v>
      </c>
      <c r="C19" s="6" t="s">
        <v>72</v>
      </c>
      <c r="D19" s="6" t="s">
        <v>67</v>
      </c>
      <c r="E19" s="6" t="s">
        <v>38</v>
      </c>
      <c r="F19" s="6" t="s">
        <v>73</v>
      </c>
    </row>
    <row r="20" spans="1:6" x14ac:dyDescent="0.25">
      <c r="A20" s="6">
        <v>13</v>
      </c>
      <c r="B20" s="6">
        <v>80000016</v>
      </c>
      <c r="C20" s="6" t="s">
        <v>50</v>
      </c>
      <c r="D20" s="6" t="s">
        <v>76</v>
      </c>
      <c r="E20" s="6" t="s">
        <v>38</v>
      </c>
    </row>
    <row r="21" spans="1:6" x14ac:dyDescent="0.25">
      <c r="A21" s="6">
        <v>18</v>
      </c>
      <c r="B21" s="6">
        <v>80000021</v>
      </c>
      <c r="C21" s="6" t="s">
        <v>55</v>
      </c>
      <c r="D21" s="6" t="s">
        <v>77</v>
      </c>
      <c r="E21" s="6" t="s">
        <v>38</v>
      </c>
      <c r="F21" s="6" t="s">
        <v>78</v>
      </c>
    </row>
    <row r="22" spans="1:6" x14ac:dyDescent="0.25">
      <c r="A22" s="6">
        <v>5</v>
      </c>
      <c r="B22" s="6">
        <v>80000008</v>
      </c>
      <c r="C22" s="6" t="s">
        <v>42</v>
      </c>
      <c r="D22" s="6" t="s">
        <v>76</v>
      </c>
      <c r="E22" s="6" t="s">
        <v>43</v>
      </c>
      <c r="F22" s="6" t="s">
        <v>25</v>
      </c>
    </row>
    <row r="23" spans="1:6" x14ac:dyDescent="0.25">
      <c r="A23" s="6">
        <v>14</v>
      </c>
      <c r="B23" s="6">
        <v>80000017</v>
      </c>
      <c r="C23" s="6" t="s">
        <v>51</v>
      </c>
      <c r="D23" s="6" t="s">
        <v>76</v>
      </c>
      <c r="E23" s="6" t="s">
        <v>38</v>
      </c>
    </row>
    <row r="24" spans="1:6" x14ac:dyDescent="0.25">
      <c r="A24" s="6">
        <v>30</v>
      </c>
      <c r="B24" s="6">
        <v>80000030</v>
      </c>
      <c r="C24" s="6" t="s">
        <v>79</v>
      </c>
      <c r="D24" s="6" t="s">
        <v>77</v>
      </c>
      <c r="E24" s="6" t="s">
        <v>38</v>
      </c>
      <c r="F24" s="6" t="s">
        <v>78</v>
      </c>
    </row>
    <row r="25" spans="1:6" x14ac:dyDescent="0.25">
      <c r="A25" s="6">
        <v>9</v>
      </c>
      <c r="B25" s="6">
        <v>80000012</v>
      </c>
      <c r="C25" s="6" t="s">
        <v>46</v>
      </c>
      <c r="D25" s="6" t="s">
        <v>76</v>
      </c>
      <c r="E25" s="6" t="s">
        <v>38</v>
      </c>
      <c r="F25" s="6" t="s">
        <v>25</v>
      </c>
    </row>
    <row r="26" spans="1:6" x14ac:dyDescent="0.25">
      <c r="A26" s="6">
        <v>3</v>
      </c>
      <c r="B26" s="6">
        <v>80000006</v>
      </c>
      <c r="C26" s="6" t="s">
        <v>40</v>
      </c>
      <c r="D26" s="6" t="s">
        <v>76</v>
      </c>
      <c r="E26" s="6" t="s">
        <v>38</v>
      </c>
      <c r="F26" s="6" t="s">
        <v>25</v>
      </c>
    </row>
    <row r="27" spans="1:6" x14ac:dyDescent="0.25">
      <c r="A27" s="6">
        <v>17</v>
      </c>
      <c r="B27" s="6">
        <v>80000020</v>
      </c>
      <c r="C27" s="6" t="s">
        <v>54</v>
      </c>
      <c r="D27" s="6" t="s">
        <v>76</v>
      </c>
      <c r="E27" s="6" t="s">
        <v>38</v>
      </c>
    </row>
    <row r="28" spans="1:6" x14ac:dyDescent="0.25">
      <c r="A28" s="6">
        <v>24</v>
      </c>
      <c r="B28" s="6">
        <v>80000003</v>
      </c>
      <c r="C28" s="6" t="s">
        <v>74</v>
      </c>
      <c r="D28" s="6" t="s">
        <v>67</v>
      </c>
      <c r="E28" s="6" t="s">
        <v>38</v>
      </c>
      <c r="F28" s="6" t="s">
        <v>75</v>
      </c>
    </row>
    <row r="29" spans="1:6" x14ac:dyDescent="0.25">
      <c r="A29" s="6">
        <v>21</v>
      </c>
      <c r="B29" s="6">
        <v>80000024</v>
      </c>
      <c r="C29" s="6" t="s">
        <v>58</v>
      </c>
      <c r="D29" s="6" t="s">
        <v>77</v>
      </c>
      <c r="E29" s="6" t="s">
        <v>38</v>
      </c>
      <c r="F29" s="6" t="s">
        <v>78</v>
      </c>
    </row>
    <row r="30" spans="1:6" x14ac:dyDescent="0.25">
      <c r="A30" s="6">
        <v>29</v>
      </c>
      <c r="B30" s="6">
        <v>80000029</v>
      </c>
      <c r="C30" s="6" t="s">
        <v>80</v>
      </c>
      <c r="D30" s="6" t="s">
        <v>77</v>
      </c>
      <c r="E30" s="6" t="s">
        <v>38</v>
      </c>
      <c r="F30" s="6" t="s">
        <v>78</v>
      </c>
    </row>
    <row r="31" spans="1:6" x14ac:dyDescent="0.25">
      <c r="A31" s="6">
        <v>32</v>
      </c>
      <c r="B31" s="6">
        <v>80000032</v>
      </c>
      <c r="C31" s="6" t="s">
        <v>81</v>
      </c>
      <c r="D31" s="6" t="s">
        <v>76</v>
      </c>
      <c r="E31" s="6" t="s">
        <v>38</v>
      </c>
      <c r="F31" s="6" t="s">
        <v>82</v>
      </c>
    </row>
    <row r="32" spans="1:6" x14ac:dyDescent="0.25">
      <c r="A32" s="6">
        <v>20</v>
      </c>
      <c r="B32" s="6">
        <v>80000023</v>
      </c>
      <c r="C32" s="6" t="s">
        <v>57</v>
      </c>
      <c r="D32" s="6" t="s">
        <v>77</v>
      </c>
      <c r="E32" s="6" t="s">
        <v>43</v>
      </c>
      <c r="F32" s="6" t="s">
        <v>78</v>
      </c>
    </row>
    <row r="33" spans="1:6" x14ac:dyDescent="0.25">
      <c r="A33" s="6">
        <v>31</v>
      </c>
      <c r="B33" s="6">
        <v>80000031</v>
      </c>
      <c r="C33" s="6" t="s">
        <v>83</v>
      </c>
      <c r="D33" s="6" t="s">
        <v>77</v>
      </c>
      <c r="E33" s="6" t="s">
        <v>38</v>
      </c>
      <c r="F33" s="6" t="s">
        <v>78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D3" sqref="D3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59</v>
      </c>
      <c r="B1" s="9" t="s">
        <v>47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" sqref="G2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8" style="1" customWidth="1"/>
    <col min="11" max="11" width="5" style="1" bestFit="1" customWidth="1"/>
    <col min="12" max="12" width="6.75" style="1" bestFit="1" customWidth="1"/>
    <col min="13" max="13" width="7.75" style="1" bestFit="1" customWidth="1"/>
    <col min="14" max="14" width="9.62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8.375" style="1" customWidth="1"/>
    <col min="22" max="22" width="8.875" style="1" bestFit="1" customWidth="1"/>
    <col min="23" max="16384" width="9" style="1"/>
  </cols>
  <sheetData>
    <row r="1" spans="1:22" x14ac:dyDescent="0.25">
      <c r="A1" s="7" t="s">
        <v>4</v>
      </c>
      <c r="B1" s="7" t="s">
        <v>5</v>
      </c>
      <c r="C1" s="7" t="s">
        <v>6</v>
      </c>
      <c r="D1" s="7" t="s">
        <v>7</v>
      </c>
      <c r="E1" s="7" t="s">
        <v>8</v>
      </c>
      <c r="F1" s="7" t="s">
        <v>16</v>
      </c>
      <c r="G1" s="7" t="s">
        <v>17</v>
      </c>
      <c r="H1" s="7" t="s">
        <v>18</v>
      </c>
      <c r="I1" s="7" t="s">
        <v>26</v>
      </c>
      <c r="J1" s="7" t="s">
        <v>27</v>
      </c>
      <c r="K1" s="7" t="s">
        <v>28</v>
      </c>
      <c r="L1" s="7" t="s">
        <v>19</v>
      </c>
      <c r="M1" s="7" t="s">
        <v>20</v>
      </c>
      <c r="N1" s="7" t="s">
        <v>9</v>
      </c>
      <c r="O1" s="7" t="s">
        <v>0</v>
      </c>
      <c r="P1" s="7" t="s">
        <v>10</v>
      </c>
      <c r="Q1" s="7" t="s">
        <v>11</v>
      </c>
      <c r="R1" s="7" t="s">
        <v>12</v>
      </c>
      <c r="S1" s="7" t="s">
        <v>13</v>
      </c>
      <c r="T1" s="7" t="s">
        <v>14</v>
      </c>
      <c r="U1" s="7" t="s">
        <v>15</v>
      </c>
      <c r="V1" s="7" t="s">
        <v>1</v>
      </c>
    </row>
    <row r="2" spans="1:22" x14ac:dyDescent="0.25">
      <c r="A2" s="1">
        <v>60</v>
      </c>
      <c r="B2" s="2">
        <v>45293</v>
      </c>
      <c r="C2" s="4">
        <v>2024</v>
      </c>
      <c r="D2" s="4">
        <v>1</v>
      </c>
      <c r="E2" s="4">
        <v>2</v>
      </c>
      <c r="F2" s="2">
        <v>45293</v>
      </c>
      <c r="G2" s="1" t="s">
        <v>47</v>
      </c>
      <c r="I2" s="1" t="s">
        <v>60</v>
      </c>
      <c r="J2" s="1" t="s">
        <v>47</v>
      </c>
      <c r="K2" s="3" t="s">
        <v>76</v>
      </c>
      <c r="L2" s="3" t="s">
        <v>61</v>
      </c>
      <c r="M2" s="3" t="s">
        <v>62</v>
      </c>
      <c r="N2" s="3" t="s">
        <v>63</v>
      </c>
      <c r="O2" s="3" t="s">
        <v>2</v>
      </c>
      <c r="P2" s="3" t="s">
        <v>3</v>
      </c>
      <c r="Q2" s="3">
        <v>1785</v>
      </c>
      <c r="R2" s="3">
        <v>1450</v>
      </c>
      <c r="S2" s="3">
        <v>2588250</v>
      </c>
      <c r="T2" s="3">
        <v>258825</v>
      </c>
      <c r="U2" s="3">
        <v>2847075</v>
      </c>
    </row>
    <row r="3" spans="1:22" x14ac:dyDescent="0.25">
      <c r="A3" s="1">
        <v>254</v>
      </c>
      <c r="B3" s="2">
        <v>45296</v>
      </c>
      <c r="C3" s="4">
        <v>2024</v>
      </c>
      <c r="D3" s="4">
        <v>1</v>
      </c>
      <c r="E3" s="4">
        <v>5</v>
      </c>
      <c r="F3" s="2">
        <v>45296</v>
      </c>
      <c r="G3" s="1" t="s">
        <v>47</v>
      </c>
      <c r="I3" s="1" t="s">
        <v>60</v>
      </c>
      <c r="J3" s="1" t="s">
        <v>47</v>
      </c>
      <c r="K3" s="3" t="s">
        <v>76</v>
      </c>
      <c r="L3" s="3" t="s">
        <v>61</v>
      </c>
      <c r="M3" s="3" t="s">
        <v>62</v>
      </c>
      <c r="N3" s="3" t="s">
        <v>63</v>
      </c>
      <c r="O3" s="3" t="s">
        <v>2</v>
      </c>
      <c r="P3" s="3" t="s">
        <v>3</v>
      </c>
      <c r="Q3" s="3">
        <v>1825</v>
      </c>
      <c r="R3" s="3">
        <v>1450</v>
      </c>
      <c r="S3" s="3">
        <v>2646250</v>
      </c>
      <c r="T3" s="3">
        <v>264625</v>
      </c>
      <c r="U3" s="3">
        <v>2910875.0000000005</v>
      </c>
    </row>
    <row r="4" spans="1:22" x14ac:dyDescent="0.25">
      <c r="A4" s="1">
        <v>432</v>
      </c>
      <c r="B4" s="2">
        <v>45299</v>
      </c>
      <c r="C4" s="4">
        <v>2024</v>
      </c>
      <c r="D4" s="4">
        <v>1</v>
      </c>
      <c r="E4" s="4">
        <v>8</v>
      </c>
      <c r="F4" s="2">
        <v>45299</v>
      </c>
      <c r="G4" s="1" t="s">
        <v>47</v>
      </c>
      <c r="I4" s="1" t="s">
        <v>60</v>
      </c>
      <c r="J4" s="1" t="s">
        <v>47</v>
      </c>
      <c r="K4" s="3" t="s">
        <v>76</v>
      </c>
      <c r="L4" s="3" t="s">
        <v>61</v>
      </c>
      <c r="M4" s="3" t="s">
        <v>87</v>
      </c>
      <c r="N4" s="3" t="s">
        <v>88</v>
      </c>
      <c r="O4" s="3" t="s">
        <v>2</v>
      </c>
      <c r="P4" s="3" t="s">
        <v>3</v>
      </c>
      <c r="Q4" s="3">
        <v>3485</v>
      </c>
      <c r="R4" s="3">
        <v>250</v>
      </c>
      <c r="S4" s="3">
        <v>871250</v>
      </c>
      <c r="T4" s="3">
        <v>87125</v>
      </c>
      <c r="U4" s="3">
        <v>958375.00000000012</v>
      </c>
    </row>
    <row r="5" spans="1:22" x14ac:dyDescent="0.25">
      <c r="A5" s="1">
        <v>503</v>
      </c>
      <c r="B5" s="2">
        <v>45300</v>
      </c>
      <c r="C5" s="4">
        <v>2024</v>
      </c>
      <c r="D5" s="4">
        <v>1</v>
      </c>
      <c r="E5" s="4">
        <v>9</v>
      </c>
      <c r="F5" s="2">
        <v>45300</v>
      </c>
      <c r="G5" s="1" t="s">
        <v>47</v>
      </c>
      <c r="I5" s="1" t="s">
        <v>60</v>
      </c>
      <c r="J5" s="1" t="s">
        <v>47</v>
      </c>
      <c r="K5" s="3" t="s">
        <v>76</v>
      </c>
      <c r="L5" s="3" t="s">
        <v>61</v>
      </c>
      <c r="M5" s="3" t="s">
        <v>62</v>
      </c>
      <c r="N5" s="3" t="s">
        <v>63</v>
      </c>
      <c r="O5" s="3" t="s">
        <v>2</v>
      </c>
      <c r="P5" s="3" t="s">
        <v>3</v>
      </c>
      <c r="Q5" s="3">
        <v>1865</v>
      </c>
      <c r="R5" s="3">
        <v>1450</v>
      </c>
      <c r="S5" s="3">
        <v>2704250</v>
      </c>
      <c r="T5" s="3">
        <v>270425</v>
      </c>
      <c r="U5" s="3">
        <v>2974675.0000000005</v>
      </c>
    </row>
    <row r="6" spans="1:22" x14ac:dyDescent="0.25">
      <c r="B6" s="2"/>
      <c r="C6" s="4"/>
      <c r="D6" s="4"/>
      <c r="E6" s="4"/>
      <c r="F6" s="2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B7" s="2"/>
      <c r="C7" s="4"/>
      <c r="D7" s="4"/>
      <c r="E7" s="4"/>
      <c r="F7" s="2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B8" s="2"/>
      <c r="C8" s="4"/>
      <c r="D8" s="4"/>
      <c r="E8" s="4"/>
      <c r="F8" s="2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B9" s="2"/>
      <c r="C9" s="4"/>
      <c r="D9" s="4"/>
      <c r="E9" s="4"/>
      <c r="F9" s="2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B10" s="2"/>
      <c r="C10" s="4"/>
      <c r="D10" s="4"/>
      <c r="E10" s="4"/>
      <c r="F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B11" s="2"/>
      <c r="C11" s="4"/>
      <c r="D11" s="4"/>
      <c r="E11" s="4"/>
      <c r="F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B12" s="2"/>
      <c r="C12" s="4"/>
      <c r="D12" s="4"/>
      <c r="E12" s="4"/>
      <c r="F12" s="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2" x14ac:dyDescent="0.25">
      <c r="B13" s="2"/>
      <c r="C13" s="4"/>
      <c r="D13" s="4"/>
      <c r="E13" s="4"/>
      <c r="F13" s="2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B14" s="2"/>
      <c r="C14" s="4"/>
      <c r="D14" s="4"/>
      <c r="E14" s="4"/>
      <c r="F14" s="2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2" x14ac:dyDescent="0.25">
      <c r="B15" s="2"/>
      <c r="C15" s="4"/>
      <c r="D15" s="4"/>
      <c r="E15" s="4"/>
      <c r="F15" s="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2" x14ac:dyDescent="0.25">
      <c r="B16" s="2"/>
      <c r="C16" s="4"/>
      <c r="D16" s="4"/>
      <c r="E16" s="4"/>
      <c r="F16" s="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2:21" x14ac:dyDescent="0.25">
      <c r="B17" s="2"/>
      <c r="C17" s="4"/>
      <c r="D17" s="4"/>
      <c r="E17" s="4"/>
      <c r="F17" s="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2:21" x14ac:dyDescent="0.25">
      <c r="B18" s="2"/>
      <c r="C18" s="4"/>
      <c r="D18" s="4"/>
      <c r="E18" s="4"/>
      <c r="F18" s="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2:21" x14ac:dyDescent="0.25">
      <c r="B19" s="2"/>
      <c r="C19" s="4"/>
      <c r="D19" s="4"/>
      <c r="E19" s="4"/>
      <c r="F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2:21" x14ac:dyDescent="0.25">
      <c r="B20" s="2"/>
      <c r="C20" s="4"/>
      <c r="D20" s="4"/>
      <c r="E20" s="4"/>
      <c r="F20" s="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2:21" x14ac:dyDescent="0.25">
      <c r="B21" s="2"/>
      <c r="C21" s="4"/>
      <c r="D21" s="4"/>
      <c r="E21" s="4"/>
      <c r="F21" s="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2:21" x14ac:dyDescent="0.25">
      <c r="B22" s="2"/>
      <c r="C22" s="4"/>
      <c r="D22" s="4"/>
      <c r="E22" s="4"/>
      <c r="F22" s="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2:21" x14ac:dyDescent="0.25">
      <c r="B23" s="2"/>
      <c r="C23" s="4"/>
      <c r="D23" s="4"/>
      <c r="E23" s="4"/>
      <c r="F23" s="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2:21" x14ac:dyDescent="0.25">
      <c r="B24" s="2"/>
      <c r="C24" s="4"/>
      <c r="D24" s="4"/>
      <c r="E24" s="4"/>
      <c r="F24" s="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2:21" x14ac:dyDescent="0.25">
      <c r="B25" s="2"/>
      <c r="C25" s="4"/>
      <c r="D25" s="4"/>
      <c r="E25" s="4"/>
      <c r="F25" s="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2:21" x14ac:dyDescent="0.25">
      <c r="B26" s="2"/>
      <c r="C26" s="4"/>
      <c r="D26" s="4"/>
      <c r="E26" s="4"/>
      <c r="F26" s="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2:21" x14ac:dyDescent="0.25">
      <c r="B27" s="2"/>
      <c r="C27" s="4"/>
      <c r="D27" s="4"/>
      <c r="E27" s="4"/>
      <c r="F27" s="2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2:21" x14ac:dyDescent="0.25">
      <c r="B28" s="2"/>
      <c r="C28" s="4"/>
      <c r="D28" s="4"/>
      <c r="E28" s="4"/>
      <c r="F28" s="2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2:21" x14ac:dyDescent="0.25">
      <c r="B29" s="2"/>
      <c r="C29" s="4"/>
      <c r="D29" s="4"/>
      <c r="E29" s="4"/>
      <c r="F29" s="2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2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2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2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47625</xdr:colOff>
                    <xdr:row>1</xdr:row>
                    <xdr:rowOff>38100</xdr:rowOff>
                  </from>
                  <to>
                    <xdr:col>22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7" sqref="D7"/>
    </sheetView>
  </sheetViews>
  <sheetFormatPr defaultRowHeight="13.5" x14ac:dyDescent="0.25"/>
  <cols>
    <col min="1" max="1" width="11.375" style="6" bestFit="1" customWidth="1"/>
    <col min="2" max="2" width="10" style="6" customWidth="1"/>
    <col min="3" max="4" width="9.625" style="6" customWidth="1"/>
    <col min="5" max="5" width="6.375" style="6" customWidth="1"/>
    <col min="6" max="6" width="7.875" style="6" customWidth="1"/>
    <col min="7" max="16384" width="9" style="6"/>
  </cols>
  <sheetData>
    <row r="1" spans="1:6" x14ac:dyDescent="0.25">
      <c r="A1" s="5" t="s">
        <v>17</v>
      </c>
      <c r="B1" s="1" t="s">
        <v>47</v>
      </c>
    </row>
    <row r="2" spans="1:6" x14ac:dyDescent="0.25">
      <c r="A2" s="5" t="s">
        <v>18</v>
      </c>
      <c r="B2" s="1" t="s">
        <v>21</v>
      </c>
    </row>
    <row r="4" spans="1:6" ht="16.5" x14ac:dyDescent="0.3">
      <c r="A4" s="5" t="s">
        <v>23</v>
      </c>
      <c r="B4" s="1"/>
      <c r="C4" s="5" t="s">
        <v>9</v>
      </c>
      <c r="D4" s="1"/>
      <c r="E4" s="1"/>
      <c r="F4"/>
    </row>
    <row r="5" spans="1:6" ht="16.5" x14ac:dyDescent="0.3">
      <c r="A5" s="5" t="s">
        <v>7</v>
      </c>
      <c r="B5" s="5" t="s">
        <v>8</v>
      </c>
      <c r="C5" s="1" t="s">
        <v>63</v>
      </c>
      <c r="D5" s="1" t="s">
        <v>88</v>
      </c>
      <c r="E5" s="1" t="s">
        <v>22</v>
      </c>
      <c r="F5"/>
    </row>
    <row r="6" spans="1:6" ht="16.5" x14ac:dyDescent="0.3">
      <c r="A6" s="1">
        <v>1</v>
      </c>
      <c r="B6" s="1">
        <v>2</v>
      </c>
      <c r="C6" s="3">
        <v>1785</v>
      </c>
      <c r="D6" s="3"/>
      <c r="E6" s="3">
        <v>1785</v>
      </c>
      <c r="F6"/>
    </row>
    <row r="7" spans="1:6" ht="16.5" x14ac:dyDescent="0.3">
      <c r="A7" s="1"/>
      <c r="B7" s="1">
        <v>5</v>
      </c>
      <c r="C7" s="3">
        <v>1825</v>
      </c>
      <c r="D7" s="3"/>
      <c r="E7" s="3">
        <v>1825</v>
      </c>
      <c r="F7"/>
    </row>
    <row r="8" spans="1:6" ht="16.5" x14ac:dyDescent="0.3">
      <c r="A8" s="1"/>
      <c r="B8" s="1">
        <v>8</v>
      </c>
      <c r="C8" s="3"/>
      <c r="D8" s="3">
        <v>3485</v>
      </c>
      <c r="E8" s="3">
        <v>3485</v>
      </c>
      <c r="F8"/>
    </row>
    <row r="9" spans="1:6" ht="16.5" x14ac:dyDescent="0.3">
      <c r="A9" s="1"/>
      <c r="B9" s="1">
        <v>9</v>
      </c>
      <c r="C9" s="3">
        <v>1865</v>
      </c>
      <c r="D9" s="3"/>
      <c r="E9" s="3">
        <v>1865</v>
      </c>
      <c r="F9"/>
    </row>
    <row r="10" spans="1:6" ht="16.5" x14ac:dyDescent="0.3">
      <c r="A10" s="1" t="s">
        <v>84</v>
      </c>
      <c r="B10" s="1"/>
      <c r="C10" s="3">
        <v>5475</v>
      </c>
      <c r="D10" s="3">
        <v>3485</v>
      </c>
      <c r="E10" s="3">
        <v>8960</v>
      </c>
      <c r="F10"/>
    </row>
    <row r="11" spans="1:6" ht="16.5" x14ac:dyDescent="0.3">
      <c r="A11" s="1" t="s">
        <v>22</v>
      </c>
      <c r="B11" s="1"/>
      <c r="C11" s="3">
        <v>5475</v>
      </c>
      <c r="D11" s="3">
        <v>3485</v>
      </c>
      <c r="E11" s="3">
        <v>8960</v>
      </c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"/>
  <sheetViews>
    <sheetView showGridLines="0" tabSelected="1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23" sqref="I23"/>
    </sheetView>
  </sheetViews>
  <sheetFormatPr defaultRowHeight="13.5" x14ac:dyDescent="0.25"/>
  <cols>
    <col min="1" max="1" width="11.375" style="6" bestFit="1" customWidth="1"/>
    <col min="2" max="2" width="13" style="6" customWidth="1"/>
    <col min="3" max="4" width="13.125" style="6" bestFit="1" customWidth="1"/>
    <col min="5" max="5" width="11.125" style="6" bestFit="1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10" ht="16.5" x14ac:dyDescent="0.3">
      <c r="A1" s="10"/>
      <c r="B1" s="10"/>
      <c r="C1" s="10"/>
      <c r="D1" s="10"/>
      <c r="E1" s="10"/>
      <c r="F1" s="10"/>
      <c r="G1" s="10"/>
      <c r="H1" s="10"/>
    </row>
    <row r="2" spans="1:10" ht="16.5" x14ac:dyDescent="0.3">
      <c r="A2" s="11" t="s">
        <v>17</v>
      </c>
      <c r="B2" s="10" t="s">
        <v>47</v>
      </c>
      <c r="C2" s="10"/>
      <c r="D2" s="10"/>
      <c r="E2" s="10"/>
      <c r="F2" s="10"/>
      <c r="G2" s="10"/>
      <c r="H2" s="10"/>
    </row>
    <row r="3" spans="1:10" ht="16.5" x14ac:dyDescent="0.3">
      <c r="A3" s="11" t="s">
        <v>9</v>
      </c>
      <c r="B3" s="10" t="s">
        <v>63</v>
      </c>
      <c r="C3" s="10"/>
      <c r="D3" s="10"/>
      <c r="E3" s="10"/>
      <c r="F3" s="10"/>
      <c r="G3" s="10"/>
      <c r="H3" s="10"/>
    </row>
    <row r="4" spans="1:10" ht="16.5" x14ac:dyDescent="0.3">
      <c r="A4" s="10"/>
      <c r="B4" s="10"/>
      <c r="C4" s="10"/>
      <c r="D4" s="10"/>
      <c r="E4" s="10"/>
      <c r="F4" s="10"/>
      <c r="G4" s="10"/>
      <c r="H4" s="10"/>
    </row>
    <row r="5" spans="1:10" ht="16.5" x14ac:dyDescent="0.3">
      <c r="A5" s="10"/>
      <c r="B5" s="10"/>
      <c r="C5" s="11" t="s">
        <v>29</v>
      </c>
      <c r="D5" s="10"/>
      <c r="E5" s="10"/>
      <c r="F5" s="12" t="s">
        <v>85</v>
      </c>
      <c r="G5" s="12" t="s">
        <v>86</v>
      </c>
      <c r="H5" s="10"/>
      <c r="I5" s="18" t="s">
        <v>92</v>
      </c>
      <c r="J5" s="18"/>
    </row>
    <row r="6" spans="1:10" ht="16.5" x14ac:dyDescent="0.3">
      <c r="A6" s="11" t="s">
        <v>7</v>
      </c>
      <c r="B6" s="11" t="s">
        <v>8</v>
      </c>
      <c r="C6" s="10" t="s">
        <v>30</v>
      </c>
      <c r="D6" s="10" t="s">
        <v>31</v>
      </c>
      <c r="E6" s="10" t="s">
        <v>24</v>
      </c>
      <c r="F6" s="10"/>
      <c r="G6" s="10"/>
      <c r="H6" s="10"/>
    </row>
    <row r="7" spans="1:10" ht="16.5" x14ac:dyDescent="0.3">
      <c r="A7" s="10">
        <v>1</v>
      </c>
      <c r="B7" s="10">
        <v>2</v>
      </c>
      <c r="C7" s="15">
        <v>2588250</v>
      </c>
      <c r="D7" s="15">
        <v>258825</v>
      </c>
      <c r="E7" s="15">
        <v>2847075</v>
      </c>
      <c r="F7" s="14">
        <v>45294</v>
      </c>
      <c r="G7" s="13">
        <v>2847075</v>
      </c>
      <c r="H7" s="17" t="str">
        <f>IF(E7=G7,"TRUE","FALSE")</f>
        <v>TRUE</v>
      </c>
      <c r="I7" s="18" t="s">
        <v>89</v>
      </c>
    </row>
    <row r="8" spans="1:10" ht="16.5" x14ac:dyDescent="0.3">
      <c r="A8" s="10"/>
      <c r="B8" s="10">
        <v>5</v>
      </c>
      <c r="C8" s="15">
        <v>2646250</v>
      </c>
      <c r="D8" s="15">
        <v>264625</v>
      </c>
      <c r="E8" s="15">
        <v>2910875.0000000005</v>
      </c>
      <c r="F8" s="16">
        <v>45297</v>
      </c>
      <c r="G8" s="15">
        <v>2910875</v>
      </c>
      <c r="H8" s="17" t="str">
        <f t="shared" ref="H8" si="0">IF(E8=G8,"TRUE","FALSE")</f>
        <v>TRUE</v>
      </c>
      <c r="I8" s="18" t="s">
        <v>90</v>
      </c>
    </row>
    <row r="9" spans="1:10" ht="16.5" x14ac:dyDescent="0.3">
      <c r="A9" s="10"/>
      <c r="B9" s="10">
        <v>9</v>
      </c>
      <c r="C9" s="15">
        <v>2704250</v>
      </c>
      <c r="D9" s="15">
        <v>270425</v>
      </c>
      <c r="E9" s="15">
        <v>2974675.0000000005</v>
      </c>
      <c r="F9" s="10"/>
      <c r="G9" s="10"/>
      <c r="H9" s="10"/>
      <c r="I9" s="6" t="s">
        <v>91</v>
      </c>
    </row>
    <row r="10" spans="1:10" ht="16.5" x14ac:dyDescent="0.3">
      <c r="A10" s="10" t="s">
        <v>84</v>
      </c>
      <c r="B10" s="10"/>
      <c r="C10" s="15">
        <v>7938750</v>
      </c>
      <c r="D10" s="15">
        <v>793875</v>
      </c>
      <c r="E10" s="15">
        <v>8732625</v>
      </c>
      <c r="F10"/>
      <c r="G10"/>
      <c r="H10" s="10"/>
    </row>
    <row r="11" spans="1:10" ht="16.5" x14ac:dyDescent="0.3">
      <c r="A11" s="10" t="s">
        <v>22</v>
      </c>
      <c r="B11" s="10"/>
      <c r="C11" s="15">
        <v>7938750</v>
      </c>
      <c r="D11" s="15">
        <v>793875</v>
      </c>
      <c r="E11" s="15">
        <v>8732625</v>
      </c>
      <c r="F11"/>
      <c r="G11"/>
      <c r="H11"/>
    </row>
    <row r="12" spans="1:10" ht="16.5" x14ac:dyDescent="0.3">
      <c r="A12"/>
      <c r="B12"/>
      <c r="C12"/>
      <c r="D12"/>
      <c r="E12"/>
      <c r="F12"/>
      <c r="G12"/>
      <c r="H12"/>
    </row>
    <row r="13" spans="1:10" ht="16.5" x14ac:dyDescent="0.3">
      <c r="A13"/>
      <c r="B13"/>
      <c r="C13"/>
      <c r="D13"/>
      <c r="E13"/>
      <c r="F13"/>
      <c r="G13"/>
      <c r="H13"/>
    </row>
    <row r="14" spans="1:10" ht="16.5" x14ac:dyDescent="0.3">
      <c r="A14"/>
      <c r="B14"/>
      <c r="C14"/>
      <c r="D14"/>
      <c r="E14"/>
      <c r="F14"/>
      <c r="G14"/>
      <c r="H14"/>
    </row>
    <row r="15" spans="1:10" ht="16.5" x14ac:dyDescent="0.3">
      <c r="A15"/>
      <c r="B15"/>
      <c r="C15"/>
      <c r="D15"/>
      <c r="E15"/>
      <c r="F15"/>
      <c r="G15"/>
      <c r="H15"/>
    </row>
    <row r="16" spans="1:10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10" sqref="C10"/>
    </sheetView>
  </sheetViews>
  <sheetFormatPr defaultRowHeight="13.5" x14ac:dyDescent="0.25"/>
  <cols>
    <col min="1" max="1" width="11.375" style="6" bestFit="1" customWidth="1"/>
    <col min="2" max="2" width="10" style="6" customWidth="1"/>
    <col min="3" max="4" width="11.375" style="6" bestFit="1" customWidth="1"/>
    <col min="5" max="5" width="9.6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ht="16.5" x14ac:dyDescent="0.3">
      <c r="A1"/>
      <c r="B1"/>
    </row>
    <row r="2" spans="1:8" x14ac:dyDescent="0.25">
      <c r="A2" s="5" t="s">
        <v>17</v>
      </c>
      <c r="B2" s="1" t="s">
        <v>47</v>
      </c>
    </row>
    <row r="3" spans="1:8" x14ac:dyDescent="0.25">
      <c r="A3" s="5" t="s">
        <v>9</v>
      </c>
      <c r="B3" s="1" t="s">
        <v>88</v>
      </c>
    </row>
    <row r="4" spans="1:8" ht="16.5" x14ac:dyDescent="0.3">
      <c r="A4"/>
      <c r="B4"/>
      <c r="C4"/>
      <c r="D4"/>
      <c r="E4"/>
      <c r="F4"/>
      <c r="G4"/>
      <c r="H4"/>
    </row>
    <row r="5" spans="1:8" ht="16.5" x14ac:dyDescent="0.3">
      <c r="A5" s="1"/>
      <c r="B5" s="1"/>
      <c r="C5" s="5" t="s">
        <v>29</v>
      </c>
      <c r="D5" s="1"/>
      <c r="E5" s="1"/>
      <c r="F5"/>
      <c r="G5"/>
      <c r="H5"/>
    </row>
    <row r="6" spans="1:8" ht="16.5" x14ac:dyDescent="0.3">
      <c r="A6" s="5" t="s">
        <v>7</v>
      </c>
      <c r="B6" s="5" t="s">
        <v>8</v>
      </c>
      <c r="C6" s="1" t="s">
        <v>30</v>
      </c>
      <c r="D6" s="1" t="s">
        <v>31</v>
      </c>
      <c r="E6" s="1" t="s">
        <v>24</v>
      </c>
      <c r="F6"/>
      <c r="G6"/>
      <c r="H6"/>
    </row>
    <row r="7" spans="1:8" ht="16.5" x14ac:dyDescent="0.3">
      <c r="A7" s="1">
        <v>1</v>
      </c>
      <c r="B7" s="1">
        <v>8</v>
      </c>
      <c r="C7" s="3">
        <v>871250</v>
      </c>
      <c r="D7" s="3">
        <v>87125</v>
      </c>
      <c r="E7" s="3">
        <v>958375.00000000012</v>
      </c>
      <c r="F7"/>
      <c r="G7"/>
      <c r="H7"/>
    </row>
    <row r="8" spans="1:8" ht="16.5" x14ac:dyDescent="0.3">
      <c r="A8" s="1" t="s">
        <v>84</v>
      </c>
      <c r="B8" s="1"/>
      <c r="C8" s="3">
        <v>871250</v>
      </c>
      <c r="D8" s="3">
        <v>87125</v>
      </c>
      <c r="E8" s="3">
        <v>958375.00000000012</v>
      </c>
      <c r="F8"/>
      <c r="G8"/>
      <c r="H8"/>
    </row>
    <row r="9" spans="1:8" ht="16.5" x14ac:dyDescent="0.3">
      <c r="A9" s="1" t="s">
        <v>22</v>
      </c>
      <c r="B9" s="1"/>
      <c r="C9" s="3">
        <v>871250</v>
      </c>
      <c r="D9" s="3">
        <v>87125</v>
      </c>
      <c r="E9" s="3">
        <v>958375.00000000012</v>
      </c>
      <c r="F9"/>
      <c r="G9"/>
      <c r="H9"/>
    </row>
    <row r="10" spans="1:8" ht="16.5" x14ac:dyDescent="0.3">
      <c r="A10"/>
      <c r="B10"/>
      <c r="C10"/>
      <c r="D10"/>
      <c r="E10"/>
      <c r="F10"/>
      <c r="G10"/>
      <c r="H10"/>
    </row>
    <row r="11" spans="1:8" ht="16.5" x14ac:dyDescent="0.3">
      <c r="A11"/>
      <c r="B11"/>
      <c r="C11"/>
      <c r="D11"/>
      <c r="E11"/>
      <c r="F11"/>
      <c r="G11"/>
      <c r="H11"/>
    </row>
    <row r="12" spans="1:8" ht="16.5" x14ac:dyDescent="0.3">
      <c r="A12"/>
      <c r="B12"/>
      <c r="C12"/>
      <c r="D12"/>
      <c r="E12"/>
      <c r="F12"/>
      <c r="G12"/>
      <c r="H12"/>
    </row>
    <row r="13" spans="1:8" ht="16.5" x14ac:dyDescent="0.3">
      <c r="A13"/>
      <c r="B13"/>
      <c r="C13"/>
      <c r="D13"/>
      <c r="E13"/>
      <c r="F13"/>
      <c r="G13"/>
      <c r="H13"/>
    </row>
    <row r="14" spans="1:8" ht="16.5" x14ac:dyDescent="0.3">
      <c r="A14"/>
      <c r="B14"/>
      <c r="C14"/>
      <c r="D14"/>
      <c r="E14"/>
      <c r="F14"/>
      <c r="G14"/>
      <c r="H14"/>
    </row>
    <row r="15" spans="1:8" ht="16.5" x14ac:dyDescent="0.3">
      <c r="A15"/>
      <c r="B15"/>
      <c r="C15"/>
      <c r="D15"/>
      <c r="E15"/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30</vt:i4>
      </vt:variant>
    </vt:vector>
  </HeadingPairs>
  <TitlesOfParts>
    <vt:vector size="36" baseType="lpstr">
      <vt:lpstr>Customer</vt:lpstr>
      <vt:lpstr>변수</vt:lpstr>
      <vt:lpstr>List</vt:lpstr>
      <vt:lpstr>Qty</vt:lpstr>
      <vt:lpstr>Value_알캔</vt:lpstr>
      <vt:lpstr>Value_철캔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List!JWLee_21</vt:lpstr>
      <vt:lpstr>List!JWLee_22</vt:lpstr>
      <vt:lpstr>List!JWLee_23</vt:lpstr>
      <vt:lpstr>List!JWLee_24</vt:lpstr>
      <vt:lpstr>List!JWLee_25</vt:lpstr>
      <vt:lpstr>Customer!JWLee_3</vt:lpstr>
      <vt:lpstr>List!JWLee_3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Jongwook Lee</cp:lastModifiedBy>
  <dcterms:created xsi:type="dcterms:W3CDTF">2015-06-05T18:19:34Z</dcterms:created>
  <dcterms:modified xsi:type="dcterms:W3CDTF">2024-01-10T04:50:50Z</dcterms:modified>
</cp:coreProperties>
</file>