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4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List!$A$1:$V$12</definedName>
    <definedName name="JWLee_19" localSheetId="2">List!$A$1:$V$24</definedName>
    <definedName name="JWLee_2" localSheetId="0">Customer!$A$1:$F$29</definedName>
    <definedName name="JWLee_2" localSheetId="2">List!$A$1:$P$624</definedName>
    <definedName name="JWLee_20" localSheetId="2">List!$A$1:$V$30</definedName>
    <definedName name="JWLee_3" localSheetId="0">Customer!$A$1:$F$33</definedName>
    <definedName name="JWLee_3" localSheetId="2">List!$A$1:$F$624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2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<sst xmlns="http://schemas.openxmlformats.org/spreadsheetml/2006/main" count="432" uniqueCount="89">
  <si>
    <t>dname</t>
  </si>
  <si>
    <t>remark</t>
  </si>
  <si>
    <t>상차도</t>
  </si>
  <si>
    <t>kg</t>
  </si>
  <si>
    <t>파지</t>
  </si>
  <si>
    <t>종이류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</si>
  <si>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</si>
  <si>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</si>
  <si>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</si>
  <si>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</si>
  <si>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</si>
  <si>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</si>
  <si>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</si>
  <si>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</si>
  <si>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</si>
  <si>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</si>
  <si>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</si>
  <si>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</si>
  <si>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</si>
  <si>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</si>
  <si>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</si>
  <si>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</si>
  <si>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</si>
  <si>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</si>
  <si>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</si>
  <si>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</si>
  <si>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</si>
  <si>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</si>
  <si>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</si>
  <si>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</si>
  <si>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</si>
  <si>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</si>
  <si>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</si>
  <si>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</si>
  <si>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</si>
  <si>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</si>
  <si>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</si>
  <si>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</si>
  <si>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</si>
  <si>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</si>
  <si>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</si>
  <si>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</si>
  <si>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</si>
  <si>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</si>
  <si>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</si>
  <si>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</si>
  <si>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</si>
  <si>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</si>
  <si>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</si>
  <si>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</si>
  <si>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</si>
  <si>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</si>
  <si>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</si>
  <si>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</si>
  <si>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</si>
  <si>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</si>
  <si>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</si>
  <si>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</si>
  <si>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</si>
  <si>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</si>
  <si>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</si>
  <si>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</si>
  <si>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5931</t>
  </si>
  <si>
    <t>3089</t>
  </si>
  <si>
    <t>6336</t>
  </si>
  <si>
    <t>책</t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</si>
  <si>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</si>
  <si>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</si>
  <si>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</si>
  <si>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</si>
  <si>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</si>
  <si>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</si>
  <si>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</si>
  <si>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</si>
  <si>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</si>
  <si>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</si>
  <si>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</si>
  <si>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</si>
  <si>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</si>
  <si>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</si>
  <si>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</si>
  <si>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</si>
  <si>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</si>
  <si>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</si>
  <si>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</si>
  <si>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</si>
  <si>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2632</t>
  </si>
  <si>
    <t>1 요약</t>
  </si>
  <si>
    <t>1667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</si>
</sst>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128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</xdr:colOff>
          <xdr:row>1</xdr:row>
          <xdr:rowOff>38100</xdr:rowOff>
        </xdr:from>
        <xdr:to>
          <xdr:col>22</xdr:col>
          <xdr:colOff>19050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301.472037037034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18" maxValue="504"/>
    </cacheField>
    <cacheField name="입력일자" numFmtId="0">
      <sharedItems containsNonDate="0" containsDate="1" containsString="0" containsBlank="1" minDate="2024-01-01T00:00:00" maxDate="2024-01-10T00:00:00"/>
    </cacheField>
    <cacheField name="입력년" numFmtId="0">
      <sharedItems containsString="0" containsBlank="1" containsNumber="1" containsInteger="1" minValue="2024" maxValue="2024"/>
    </cacheField>
    <cacheField name="입력월" numFmtId="0">
      <sharedItems containsString="0" containsBlank="1" containsNumber="1" containsInteger="1" minValue="1" maxValue="10" count="3">
        <n v="1"/>
        <m/>
        <n v="10" u="1"/>
      </sharedItems>
    </cacheField>
    <cacheField name="입력일" numFmtId="0">
      <sharedItems containsString="0" containsBlank="1" containsNumber="1" containsInteger="1" minValue="1" maxValue="29" count="30">
        <n v="1"/>
        <n v="2"/>
        <n v="3"/>
        <n v="4"/>
        <n v="5"/>
        <n v="6"/>
        <n v="7"/>
        <n v="8"/>
        <n v="9"/>
        <m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26" u="1"/>
        <n v="27" u="1"/>
        <n v="10" u="1"/>
        <n v="28" u="1"/>
        <n v="29" u="1"/>
        <n v="11" u="1"/>
        <n v="12" u="1"/>
      </sharedItems>
    </cacheField>
    <cacheField name="실입고일" numFmtId="0">
      <sharedItems containsNonDate="0" containsDate="1" containsString="0" containsBlank="1" minDate="2024-01-01T00:00:00" maxDate="2024-01-10T00:00:00"/>
    </cacheField>
    <cacheField name="거래처명" numFmtId="0">
      <sharedItems containsBlank="1" count="4">
        <s v="이수페이퍼"/>
        <m/>
        <s v="대성리싸이클링" u="1"/>
        <s v="수정자원" u="1"/>
      </sharedItems>
    </cacheField>
    <cacheField name="지역" numFmtId="0">
      <sharedItems containsNonDate="0" containsBlank="1" count="3">
        <m/>
        <s v="익산" u="1"/>
        <s v="군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4">
        <s v="파지"/>
        <s v="책"/>
        <m/>
        <s v="신문지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3330" maxValue="15965"/>
    </cacheField>
    <cacheField name="단가" numFmtId="0">
      <sharedItems containsString="0" containsBlank="1" containsNumber="1" containsInteger="1" minValue="90" maxValue="165"/>
    </cacheField>
    <cacheField name="공급가" numFmtId="0">
      <sharedItems containsString="0" containsBlank="1" containsNumber="1" containsInteger="1" minValue="299700" maxValue="2634225"/>
    </cacheField>
    <cacheField name="부가세" numFmtId="0">
      <sharedItems containsString="0" containsBlank="1" containsNumber="1" minValue="29970" maxValue="263422.5"/>
    </cacheField>
    <cacheField name="총액" numFmtId="0">
      <sharedItems containsString="0" containsBlank="1" containsNumber="1" minValue="329670" maxValue="2897647.5000000005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18"/>
    <d v="2024-01-01T00:00:00"/>
    <n v="2024"/>
    <x v="0"/>
    <x v="0"/>
    <d v="2024-01-01T00:00:00"/>
    <x v="0"/>
    <x v="0"/>
    <s v="6336"/>
    <s v="이수페이퍼"/>
    <s v="cus"/>
    <s v="종이류"/>
    <s v=""/>
    <x v="0"/>
    <s v="상차도"/>
    <s v="kg"/>
    <n v="5260"/>
    <n v="90"/>
    <n v="473400"/>
    <n v="47340"/>
    <n v="520740.00000000006"/>
    <m/>
  </r>
  <r>
    <n v="19"/>
    <d v="2024-01-01T00:00:00"/>
    <n v="2024"/>
    <x v="0"/>
    <x v="0"/>
    <d v="2024-01-01T00:00:00"/>
    <x v="0"/>
    <x v="0"/>
    <s v="6336"/>
    <s v="이수페이퍼"/>
    <s v="cus"/>
    <s v="종이류"/>
    <s v=""/>
    <x v="0"/>
    <s v="상차도"/>
    <s v="kg"/>
    <n v="5275"/>
    <n v="90"/>
    <n v="474750"/>
    <n v="47475"/>
    <n v="522225.00000000006"/>
    <m/>
  </r>
  <r>
    <n v="20"/>
    <d v="2024-01-01T00:00:00"/>
    <n v="2024"/>
    <x v="0"/>
    <x v="0"/>
    <d v="2024-01-01T00:00:00"/>
    <x v="0"/>
    <x v="0"/>
    <s v="6336"/>
    <s v="이수페이퍼"/>
    <s v="cus"/>
    <s v="종이류"/>
    <s v=""/>
    <x v="0"/>
    <s v="상차도"/>
    <s v="kg"/>
    <n v="5470"/>
    <n v="90"/>
    <n v="492300"/>
    <n v="49230"/>
    <n v="541530"/>
    <m/>
  </r>
  <r>
    <n v="23"/>
    <d v="2024-01-01T00:00:00"/>
    <n v="2024"/>
    <x v="0"/>
    <x v="0"/>
    <d v="2024-01-01T00:00:00"/>
    <x v="0"/>
    <x v="0"/>
    <s v="5931"/>
    <s v="이수페이퍼"/>
    <s v="cus"/>
    <s v="종이류"/>
    <s v=""/>
    <x v="0"/>
    <s v="상차도"/>
    <s v="kg"/>
    <n v="4855"/>
    <n v="90"/>
    <n v="436950"/>
    <n v="43695"/>
    <n v="480645.00000000006"/>
    <m/>
  </r>
  <r>
    <n v="53"/>
    <d v="2024-01-02T00:00:00"/>
    <n v="2024"/>
    <x v="0"/>
    <x v="1"/>
    <d v="2024-01-02T00:00:00"/>
    <x v="0"/>
    <x v="0"/>
    <s v="6336"/>
    <s v="이수페이퍼"/>
    <s v="cus"/>
    <s v="종이류"/>
    <s v=""/>
    <x v="0"/>
    <s v="상차도"/>
    <s v="kg"/>
    <n v="5550"/>
    <n v="90"/>
    <n v="499500"/>
    <n v="49950"/>
    <n v="549450"/>
    <m/>
  </r>
  <r>
    <n v="56"/>
    <d v="2024-01-02T00:00:00"/>
    <n v="2024"/>
    <x v="0"/>
    <x v="1"/>
    <d v="2024-01-02T00:00:00"/>
    <x v="0"/>
    <x v="0"/>
    <s v="3089"/>
    <s v="이수페이퍼"/>
    <s v="cus"/>
    <s v="종이류"/>
    <s v=""/>
    <x v="1"/>
    <s v="상차도"/>
    <s v="kg"/>
    <n v="15965"/>
    <n v="165"/>
    <n v="2634225"/>
    <n v="263422.5"/>
    <n v="2897647.5000000005"/>
    <m/>
  </r>
  <r>
    <n v="58"/>
    <d v="2024-01-02T00:00:00"/>
    <n v="2024"/>
    <x v="0"/>
    <x v="1"/>
    <d v="2024-01-02T00:00:00"/>
    <x v="0"/>
    <x v="0"/>
    <s v="6336"/>
    <s v="이수페이퍼"/>
    <s v="cus"/>
    <s v="종이류"/>
    <s v=""/>
    <x v="0"/>
    <s v="상차도"/>
    <s v="kg"/>
    <n v="5860"/>
    <n v="90"/>
    <n v="527400"/>
    <n v="52740"/>
    <n v="580140"/>
    <m/>
  </r>
  <r>
    <n v="121"/>
    <d v="2024-01-03T00:00:00"/>
    <n v="2024"/>
    <x v="0"/>
    <x v="2"/>
    <d v="2024-01-03T00:00:00"/>
    <x v="0"/>
    <x v="0"/>
    <s v="6336"/>
    <s v="이수페이퍼"/>
    <s v="cus"/>
    <s v="종이류"/>
    <s v=""/>
    <x v="0"/>
    <s v="상차도"/>
    <s v="kg"/>
    <n v="5235"/>
    <n v="90"/>
    <n v="471150"/>
    <n v="47115"/>
    <n v="518265.00000000006"/>
    <m/>
  </r>
  <r>
    <n v="128"/>
    <d v="2024-01-03T00:00:00"/>
    <n v="2024"/>
    <x v="0"/>
    <x v="2"/>
    <d v="2024-01-03T00:00:00"/>
    <x v="0"/>
    <x v="0"/>
    <s v="6336"/>
    <s v="이수페이퍼"/>
    <s v="cus"/>
    <s v="종이류"/>
    <s v=""/>
    <x v="0"/>
    <s v="상차도"/>
    <s v="kg"/>
    <n v="5475"/>
    <n v="90"/>
    <n v="492750"/>
    <n v="49275"/>
    <n v="542025"/>
    <m/>
  </r>
  <r>
    <n v="181"/>
    <d v="2024-01-04T00:00:00"/>
    <n v="2024"/>
    <x v="0"/>
    <x v="3"/>
    <d v="2024-01-04T00:00:00"/>
    <x v="0"/>
    <x v="0"/>
    <s v="6336"/>
    <s v="이수페이퍼"/>
    <s v="cus"/>
    <s v="종이류"/>
    <s v=""/>
    <x v="0"/>
    <s v="상차도"/>
    <s v="kg"/>
    <n v="4875"/>
    <n v="90"/>
    <n v="438750"/>
    <n v="43875"/>
    <n v="482625.00000000006"/>
    <m/>
  </r>
  <r>
    <n v="185"/>
    <d v="2024-01-04T00:00:00"/>
    <n v="2024"/>
    <x v="0"/>
    <x v="3"/>
    <d v="2024-01-04T00:00:00"/>
    <x v="0"/>
    <x v="0"/>
    <s v="6336"/>
    <s v="이수페이퍼"/>
    <s v="cus"/>
    <s v="종이류"/>
    <s v=""/>
    <x v="0"/>
    <s v="상차도"/>
    <s v="kg"/>
    <n v="5475"/>
    <n v="90"/>
    <n v="492750"/>
    <n v="49275"/>
    <n v="542025"/>
    <m/>
  </r>
  <r>
    <n v="188"/>
    <d v="2024-01-04T00:00:00"/>
    <n v="2024"/>
    <x v="0"/>
    <x v="3"/>
    <d v="2024-01-04T00:00:00"/>
    <x v="0"/>
    <x v="0"/>
    <s v="3089"/>
    <s v="이수페이퍼"/>
    <s v="cus"/>
    <s v="종이류"/>
    <s v=""/>
    <x v="0"/>
    <s v="상차도"/>
    <s v="kg"/>
    <n v="4750"/>
    <n v="90"/>
    <n v="427500"/>
    <n v="42750"/>
    <n v="470250.00000000006"/>
    <m/>
  </r>
  <r>
    <n v="243"/>
    <d v="2024-01-05T00:00:00"/>
    <n v="2024"/>
    <x v="0"/>
    <x v="4"/>
    <d v="2024-01-05T00:00:00"/>
    <x v="0"/>
    <x v="0"/>
    <s v="3089"/>
    <s v="이수페이퍼"/>
    <s v="cus"/>
    <s v="종이류"/>
    <s v=""/>
    <x v="0"/>
    <s v="상차도"/>
    <s v="kg"/>
    <n v="4725"/>
    <n v="90"/>
    <n v="425250"/>
    <n v="42525"/>
    <n v="467775.00000000006"/>
    <m/>
  </r>
  <r>
    <n v="245"/>
    <d v="2024-01-05T00:00:00"/>
    <n v="2024"/>
    <x v="0"/>
    <x v="4"/>
    <d v="2024-01-05T00:00:00"/>
    <x v="0"/>
    <x v="0"/>
    <s v="6336"/>
    <s v="이수페이퍼"/>
    <s v="cus"/>
    <s v="종이류"/>
    <s v=""/>
    <x v="0"/>
    <s v="상차도"/>
    <s v="kg"/>
    <n v="5125"/>
    <n v="90"/>
    <n v="461250"/>
    <n v="46125"/>
    <n v="507375.00000000006"/>
    <m/>
  </r>
  <r>
    <n v="249"/>
    <d v="2024-01-05T00:00:00"/>
    <n v="2024"/>
    <x v="0"/>
    <x v="4"/>
    <d v="2024-01-05T00:00:00"/>
    <x v="0"/>
    <x v="0"/>
    <s v="6336"/>
    <s v="이수페이퍼"/>
    <s v="cus"/>
    <s v="종이류"/>
    <s v=""/>
    <x v="0"/>
    <s v="상차도"/>
    <s v="kg"/>
    <n v="5375"/>
    <n v="90"/>
    <n v="483750"/>
    <n v="48375"/>
    <n v="532125"/>
    <m/>
  </r>
  <r>
    <n v="313"/>
    <d v="2024-01-06T00:00:00"/>
    <n v="2024"/>
    <x v="0"/>
    <x v="5"/>
    <d v="2024-01-06T00:00:00"/>
    <x v="0"/>
    <x v="0"/>
    <s v="3089"/>
    <s v="이수페이퍼"/>
    <s v="cus"/>
    <s v="종이류"/>
    <s v=""/>
    <x v="0"/>
    <s v="상차도"/>
    <s v="kg"/>
    <n v="5230"/>
    <n v="90"/>
    <n v="470700"/>
    <n v="47070"/>
    <n v="517770.00000000006"/>
    <m/>
  </r>
  <r>
    <n v="317"/>
    <d v="2024-01-06T00:00:00"/>
    <n v="2024"/>
    <x v="0"/>
    <x v="5"/>
    <d v="2024-01-06T00:00:00"/>
    <x v="0"/>
    <x v="0"/>
    <s v="1667"/>
    <s v="이수페이퍼"/>
    <s v="cus"/>
    <s v="종이류"/>
    <s v=""/>
    <x v="0"/>
    <s v="상차도"/>
    <s v="kg"/>
    <n v="5120"/>
    <n v="90"/>
    <n v="460800"/>
    <n v="46080"/>
    <n v="506880.00000000006"/>
    <m/>
  </r>
  <r>
    <n v="320"/>
    <d v="2024-01-06T00:00:00"/>
    <n v="2024"/>
    <x v="0"/>
    <x v="5"/>
    <d v="2024-01-06T00:00:00"/>
    <x v="0"/>
    <x v="0"/>
    <s v="1667"/>
    <s v="이수페이퍼"/>
    <s v="cus"/>
    <s v="종이류"/>
    <s v=""/>
    <x v="0"/>
    <s v="상차도"/>
    <s v="kg"/>
    <n v="4535"/>
    <n v="90"/>
    <n v="408150"/>
    <n v="40815"/>
    <n v="448965.00000000006"/>
    <m/>
  </r>
  <r>
    <n v="378"/>
    <d v="2024-01-07T00:00:00"/>
    <n v="2024"/>
    <x v="0"/>
    <x v="6"/>
    <d v="2024-01-07T00:00:00"/>
    <x v="0"/>
    <x v="0"/>
    <s v="5931"/>
    <s v="이수페이퍼"/>
    <s v="cus"/>
    <s v="종이류"/>
    <s v=""/>
    <x v="0"/>
    <s v="상차도"/>
    <s v="kg"/>
    <n v="4075"/>
    <n v="90"/>
    <n v="366750"/>
    <n v="36675"/>
    <n v="403425.00000000006"/>
    <m/>
  </r>
  <r>
    <n v="380"/>
    <d v="2024-01-07T00:00:00"/>
    <n v="2024"/>
    <x v="0"/>
    <x v="6"/>
    <d v="2024-01-07T00:00:00"/>
    <x v="0"/>
    <x v="0"/>
    <s v="2632"/>
    <s v="이수페이퍼"/>
    <s v="cus"/>
    <s v="종이류"/>
    <s v=""/>
    <x v="0"/>
    <s v="상차도"/>
    <s v="kg"/>
    <n v="4430"/>
    <n v="90"/>
    <n v="398700"/>
    <n v="39870"/>
    <n v="438570.00000000006"/>
    <m/>
  </r>
  <r>
    <n v="381"/>
    <d v="2024-01-07T00:00:00"/>
    <n v="2024"/>
    <x v="0"/>
    <x v="6"/>
    <d v="2024-01-07T00:00:00"/>
    <x v="0"/>
    <x v="0"/>
    <s v="1667"/>
    <s v="이수페이퍼"/>
    <s v="cus"/>
    <s v="종이류"/>
    <s v=""/>
    <x v="0"/>
    <s v="상차도"/>
    <s v="kg"/>
    <n v="5845"/>
    <n v="90"/>
    <n v="526050"/>
    <n v="52605"/>
    <n v="578655"/>
    <m/>
  </r>
  <r>
    <n v="383"/>
    <d v="2024-01-07T00:00:00"/>
    <n v="2024"/>
    <x v="0"/>
    <x v="6"/>
    <d v="2024-01-07T00:00:00"/>
    <x v="0"/>
    <x v="0"/>
    <s v="1667"/>
    <s v="이수페이퍼"/>
    <s v="cus"/>
    <s v="종이류"/>
    <s v=""/>
    <x v="0"/>
    <s v="상차도"/>
    <s v="kg"/>
    <n v="14655"/>
    <n v="90"/>
    <n v="1318950"/>
    <n v="131895"/>
    <n v="1450845.0000000002"/>
    <m/>
  </r>
  <r>
    <n v="384"/>
    <d v="2024-01-07T00:00:00"/>
    <n v="2024"/>
    <x v="0"/>
    <x v="6"/>
    <d v="2024-01-07T00:00:00"/>
    <x v="0"/>
    <x v="0"/>
    <s v="5931"/>
    <s v="이수페이퍼"/>
    <s v="cus"/>
    <s v="종이류"/>
    <s v=""/>
    <x v="0"/>
    <s v="상차도"/>
    <s v="kg"/>
    <n v="3330"/>
    <n v="90"/>
    <n v="299700"/>
    <n v="29970"/>
    <n v="329670"/>
    <m/>
  </r>
  <r>
    <n v="430"/>
    <d v="2024-01-08T00:00:00"/>
    <n v="2024"/>
    <x v="0"/>
    <x v="7"/>
    <d v="2024-01-08T00:00:00"/>
    <x v="0"/>
    <x v="0"/>
    <s v="6336"/>
    <s v="이수페이퍼"/>
    <s v="cus"/>
    <s v="종이류"/>
    <s v=""/>
    <x v="0"/>
    <s v="상차도"/>
    <s v="kg"/>
    <n v="5185"/>
    <n v="90"/>
    <n v="466650"/>
    <n v="46665"/>
    <n v="513315.00000000006"/>
    <m/>
  </r>
  <r>
    <n v="434"/>
    <d v="2024-01-08T00:00:00"/>
    <n v="2024"/>
    <x v="0"/>
    <x v="7"/>
    <d v="2024-01-08T00:00:00"/>
    <x v="0"/>
    <x v="0"/>
    <s v="6336"/>
    <s v="이수페이퍼"/>
    <s v="cus"/>
    <s v="종이류"/>
    <s v=""/>
    <x v="0"/>
    <s v="상차도"/>
    <s v="kg"/>
    <n v="5625"/>
    <n v="90"/>
    <n v="506250"/>
    <n v="50625"/>
    <n v="556875"/>
    <m/>
  </r>
  <r>
    <n v="436"/>
    <d v="2024-01-08T00:00:00"/>
    <n v="2024"/>
    <x v="0"/>
    <x v="7"/>
    <d v="2024-01-08T00:00:00"/>
    <x v="0"/>
    <x v="0"/>
    <s v="6336"/>
    <s v="이수페이퍼"/>
    <s v="cus"/>
    <s v="종이류"/>
    <s v=""/>
    <x v="0"/>
    <s v="상차도"/>
    <s v="kg"/>
    <n v="4965"/>
    <n v="90"/>
    <n v="446850"/>
    <n v="44685"/>
    <n v="491535.00000000006"/>
    <m/>
  </r>
  <r>
    <n v="438"/>
    <d v="2024-01-08T00:00:00"/>
    <n v="2024"/>
    <x v="0"/>
    <x v="7"/>
    <d v="2024-01-08T00:00:00"/>
    <x v="0"/>
    <x v="0"/>
    <s v="6336"/>
    <s v="이수페이퍼"/>
    <s v="cus"/>
    <s v="종이류"/>
    <s v=""/>
    <x v="0"/>
    <s v="상차도"/>
    <s v="kg"/>
    <n v="5270"/>
    <n v="90"/>
    <n v="474300"/>
    <n v="47430"/>
    <n v="521730.00000000006"/>
    <m/>
  </r>
  <r>
    <n v="499"/>
    <d v="2024-01-09T00:00:00"/>
    <n v="2024"/>
    <x v="0"/>
    <x v="8"/>
    <d v="2024-01-09T00:00:00"/>
    <x v="0"/>
    <x v="0"/>
    <s v="6336"/>
    <s v="이수페이퍼"/>
    <s v="cus"/>
    <s v="종이류"/>
    <s v=""/>
    <x v="0"/>
    <s v="상차도"/>
    <s v="kg"/>
    <n v="5215"/>
    <n v="90"/>
    <n v="469350"/>
    <n v="46935"/>
    <n v="516285.00000000006"/>
    <m/>
  </r>
  <r>
    <n v="504"/>
    <d v="2024-01-09T00:00:00"/>
    <n v="2024"/>
    <x v="0"/>
    <x v="8"/>
    <d v="2024-01-09T00:00:00"/>
    <x v="0"/>
    <x v="0"/>
    <s v="6336"/>
    <s v="이수페이퍼"/>
    <s v="cus"/>
    <s v="종이류"/>
    <s v=""/>
    <x v="0"/>
    <s v="상차도"/>
    <s v="kg"/>
    <n v="5105"/>
    <n v="90"/>
    <n v="459450"/>
    <n v="45945"/>
    <n v="505395.00000000006"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  <r>
    <m/>
    <m/>
    <m/>
    <x v="1"/>
    <x v="9"/>
    <m/>
    <x v="1"/>
    <x v="0"/>
    <m/>
    <m/>
    <m/>
    <m/>
    <m/>
    <x v="2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m="1" x="2"/>
        <item x="1"/>
        <item x="0"/>
        <item t="default"/>
      </items>
    </pivotField>
    <pivotField axis="axisRow" compact="0" outline="0" showAll="0">
      <items count="31">
        <item x="0"/>
        <item x="1"/>
        <item x="2"/>
        <item x="3"/>
        <item x="4"/>
        <item x="5"/>
        <item x="6"/>
        <item x="7"/>
        <item x="8"/>
        <item m="1" x="25"/>
        <item m="1" x="28"/>
        <item m="1" x="29"/>
        <item m="1" x="10"/>
        <item m="1" x="11"/>
        <item m="1" x="12"/>
        <item m="1" x="13"/>
        <item m="1" x="14"/>
        <item m="1" x="15"/>
        <item m="1" x="16"/>
        <item m="1" x="17"/>
        <item x="9"/>
        <item m="1" x="18"/>
        <item m="1" x="19"/>
        <item m="1" x="20"/>
        <item m="1" x="21"/>
        <item m="1" x="22"/>
        <item m="1" x="23"/>
        <item m="1" x="24"/>
        <item m="1" x="26"/>
        <item m="1" x="27"/>
        <item t="default"/>
      </items>
    </pivotField>
    <pivotField compact="0" outline="0" showAll="0"/>
    <pivotField axis="axisPage" compact="0" outline="0" multipleItemSelectionAllowed="1" showAll="0">
      <items count="5">
        <item m="1" x="3"/>
        <item h="1" x="1"/>
        <item x="0"/>
        <item m="1" x="2"/>
        <item t="default"/>
      </items>
    </pivotField>
    <pivotField axis="axisPage" compact="0" outline="0" showAll="0">
      <items count="4">
        <item m="1" x="2"/>
        <item m="1" x="1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5">
        <item m="1" x="3"/>
        <item x="0"/>
        <item x="2"/>
        <item x="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11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 t="grand">
      <x/>
    </i>
  </rowItems>
  <colFields count="1">
    <field x="13"/>
  </colFields>
  <colItems count="3">
    <i>
      <x v="1"/>
    </i>
    <i>
      <x v="3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127">
      <pivotArea type="all" dataOnly="0" outline="0" fieldPosition="0"/>
    </format>
    <format dxfId="126">
      <pivotArea outline="0" collapsedLevelsAreSubtotals="1" fieldPosition="0"/>
    </format>
    <format dxfId="125">
      <pivotArea type="origin" dataOnly="0" labelOnly="1" outline="0" fieldPosition="0"/>
    </format>
    <format dxfId="124">
      <pivotArea field="13" type="button" dataOnly="0" labelOnly="1" outline="0" axis="axisCol" fieldPosition="0"/>
    </format>
    <format dxfId="123">
      <pivotArea type="topRight" dataOnly="0" labelOnly="1" outline="0" fieldPosition="0"/>
    </format>
    <format dxfId="122">
      <pivotArea field="3" type="button" dataOnly="0" labelOnly="1" outline="0" axis="axisRow" fieldPosition="0"/>
    </format>
    <format dxfId="121">
      <pivotArea field="4" type="button" dataOnly="0" labelOnly="1" outline="0" axis="axisRow" fieldPosition="1"/>
    </format>
    <format dxfId="120">
      <pivotArea dataOnly="0" labelOnly="1" outline="0" fieldPosition="0">
        <references count="1">
          <reference field="3" count="0"/>
        </references>
      </pivotArea>
    </format>
    <format dxfId="119">
      <pivotArea dataOnly="0" labelOnly="1" outline="0" fieldPosition="0">
        <references count="1">
          <reference field="3" count="0" defaultSubtotal="1"/>
        </references>
      </pivotArea>
    </format>
    <format dxfId="118">
      <pivotArea dataOnly="0" labelOnly="1" grandRow="1" outline="0" fieldPosition="0"/>
    </format>
    <format dxfId="117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116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15">
      <pivotArea dataOnly="0" labelOnly="1" outline="0" fieldPosition="0">
        <references count="1">
          <reference field="13" count="0"/>
        </references>
      </pivotArea>
    </format>
    <format dxfId="114">
      <pivotArea dataOnly="0" labelOnly="1" grandCol="1" outline="0" fieldPosition="0"/>
    </format>
    <format dxfId="11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2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4">
        <item m="1" x="2"/>
        <item x="1"/>
        <item x="0"/>
        <item t="default"/>
      </items>
    </pivotField>
    <pivotField axis="axisRow" compact="0" outline="0" showAll="0">
      <items count="31">
        <item x="0"/>
        <item x="1"/>
        <item x="2"/>
        <item x="3"/>
        <item x="4"/>
        <item x="5"/>
        <item x="6"/>
        <item x="7"/>
        <item x="8"/>
        <item m="1" x="25"/>
        <item m="1" x="28"/>
        <item m="1" x="29"/>
        <item m="1" x="10"/>
        <item m="1" x="11"/>
        <item m="1" x="12"/>
        <item m="1" x="13"/>
        <item m="1" x="14"/>
        <item m="1" x="15"/>
        <item m="1" x="16"/>
        <item m="1" x="17"/>
        <item x="9"/>
        <item m="1" x="18"/>
        <item m="1" x="19"/>
        <item m="1" x="20"/>
        <item m="1" x="21"/>
        <item m="1" x="22"/>
        <item m="1" x="23"/>
        <item m="1" x="24"/>
        <item m="1" x="26"/>
        <item m="1" x="27"/>
        <item t="default"/>
      </items>
    </pivotField>
    <pivotField compact="0" outline="0" showAll="0"/>
    <pivotField axis="axisPage" compact="0" outline="0" multipleItemSelectionAllowed="1" showAll="0">
      <items count="5">
        <item m="1" x="3"/>
        <item h="1" x="1"/>
        <item x="0"/>
        <item m="1" x="2"/>
        <item t="default"/>
      </items>
    </pivotField>
    <pivotField axis="axisPage" compact="0" outline="0" showAll="0">
      <items count="4">
        <item m="1" x="2"/>
        <item m="1" x="1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5">
        <item m="1" x="3"/>
        <item x="0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11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112">
      <pivotArea type="all" dataOnly="0" outline="0" fieldPosition="0"/>
    </format>
    <format dxfId="111">
      <pivotArea outline="0" collapsedLevelsAreSubtotals="1" fieldPosition="0"/>
    </format>
    <format dxfId="110">
      <pivotArea type="origin" dataOnly="0" labelOnly="1" outline="0" fieldPosition="0"/>
    </format>
    <format dxfId="109">
      <pivotArea field="13" type="button" dataOnly="0" labelOnly="1" outline="0"/>
    </format>
    <format dxfId="108">
      <pivotArea type="topRight" dataOnly="0" labelOnly="1" outline="0" fieldPosition="0"/>
    </format>
    <format dxfId="107">
      <pivotArea field="3" type="button" dataOnly="0" labelOnly="1" outline="0" axis="axisRow" fieldPosition="0"/>
    </format>
    <format dxfId="106">
      <pivotArea field="4" type="button" dataOnly="0" labelOnly="1" outline="0" axis="axisRow" fieldPosition="1"/>
    </format>
    <format dxfId="105">
      <pivotArea dataOnly="0" labelOnly="1" outline="0" fieldPosition="0">
        <references count="1">
          <reference field="3" count="0"/>
        </references>
      </pivotArea>
    </format>
    <format dxfId="104">
      <pivotArea dataOnly="0" labelOnly="1" outline="0" fieldPosition="0">
        <references count="1">
          <reference field="3" count="0" defaultSubtotal="1"/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101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100">
      <pivotArea dataOnly="0" labelOnly="1" grandCol="1" outline="0" fieldPosition="0"/>
    </format>
    <format dxfId="99">
      <pivotArea outline="0" fieldPosition="0">
        <references count="1">
          <reference field="4294967294" count="1">
            <x v="2"/>
          </reference>
        </references>
      </pivotArea>
    </format>
    <format dxfId="98">
      <pivotArea outline="0" fieldPosition="0">
        <references count="1">
          <reference field="4294967294" count="1">
            <x v="1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6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8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9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0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1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2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13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4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5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8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9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1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2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15" sqref="J15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6</v>
      </c>
      <c r="B1" s="7" t="s">
        <v>35</v>
      </c>
      <c r="C1" s="7" t="s">
        <v>36</v>
      </c>
      <c r="D1" s="7" t="s">
        <v>37</v>
      </c>
      <c r="E1" s="7" t="s">
        <v>38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66</v>
      </c>
      <c r="D2" s="6" t="s">
        <v>67</v>
      </c>
      <c r="E2" s="6" t="s">
        <v>40</v>
      </c>
    </row>
    <row r="3" spans="1:6" x14ac:dyDescent="0.25">
      <c r="A3" s="6">
        <v>1</v>
      </c>
      <c r="B3" s="6">
        <v>80000004</v>
      </c>
      <c r="C3" s="6" t="s">
        <v>39</v>
      </c>
      <c r="D3" s="6" t="s">
        <v>78</v>
      </c>
      <c r="E3" s="6" t="s">
        <v>40</v>
      </c>
      <c r="F3" s="6" t="s">
        <v>27</v>
      </c>
    </row>
    <row r="4" spans="1:6" x14ac:dyDescent="0.25">
      <c r="A4" s="6">
        <v>16</v>
      </c>
      <c r="B4" s="6">
        <v>80000019</v>
      </c>
      <c r="C4" s="6" t="s">
        <v>55</v>
      </c>
      <c r="D4" s="6" t="s">
        <v>78</v>
      </c>
      <c r="E4" s="6" t="s">
        <v>40</v>
      </c>
    </row>
    <row r="5" spans="1:6" x14ac:dyDescent="0.25">
      <c r="A5" s="6">
        <v>7</v>
      </c>
      <c r="B5" s="6">
        <v>80000010</v>
      </c>
      <c r="C5" s="6" t="s">
        <v>46</v>
      </c>
      <c r="D5" s="6" t="s">
        <v>78</v>
      </c>
      <c r="E5" s="6" t="s">
        <v>40</v>
      </c>
      <c r="F5" s="6" t="s">
        <v>27</v>
      </c>
    </row>
    <row r="6" spans="1:6" x14ac:dyDescent="0.25">
      <c r="A6" s="6">
        <v>6</v>
      </c>
      <c r="B6" s="6">
        <v>80000009</v>
      </c>
      <c r="C6" s="6" t="s">
        <v>34</v>
      </c>
      <c r="D6" s="6" t="s">
        <v>78</v>
      </c>
      <c r="E6" s="6" t="s">
        <v>40</v>
      </c>
      <c r="F6" s="6" t="s">
        <v>27</v>
      </c>
    </row>
    <row r="7" spans="1:6" x14ac:dyDescent="0.25">
      <c r="A7" s="6">
        <v>4</v>
      </c>
      <c r="B7" s="6">
        <v>80000007</v>
      </c>
      <c r="C7" s="6" t="s">
        <v>43</v>
      </c>
      <c r="D7" s="6" t="s">
        <v>78</v>
      </c>
      <c r="E7" s="6" t="s">
        <v>40</v>
      </c>
      <c r="F7" s="6" t="s">
        <v>27</v>
      </c>
    </row>
    <row r="8" spans="1:6" x14ac:dyDescent="0.25">
      <c r="A8" s="6">
        <v>25</v>
      </c>
      <c r="B8" s="6">
        <v>80000025</v>
      </c>
      <c r="C8" s="6" t="s">
        <v>68</v>
      </c>
      <c r="D8" s="6" t="s">
        <v>69</v>
      </c>
      <c r="E8" s="6" t="s">
        <v>40</v>
      </c>
      <c r="F8" s="6" t="s">
        <v>70</v>
      </c>
    </row>
    <row r="9" spans="1:6" x14ac:dyDescent="0.25">
      <c r="A9" s="6">
        <v>12</v>
      </c>
      <c r="B9" s="6">
        <v>80000015</v>
      </c>
      <c r="C9" s="6" t="s">
        <v>51</v>
      </c>
      <c r="D9" s="6" t="s">
        <v>78</v>
      </c>
      <c r="E9" s="6" t="s">
        <v>45</v>
      </c>
    </row>
    <row r="10" spans="1:6" x14ac:dyDescent="0.25">
      <c r="A10" s="6">
        <v>10</v>
      </c>
      <c r="B10" s="6">
        <v>80000013</v>
      </c>
      <c r="C10" s="6" t="s">
        <v>49</v>
      </c>
      <c r="D10" s="6" t="s">
        <v>78</v>
      </c>
      <c r="E10" s="6" t="s">
        <v>40</v>
      </c>
      <c r="F10" s="6" t="s">
        <v>27</v>
      </c>
    </row>
    <row r="11" spans="1:6" x14ac:dyDescent="0.25">
      <c r="A11" s="6">
        <v>15</v>
      </c>
      <c r="B11" s="6">
        <v>80000018</v>
      </c>
      <c r="C11" s="6" t="s">
        <v>54</v>
      </c>
      <c r="D11" s="6" t="s">
        <v>78</v>
      </c>
      <c r="E11" s="6" t="s">
        <v>40</v>
      </c>
    </row>
    <row r="12" spans="1:6" x14ac:dyDescent="0.25">
      <c r="A12" s="6">
        <v>19</v>
      </c>
      <c r="B12" s="6">
        <v>80000022</v>
      </c>
      <c r="C12" s="6" t="s">
        <v>58</v>
      </c>
      <c r="D12" s="6" t="s">
        <v>79</v>
      </c>
      <c r="E12" s="6" t="s">
        <v>45</v>
      </c>
    </row>
    <row r="13" spans="1:6" x14ac:dyDescent="0.25">
      <c r="A13" s="6">
        <v>11</v>
      </c>
      <c r="B13" s="6">
        <v>80000014</v>
      </c>
      <c r="C13" s="6" t="s">
        <v>50</v>
      </c>
      <c r="D13" s="6" t="s">
        <v>78</v>
      </c>
      <c r="E13" s="6" t="s">
        <v>40</v>
      </c>
    </row>
    <row r="14" spans="1:6" x14ac:dyDescent="0.25">
      <c r="A14" s="6">
        <v>2</v>
      </c>
      <c r="B14" s="6">
        <v>80000005</v>
      </c>
      <c r="C14" s="6" t="s">
        <v>41</v>
      </c>
      <c r="D14" s="6" t="s">
        <v>78</v>
      </c>
      <c r="E14" s="6" t="s">
        <v>40</v>
      </c>
      <c r="F14" s="6" t="s">
        <v>27</v>
      </c>
    </row>
    <row r="15" spans="1:6" x14ac:dyDescent="0.25">
      <c r="A15" s="6">
        <v>23</v>
      </c>
      <c r="B15" s="6">
        <v>80000002</v>
      </c>
      <c r="C15" s="6" t="s">
        <v>71</v>
      </c>
      <c r="D15" s="6" t="s">
        <v>67</v>
      </c>
      <c r="E15" s="6" t="s">
        <v>40</v>
      </c>
    </row>
    <row r="16" spans="1:6" x14ac:dyDescent="0.25">
      <c r="A16" s="6">
        <v>27</v>
      </c>
      <c r="B16" s="6">
        <v>80000027</v>
      </c>
      <c r="C16" s="6" t="s">
        <v>72</v>
      </c>
      <c r="D16" s="6" t="s">
        <v>67</v>
      </c>
      <c r="E16" s="6" t="s">
        <v>40</v>
      </c>
    </row>
    <row r="17" spans="1:6" x14ac:dyDescent="0.25">
      <c r="A17" s="6">
        <v>26</v>
      </c>
      <c r="B17" s="6">
        <v>80000026</v>
      </c>
      <c r="C17" s="6" t="s">
        <v>73</v>
      </c>
      <c r="D17" s="6" t="s">
        <v>67</v>
      </c>
      <c r="E17" s="6" t="s">
        <v>40</v>
      </c>
    </row>
    <row r="18" spans="1:6" x14ac:dyDescent="0.25">
      <c r="A18" s="6">
        <v>8</v>
      </c>
      <c r="B18" s="6">
        <v>80000011</v>
      </c>
      <c r="C18" s="6" t="s">
        <v>47</v>
      </c>
      <c r="D18" s="6" t="s">
        <v>78</v>
      </c>
      <c r="E18" s="6" t="s">
        <v>40</v>
      </c>
      <c r="F18" s="6" t="s">
        <v>27</v>
      </c>
    </row>
    <row r="19" spans="1:6" x14ac:dyDescent="0.25">
      <c r="A19" s="6">
        <v>22</v>
      </c>
      <c r="B19" s="6">
        <v>80000001</v>
      </c>
      <c r="C19" s="6" t="s">
        <v>74</v>
      </c>
      <c r="D19" s="6" t="s">
        <v>69</v>
      </c>
      <c r="E19" s="6" t="s">
        <v>40</v>
      </c>
      <c r="F19" s="6" t="s">
        <v>75</v>
      </c>
    </row>
    <row r="20" spans="1:6" x14ac:dyDescent="0.25">
      <c r="A20" s="6">
        <v>13</v>
      </c>
      <c r="B20" s="6">
        <v>80000016</v>
      </c>
      <c r="C20" s="6" t="s">
        <v>52</v>
      </c>
      <c r="D20" s="6" t="s">
        <v>78</v>
      </c>
      <c r="E20" s="6" t="s">
        <v>40</v>
      </c>
    </row>
    <row r="21" spans="1:6" x14ac:dyDescent="0.25">
      <c r="A21" s="6">
        <v>18</v>
      </c>
      <c r="B21" s="6">
        <v>80000021</v>
      </c>
      <c r="C21" s="6" t="s">
        <v>57</v>
      </c>
      <c r="D21" s="6" t="s">
        <v>79</v>
      </c>
      <c r="E21" s="6" t="s">
        <v>40</v>
      </c>
      <c r="F21" s="6" t="s">
        <v>80</v>
      </c>
    </row>
    <row r="22" spans="1:6" x14ac:dyDescent="0.25">
      <c r="A22" s="6">
        <v>5</v>
      </c>
      <c r="B22" s="6">
        <v>80000008</v>
      </c>
      <c r="C22" s="6" t="s">
        <v>44</v>
      </c>
      <c r="D22" s="6" t="s">
        <v>78</v>
      </c>
      <c r="E22" s="6" t="s">
        <v>45</v>
      </c>
      <c r="F22" s="6" t="s">
        <v>27</v>
      </c>
    </row>
    <row r="23" spans="1:6" x14ac:dyDescent="0.25">
      <c r="A23" s="6">
        <v>14</v>
      </c>
      <c r="B23" s="6">
        <v>80000017</v>
      </c>
      <c r="C23" s="6" t="s">
        <v>53</v>
      </c>
      <c r="D23" s="6" t="s">
        <v>78</v>
      </c>
      <c r="E23" s="6" t="s">
        <v>40</v>
      </c>
    </row>
    <row r="24" spans="1:6" x14ac:dyDescent="0.25">
      <c r="A24" s="6">
        <v>30</v>
      </c>
      <c r="B24" s="6">
        <v>80000030</v>
      </c>
      <c r="C24" s="6" t="s">
        <v>81</v>
      </c>
      <c r="D24" s="6" t="s">
        <v>79</v>
      </c>
      <c r="E24" s="6" t="s">
        <v>40</v>
      </c>
      <c r="F24" s="6" t="s">
        <v>80</v>
      </c>
    </row>
    <row r="25" spans="1:6" x14ac:dyDescent="0.25">
      <c r="A25" s="6">
        <v>9</v>
      </c>
      <c r="B25" s="6">
        <v>80000012</v>
      </c>
      <c r="C25" s="6" t="s">
        <v>48</v>
      </c>
      <c r="D25" s="6" t="s">
        <v>78</v>
      </c>
      <c r="E25" s="6" t="s">
        <v>40</v>
      </c>
      <c r="F25" s="6" t="s">
        <v>27</v>
      </c>
    </row>
    <row r="26" spans="1:6" x14ac:dyDescent="0.25">
      <c r="A26" s="6">
        <v>3</v>
      </c>
      <c r="B26" s="6">
        <v>80000006</v>
      </c>
      <c r="C26" s="6" t="s">
        <v>42</v>
      </c>
      <c r="D26" s="6" t="s">
        <v>78</v>
      </c>
      <c r="E26" s="6" t="s">
        <v>40</v>
      </c>
      <c r="F26" s="6" t="s">
        <v>27</v>
      </c>
    </row>
    <row r="27" spans="1:6" x14ac:dyDescent="0.25">
      <c r="A27" s="6">
        <v>17</v>
      </c>
      <c r="B27" s="6">
        <v>80000020</v>
      </c>
      <c r="C27" s="6" t="s">
        <v>56</v>
      </c>
      <c r="D27" s="6" t="s">
        <v>78</v>
      </c>
      <c r="E27" s="6" t="s">
        <v>40</v>
      </c>
    </row>
    <row r="28" spans="1:6" x14ac:dyDescent="0.25">
      <c r="A28" s="6">
        <v>24</v>
      </c>
      <c r="B28" s="6">
        <v>80000003</v>
      </c>
      <c r="C28" s="6" t="s">
        <v>76</v>
      </c>
      <c r="D28" s="6" t="s">
        <v>69</v>
      </c>
      <c r="E28" s="6" t="s">
        <v>40</v>
      </c>
      <c r="F28" s="6" t="s">
        <v>77</v>
      </c>
    </row>
    <row r="29" spans="1:6" x14ac:dyDescent="0.25">
      <c r="A29" s="6">
        <v>21</v>
      </c>
      <c r="B29" s="6">
        <v>80000024</v>
      </c>
      <c r="C29" s="6" t="s">
        <v>60</v>
      </c>
      <c r="D29" s="6" t="s">
        <v>79</v>
      </c>
      <c r="E29" s="6" t="s">
        <v>40</v>
      </c>
      <c r="F29" s="6" t="s">
        <v>80</v>
      </c>
    </row>
    <row r="30" spans="1:6" x14ac:dyDescent="0.25">
      <c r="A30" s="6">
        <v>29</v>
      </c>
      <c r="B30" s="6">
        <v>80000029</v>
      </c>
      <c r="C30" s="6" t="s">
        <v>82</v>
      </c>
      <c r="D30" s="6" t="s">
        <v>79</v>
      </c>
      <c r="E30" s="6" t="s">
        <v>40</v>
      </c>
      <c r="F30" s="6" t="s">
        <v>80</v>
      </c>
    </row>
    <row r="31" spans="1:6" x14ac:dyDescent="0.25">
      <c r="A31" s="6">
        <v>32</v>
      </c>
      <c r="B31" s="6">
        <v>80000032</v>
      </c>
      <c r="C31" s="6" t="s">
        <v>83</v>
      </c>
      <c r="D31" s="6" t="s">
        <v>78</v>
      </c>
      <c r="E31" s="6" t="s">
        <v>40</v>
      </c>
      <c r="F31" s="6" t="s">
        <v>84</v>
      </c>
    </row>
    <row r="32" spans="1:6" x14ac:dyDescent="0.25">
      <c r="A32" s="6">
        <v>20</v>
      </c>
      <c r="B32" s="6">
        <v>80000023</v>
      </c>
      <c r="C32" s="6" t="s">
        <v>59</v>
      </c>
      <c r="D32" s="6" t="s">
        <v>79</v>
      </c>
      <c r="E32" s="6" t="s">
        <v>45</v>
      </c>
      <c r="F32" s="6" t="s">
        <v>80</v>
      </c>
    </row>
    <row r="33" spans="1:6" x14ac:dyDescent="0.25">
      <c r="A33" s="6">
        <v>31</v>
      </c>
      <c r="B33" s="6">
        <v>80000031</v>
      </c>
      <c r="C33" s="6" t="s">
        <v>85</v>
      </c>
      <c r="D33" s="6" t="s">
        <v>79</v>
      </c>
      <c r="E33" s="6" t="s">
        <v>40</v>
      </c>
      <c r="F33" s="6" t="s">
        <v>80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C9" sqref="C9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61</v>
      </c>
      <c r="B1" s="9" t="s">
        <v>42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M33" sqref="M33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9.625" style="1" bestFit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8.375" style="1" customWidth="1"/>
    <col min="22" max="22" width="8.875" style="1" bestFit="1" customWidth="1"/>
    <col min="23" max="16384" width="9" style="1"/>
  </cols>
  <sheetData>
    <row r="1" spans="1:22" x14ac:dyDescent="0.25">
      <c r="A1" s="7" t="s">
        <v>6</v>
      </c>
      <c r="B1" s="7" t="s">
        <v>7</v>
      </c>
      <c r="C1" s="7" t="s">
        <v>8</v>
      </c>
      <c r="D1" s="7" t="s">
        <v>9</v>
      </c>
      <c r="E1" s="7" t="s">
        <v>10</v>
      </c>
      <c r="F1" s="7" t="s">
        <v>18</v>
      </c>
      <c r="G1" s="7" t="s">
        <v>19</v>
      </c>
      <c r="H1" s="7" t="s">
        <v>20</v>
      </c>
      <c r="I1" s="7" t="s">
        <v>28</v>
      </c>
      <c r="J1" s="7" t="s">
        <v>29</v>
      </c>
      <c r="K1" s="7" t="s">
        <v>30</v>
      </c>
      <c r="L1" s="7" t="s">
        <v>21</v>
      </c>
      <c r="M1" s="7" t="s">
        <v>22</v>
      </c>
      <c r="N1" s="7" t="s">
        <v>11</v>
      </c>
      <c r="O1" s="7" t="s">
        <v>0</v>
      </c>
      <c r="P1" s="7" t="s">
        <v>12</v>
      </c>
      <c r="Q1" s="7" t="s">
        <v>13</v>
      </c>
      <c r="R1" s="7" t="s">
        <v>14</v>
      </c>
      <c r="S1" s="7" t="s">
        <v>15</v>
      </c>
      <c r="T1" s="7" t="s">
        <v>16</v>
      </c>
      <c r="U1" s="7" t="s">
        <v>17</v>
      </c>
      <c r="V1" s="7" t="s">
        <v>1</v>
      </c>
    </row>
    <row r="2" spans="1:22" x14ac:dyDescent="0.25">
      <c r="A2" s="1">
        <v>18</v>
      </c>
      <c r="B2" s="2">
        <v>45292</v>
      </c>
      <c r="C2" s="4">
        <v>2024</v>
      </c>
      <c r="D2" s="4">
        <v>1</v>
      </c>
      <c r="E2" s="4">
        <v>1</v>
      </c>
      <c r="F2" s="2">
        <v>45292</v>
      </c>
      <c r="G2" s="1" t="s">
        <v>42</v>
      </c>
      <c r="I2" s="1" t="s">
        <v>64</v>
      </c>
      <c r="J2" s="1" t="s">
        <v>42</v>
      </c>
      <c r="K2" s="3" t="s">
        <v>78</v>
      </c>
      <c r="L2" s="3" t="s">
        <v>5</v>
      </c>
      <c r="M2" s="3" t="s">
        <v>27</v>
      </c>
      <c r="N2" s="3" t="s">
        <v>4</v>
      </c>
      <c r="O2" s="3" t="s">
        <v>2</v>
      </c>
      <c r="P2" s="3" t="s">
        <v>3</v>
      </c>
      <c r="Q2" s="3">
        <v>5260</v>
      </c>
      <c r="R2" s="3">
        <v>90</v>
      </c>
      <c r="S2" s="3">
        <v>473400</v>
      </c>
      <c r="T2" s="3">
        <v>47340</v>
      </c>
      <c r="U2" s="3">
        <v>520740.00000000006</v>
      </c>
    </row>
    <row r="3" spans="1:22" x14ac:dyDescent="0.25">
      <c r="A3" s="1">
        <v>19</v>
      </c>
      <c r="B3" s="2">
        <v>45292</v>
      </c>
      <c r="C3" s="4">
        <v>2024</v>
      </c>
      <c r="D3" s="4">
        <v>1</v>
      </c>
      <c r="E3" s="4">
        <v>1</v>
      </c>
      <c r="F3" s="2">
        <v>45292</v>
      </c>
      <c r="G3" s="1" t="s">
        <v>42</v>
      </c>
      <c r="I3" s="1" t="s">
        <v>64</v>
      </c>
      <c r="J3" s="1" t="s">
        <v>42</v>
      </c>
      <c r="K3" s="3" t="s">
        <v>78</v>
      </c>
      <c r="L3" s="3" t="s">
        <v>5</v>
      </c>
      <c r="M3" s="3" t="s">
        <v>27</v>
      </c>
      <c r="N3" s="3" t="s">
        <v>4</v>
      </c>
      <c r="O3" s="3" t="s">
        <v>2</v>
      </c>
      <c r="P3" s="3" t="s">
        <v>3</v>
      </c>
      <c r="Q3" s="3">
        <v>5275</v>
      </c>
      <c r="R3" s="3">
        <v>90</v>
      </c>
      <c r="S3" s="3">
        <v>474750</v>
      </c>
      <c r="T3" s="3">
        <v>47475</v>
      </c>
      <c r="U3" s="3">
        <v>522225.00000000006</v>
      </c>
    </row>
    <row r="4" spans="1:22" x14ac:dyDescent="0.25">
      <c r="A4" s="1">
        <v>20</v>
      </c>
      <c r="B4" s="2">
        <v>45292</v>
      </c>
      <c r="C4" s="4">
        <v>2024</v>
      </c>
      <c r="D4" s="4">
        <v>1</v>
      </c>
      <c r="E4" s="4">
        <v>1</v>
      </c>
      <c r="F4" s="2">
        <v>45292</v>
      </c>
      <c r="G4" s="1" t="s">
        <v>42</v>
      </c>
      <c r="I4" s="1" t="s">
        <v>64</v>
      </c>
      <c r="J4" s="1" t="s">
        <v>42</v>
      </c>
      <c r="K4" s="3" t="s">
        <v>78</v>
      </c>
      <c r="L4" s="3" t="s">
        <v>5</v>
      </c>
      <c r="M4" s="3" t="s">
        <v>27</v>
      </c>
      <c r="N4" s="3" t="s">
        <v>4</v>
      </c>
      <c r="O4" s="3" t="s">
        <v>2</v>
      </c>
      <c r="P4" s="3" t="s">
        <v>3</v>
      </c>
      <c r="Q4" s="3">
        <v>5470</v>
      </c>
      <c r="R4" s="3">
        <v>90</v>
      </c>
      <c r="S4" s="3">
        <v>492300</v>
      </c>
      <c r="T4" s="3">
        <v>49230</v>
      </c>
      <c r="U4" s="3">
        <v>541530</v>
      </c>
    </row>
    <row r="5" spans="1:22" x14ac:dyDescent="0.25">
      <c r="A5" s="1">
        <v>23</v>
      </c>
      <c r="B5" s="2">
        <v>45292</v>
      </c>
      <c r="C5" s="4">
        <v>2024</v>
      </c>
      <c r="D5" s="4">
        <v>1</v>
      </c>
      <c r="E5" s="4">
        <v>1</v>
      </c>
      <c r="F5" s="2">
        <v>45292</v>
      </c>
      <c r="G5" s="1" t="s">
        <v>42</v>
      </c>
      <c r="I5" s="1" t="s">
        <v>62</v>
      </c>
      <c r="J5" s="1" t="s">
        <v>42</v>
      </c>
      <c r="K5" s="3" t="s">
        <v>78</v>
      </c>
      <c r="L5" s="3" t="s">
        <v>5</v>
      </c>
      <c r="M5" s="3" t="s">
        <v>27</v>
      </c>
      <c r="N5" s="3" t="s">
        <v>4</v>
      </c>
      <c r="O5" s="3" t="s">
        <v>2</v>
      </c>
      <c r="P5" s="3" t="s">
        <v>3</v>
      </c>
      <c r="Q5" s="3">
        <v>4855</v>
      </c>
      <c r="R5" s="3">
        <v>90</v>
      </c>
      <c r="S5" s="3">
        <v>436950</v>
      </c>
      <c r="T5" s="3">
        <v>43695</v>
      </c>
      <c r="U5" s="3">
        <v>480645.00000000006</v>
      </c>
    </row>
    <row r="6" spans="1:22" x14ac:dyDescent="0.25">
      <c r="A6" s="1">
        <v>53</v>
      </c>
      <c r="B6" s="2">
        <v>45293</v>
      </c>
      <c r="C6" s="4">
        <v>2024</v>
      </c>
      <c r="D6" s="4">
        <v>1</v>
      </c>
      <c r="E6" s="4">
        <v>2</v>
      </c>
      <c r="F6" s="2">
        <v>45293</v>
      </c>
      <c r="G6" s="1" t="s">
        <v>42</v>
      </c>
      <c r="I6" s="1" t="s">
        <v>64</v>
      </c>
      <c r="J6" s="1" t="s">
        <v>42</v>
      </c>
      <c r="K6" s="3" t="s">
        <v>78</v>
      </c>
      <c r="L6" s="3" t="s">
        <v>5</v>
      </c>
      <c r="M6" s="3" t="s">
        <v>27</v>
      </c>
      <c r="N6" s="3" t="s">
        <v>4</v>
      </c>
      <c r="O6" s="3" t="s">
        <v>2</v>
      </c>
      <c r="P6" s="3" t="s">
        <v>3</v>
      </c>
      <c r="Q6" s="3">
        <v>5550</v>
      </c>
      <c r="R6" s="3">
        <v>90</v>
      </c>
      <c r="S6" s="3">
        <v>499500</v>
      </c>
      <c r="T6" s="3">
        <v>49950</v>
      </c>
      <c r="U6" s="3">
        <v>549450</v>
      </c>
    </row>
    <row r="7" spans="1:22" x14ac:dyDescent="0.25">
      <c r="A7" s="1">
        <v>56</v>
      </c>
      <c r="B7" s="2">
        <v>45293</v>
      </c>
      <c r="C7" s="4">
        <v>2024</v>
      </c>
      <c r="D7" s="4">
        <v>1</v>
      </c>
      <c r="E7" s="4">
        <v>2</v>
      </c>
      <c r="F7" s="2">
        <v>45293</v>
      </c>
      <c r="G7" s="1" t="s">
        <v>42</v>
      </c>
      <c r="I7" s="1" t="s">
        <v>63</v>
      </c>
      <c r="J7" s="1" t="s">
        <v>42</v>
      </c>
      <c r="K7" s="3" t="s">
        <v>78</v>
      </c>
      <c r="L7" s="3" t="s">
        <v>5</v>
      </c>
      <c r="M7" s="3" t="s">
        <v>27</v>
      </c>
      <c r="N7" s="3" t="s">
        <v>65</v>
      </c>
      <c r="O7" s="3" t="s">
        <v>2</v>
      </c>
      <c r="P7" s="3" t="s">
        <v>3</v>
      </c>
      <c r="Q7" s="3">
        <v>15965</v>
      </c>
      <c r="R7" s="3">
        <v>165</v>
      </c>
      <c r="S7" s="3">
        <v>2634225</v>
      </c>
      <c r="T7" s="3">
        <v>263422.5</v>
      </c>
      <c r="U7" s="3">
        <v>2897647.5000000005</v>
      </c>
    </row>
    <row r="8" spans="1:22" x14ac:dyDescent="0.25">
      <c r="A8" s="1">
        <v>58</v>
      </c>
      <c r="B8" s="2">
        <v>45293</v>
      </c>
      <c r="C8" s="4">
        <v>2024</v>
      </c>
      <c r="D8" s="4">
        <v>1</v>
      </c>
      <c r="E8" s="4">
        <v>2</v>
      </c>
      <c r="F8" s="2">
        <v>45293</v>
      </c>
      <c r="G8" s="1" t="s">
        <v>42</v>
      </c>
      <c r="I8" s="1" t="s">
        <v>64</v>
      </c>
      <c r="J8" s="1" t="s">
        <v>42</v>
      </c>
      <c r="K8" s="3" t="s">
        <v>78</v>
      </c>
      <c r="L8" s="3" t="s">
        <v>5</v>
      </c>
      <c r="M8" s="3" t="s">
        <v>27</v>
      </c>
      <c r="N8" s="3" t="s">
        <v>4</v>
      </c>
      <c r="O8" s="3" t="s">
        <v>2</v>
      </c>
      <c r="P8" s="3" t="s">
        <v>3</v>
      </c>
      <c r="Q8" s="3">
        <v>5860</v>
      </c>
      <c r="R8" s="3">
        <v>90</v>
      </c>
      <c r="S8" s="3">
        <v>527400</v>
      </c>
      <c r="T8" s="3">
        <v>52740</v>
      </c>
      <c r="U8" s="3">
        <v>580140</v>
      </c>
    </row>
    <row r="9" spans="1:22" x14ac:dyDescent="0.25">
      <c r="A9" s="1">
        <v>121</v>
      </c>
      <c r="B9" s="2">
        <v>45294</v>
      </c>
      <c r="C9" s="4">
        <v>2024</v>
      </c>
      <c r="D9" s="4">
        <v>1</v>
      </c>
      <c r="E9" s="4">
        <v>3</v>
      </c>
      <c r="F9" s="2">
        <v>45294</v>
      </c>
      <c r="G9" s="1" t="s">
        <v>42</v>
      </c>
      <c r="I9" s="1" t="s">
        <v>64</v>
      </c>
      <c r="J9" s="1" t="s">
        <v>42</v>
      </c>
      <c r="K9" s="3" t="s">
        <v>78</v>
      </c>
      <c r="L9" s="3" t="s">
        <v>5</v>
      </c>
      <c r="M9" s="3" t="s">
        <v>27</v>
      </c>
      <c r="N9" s="3" t="s">
        <v>4</v>
      </c>
      <c r="O9" s="3" t="s">
        <v>2</v>
      </c>
      <c r="P9" s="3" t="s">
        <v>3</v>
      </c>
      <c r="Q9" s="3">
        <v>5235</v>
      </c>
      <c r="R9" s="3">
        <v>90</v>
      </c>
      <c r="S9" s="3">
        <v>471150</v>
      </c>
      <c r="T9" s="3">
        <v>47115</v>
      </c>
      <c r="U9" s="3">
        <v>518265.00000000006</v>
      </c>
    </row>
    <row r="10" spans="1:22" x14ac:dyDescent="0.25">
      <c r="A10" s="1">
        <v>128</v>
      </c>
      <c r="B10" s="2">
        <v>45294</v>
      </c>
      <c r="C10" s="4">
        <v>2024</v>
      </c>
      <c r="D10" s="4">
        <v>1</v>
      </c>
      <c r="E10" s="4">
        <v>3</v>
      </c>
      <c r="F10" s="2">
        <v>45294</v>
      </c>
      <c r="G10" s="1" t="s">
        <v>42</v>
      </c>
      <c r="I10" s="1" t="s">
        <v>64</v>
      </c>
      <c r="J10" s="1" t="s">
        <v>42</v>
      </c>
      <c r="K10" s="3" t="s">
        <v>78</v>
      </c>
      <c r="L10" s="3" t="s">
        <v>5</v>
      </c>
      <c r="M10" s="3" t="s">
        <v>27</v>
      </c>
      <c r="N10" s="3" t="s">
        <v>4</v>
      </c>
      <c r="O10" s="3" t="s">
        <v>2</v>
      </c>
      <c r="P10" s="3" t="s">
        <v>3</v>
      </c>
      <c r="Q10" s="3">
        <v>5475</v>
      </c>
      <c r="R10" s="3">
        <v>90</v>
      </c>
      <c r="S10" s="3">
        <v>492750</v>
      </c>
      <c r="T10" s="3">
        <v>49275</v>
      </c>
      <c r="U10" s="3">
        <v>542025</v>
      </c>
    </row>
    <row r="11" spans="1:22" x14ac:dyDescent="0.25">
      <c r="A11" s="1">
        <v>181</v>
      </c>
      <c r="B11" s="2">
        <v>45295</v>
      </c>
      <c r="C11" s="4">
        <v>2024</v>
      </c>
      <c r="D11" s="4">
        <v>1</v>
      </c>
      <c r="E11" s="4">
        <v>4</v>
      </c>
      <c r="F11" s="2">
        <v>45295</v>
      </c>
      <c r="G11" s="1" t="s">
        <v>42</v>
      </c>
      <c r="I11" s="1" t="s">
        <v>64</v>
      </c>
      <c r="J11" s="1" t="s">
        <v>42</v>
      </c>
      <c r="K11" s="3" t="s">
        <v>78</v>
      </c>
      <c r="L11" s="3" t="s">
        <v>5</v>
      </c>
      <c r="M11" s="3" t="s">
        <v>27</v>
      </c>
      <c r="N11" s="3" t="s">
        <v>4</v>
      </c>
      <c r="O11" s="3" t="s">
        <v>2</v>
      </c>
      <c r="P11" s="3" t="s">
        <v>3</v>
      </c>
      <c r="Q11" s="3">
        <v>4875</v>
      </c>
      <c r="R11" s="3">
        <v>90</v>
      </c>
      <c r="S11" s="3">
        <v>438750</v>
      </c>
      <c r="T11" s="3">
        <v>43875</v>
      </c>
      <c r="U11" s="3">
        <v>482625.00000000006</v>
      </c>
    </row>
    <row r="12" spans="1:22" x14ac:dyDescent="0.25">
      <c r="A12" s="1">
        <v>185</v>
      </c>
      <c r="B12" s="2">
        <v>45295</v>
      </c>
      <c r="C12" s="4">
        <v>2024</v>
      </c>
      <c r="D12" s="4">
        <v>1</v>
      </c>
      <c r="E12" s="4">
        <v>4</v>
      </c>
      <c r="F12" s="2">
        <v>45295</v>
      </c>
      <c r="G12" s="1" t="s">
        <v>42</v>
      </c>
      <c r="I12" s="1" t="s">
        <v>64</v>
      </c>
      <c r="J12" s="1" t="s">
        <v>42</v>
      </c>
      <c r="K12" s="3" t="s">
        <v>78</v>
      </c>
      <c r="L12" s="3" t="s">
        <v>5</v>
      </c>
      <c r="M12" s="3" t="s">
        <v>27</v>
      </c>
      <c r="N12" s="3" t="s">
        <v>4</v>
      </c>
      <c r="O12" s="3" t="s">
        <v>2</v>
      </c>
      <c r="P12" s="3" t="s">
        <v>3</v>
      </c>
      <c r="Q12" s="3">
        <v>5475</v>
      </c>
      <c r="R12" s="3">
        <v>90</v>
      </c>
      <c r="S12" s="3">
        <v>492750</v>
      </c>
      <c r="T12" s="3">
        <v>49275</v>
      </c>
      <c r="U12" s="3">
        <v>542025</v>
      </c>
    </row>
    <row r="13" spans="1:22" x14ac:dyDescent="0.25">
      <c r="A13" s="1">
        <v>188</v>
      </c>
      <c r="B13" s="2">
        <v>45295</v>
      </c>
      <c r="C13" s="4">
        <v>2024</v>
      </c>
      <c r="D13" s="4">
        <v>1</v>
      </c>
      <c r="E13" s="4">
        <v>4</v>
      </c>
      <c r="F13" s="2">
        <v>45295</v>
      </c>
      <c r="G13" s="1" t="s">
        <v>42</v>
      </c>
      <c r="I13" s="1" t="s">
        <v>63</v>
      </c>
      <c r="J13" s="1" t="s">
        <v>42</v>
      </c>
      <c r="K13" s="3" t="s">
        <v>78</v>
      </c>
      <c r="L13" s="3" t="s">
        <v>5</v>
      </c>
      <c r="M13" s="3" t="s">
        <v>27</v>
      </c>
      <c r="N13" s="3" t="s">
        <v>4</v>
      </c>
      <c r="O13" s="3" t="s">
        <v>2</v>
      </c>
      <c r="P13" s="3" t="s">
        <v>3</v>
      </c>
      <c r="Q13" s="3">
        <v>4750</v>
      </c>
      <c r="R13" s="3">
        <v>90</v>
      </c>
      <c r="S13" s="3">
        <v>427500</v>
      </c>
      <c r="T13" s="3">
        <v>42750</v>
      </c>
      <c r="U13" s="3">
        <v>470250.00000000006</v>
      </c>
    </row>
    <row r="14" spans="1:22" x14ac:dyDescent="0.25">
      <c r="A14" s="1">
        <v>243</v>
      </c>
      <c r="B14" s="2">
        <v>45296</v>
      </c>
      <c r="C14" s="4">
        <v>2024</v>
      </c>
      <c r="D14" s="4">
        <v>1</v>
      </c>
      <c r="E14" s="4">
        <v>5</v>
      </c>
      <c r="F14" s="2">
        <v>45296</v>
      </c>
      <c r="G14" s="1" t="s">
        <v>42</v>
      </c>
      <c r="I14" s="1" t="s">
        <v>63</v>
      </c>
      <c r="J14" s="1" t="s">
        <v>42</v>
      </c>
      <c r="K14" s="3" t="s">
        <v>78</v>
      </c>
      <c r="L14" s="3" t="s">
        <v>5</v>
      </c>
      <c r="M14" s="3" t="s">
        <v>27</v>
      </c>
      <c r="N14" s="3" t="s">
        <v>4</v>
      </c>
      <c r="O14" s="3" t="s">
        <v>2</v>
      </c>
      <c r="P14" s="3" t="s">
        <v>3</v>
      </c>
      <c r="Q14" s="3">
        <v>4725</v>
      </c>
      <c r="R14" s="3">
        <v>90</v>
      </c>
      <c r="S14" s="3">
        <v>425250</v>
      </c>
      <c r="T14" s="3">
        <v>42525</v>
      </c>
      <c r="U14" s="3">
        <v>467775.00000000006</v>
      </c>
    </row>
    <row r="15" spans="1:22" x14ac:dyDescent="0.25">
      <c r="A15" s="1">
        <v>245</v>
      </c>
      <c r="B15" s="2">
        <v>45296</v>
      </c>
      <c r="C15" s="4">
        <v>2024</v>
      </c>
      <c r="D15" s="4">
        <v>1</v>
      </c>
      <c r="E15" s="4">
        <v>5</v>
      </c>
      <c r="F15" s="2">
        <v>45296</v>
      </c>
      <c r="G15" s="1" t="s">
        <v>42</v>
      </c>
      <c r="I15" s="1" t="s">
        <v>64</v>
      </c>
      <c r="J15" s="1" t="s">
        <v>42</v>
      </c>
      <c r="K15" s="3" t="s">
        <v>78</v>
      </c>
      <c r="L15" s="3" t="s">
        <v>5</v>
      </c>
      <c r="M15" s="3" t="s">
        <v>27</v>
      </c>
      <c r="N15" s="3" t="s">
        <v>4</v>
      </c>
      <c r="O15" s="3" t="s">
        <v>2</v>
      </c>
      <c r="P15" s="3" t="s">
        <v>3</v>
      </c>
      <c r="Q15" s="3">
        <v>5125</v>
      </c>
      <c r="R15" s="3">
        <v>90</v>
      </c>
      <c r="S15" s="3">
        <v>461250</v>
      </c>
      <c r="T15" s="3">
        <v>46125</v>
      </c>
      <c r="U15" s="3">
        <v>507375.00000000006</v>
      </c>
    </row>
    <row r="16" spans="1:22" x14ac:dyDescent="0.25">
      <c r="A16" s="1">
        <v>249</v>
      </c>
      <c r="B16" s="2">
        <v>45296</v>
      </c>
      <c r="C16" s="4">
        <v>2024</v>
      </c>
      <c r="D16" s="4">
        <v>1</v>
      </c>
      <c r="E16" s="4">
        <v>5</v>
      </c>
      <c r="F16" s="2">
        <v>45296</v>
      </c>
      <c r="G16" s="1" t="s">
        <v>42</v>
      </c>
      <c r="I16" s="1" t="s">
        <v>64</v>
      </c>
      <c r="J16" s="1" t="s">
        <v>42</v>
      </c>
      <c r="K16" s="3" t="s">
        <v>78</v>
      </c>
      <c r="L16" s="3" t="s">
        <v>5</v>
      </c>
      <c r="M16" s="3" t="s">
        <v>27</v>
      </c>
      <c r="N16" s="3" t="s">
        <v>4</v>
      </c>
      <c r="O16" s="3" t="s">
        <v>2</v>
      </c>
      <c r="P16" s="3" t="s">
        <v>3</v>
      </c>
      <c r="Q16" s="3">
        <v>5375</v>
      </c>
      <c r="R16" s="3">
        <v>90</v>
      </c>
      <c r="S16" s="3">
        <v>483750</v>
      </c>
      <c r="T16" s="3">
        <v>48375</v>
      </c>
      <c r="U16" s="3">
        <v>532125</v>
      </c>
    </row>
    <row r="17" spans="1:21" x14ac:dyDescent="0.25">
      <c r="A17" s="1">
        <v>313</v>
      </c>
      <c r="B17" s="2">
        <v>45297</v>
      </c>
      <c r="C17" s="4">
        <v>2024</v>
      </c>
      <c r="D17" s="4">
        <v>1</v>
      </c>
      <c r="E17" s="4">
        <v>6</v>
      </c>
      <c r="F17" s="2">
        <v>45297</v>
      </c>
      <c r="G17" s="1" t="s">
        <v>42</v>
      </c>
      <c r="I17" s="1" t="s">
        <v>63</v>
      </c>
      <c r="J17" s="1" t="s">
        <v>42</v>
      </c>
      <c r="K17" s="3" t="s">
        <v>78</v>
      </c>
      <c r="L17" s="3" t="s">
        <v>5</v>
      </c>
      <c r="M17" s="3" t="s">
        <v>27</v>
      </c>
      <c r="N17" s="3" t="s">
        <v>4</v>
      </c>
      <c r="O17" s="3" t="s">
        <v>2</v>
      </c>
      <c r="P17" s="3" t="s">
        <v>3</v>
      </c>
      <c r="Q17" s="3">
        <v>5230</v>
      </c>
      <c r="R17" s="3">
        <v>90</v>
      </c>
      <c r="S17" s="3">
        <v>470700</v>
      </c>
      <c r="T17" s="3">
        <v>47070</v>
      </c>
      <c r="U17" s="3">
        <v>517770.00000000006</v>
      </c>
    </row>
    <row r="18" spans="1:21" x14ac:dyDescent="0.25">
      <c r="A18" s="1">
        <v>317</v>
      </c>
      <c r="B18" s="2">
        <v>45297</v>
      </c>
      <c r="C18" s="4">
        <v>2024</v>
      </c>
      <c r="D18" s="4">
        <v>1</v>
      </c>
      <c r="E18" s="4">
        <v>6</v>
      </c>
      <c r="F18" s="2">
        <v>45297</v>
      </c>
      <c r="G18" s="1" t="s">
        <v>42</v>
      </c>
      <c r="I18" s="1" t="s">
        <v>88</v>
      </c>
      <c r="J18" s="1" t="s">
        <v>42</v>
      </c>
      <c r="K18" s="3" t="s">
        <v>78</v>
      </c>
      <c r="L18" s="3" t="s">
        <v>5</v>
      </c>
      <c r="M18" s="3" t="s">
        <v>27</v>
      </c>
      <c r="N18" s="3" t="s">
        <v>4</v>
      </c>
      <c r="O18" s="3" t="s">
        <v>2</v>
      </c>
      <c r="P18" s="3" t="s">
        <v>3</v>
      </c>
      <c r="Q18" s="3">
        <v>5120</v>
      </c>
      <c r="R18" s="3">
        <v>90</v>
      </c>
      <c r="S18" s="3">
        <v>460800</v>
      </c>
      <c r="T18" s="3">
        <v>46080</v>
      </c>
      <c r="U18" s="3">
        <v>506880.00000000006</v>
      </c>
    </row>
    <row r="19" spans="1:21" x14ac:dyDescent="0.25">
      <c r="A19" s="1">
        <v>320</v>
      </c>
      <c r="B19" s="2">
        <v>45297</v>
      </c>
      <c r="C19" s="4">
        <v>2024</v>
      </c>
      <c r="D19" s="4">
        <v>1</v>
      </c>
      <c r="E19" s="4">
        <v>6</v>
      </c>
      <c r="F19" s="2">
        <v>45297</v>
      </c>
      <c r="G19" s="1" t="s">
        <v>42</v>
      </c>
      <c r="I19" s="1" t="s">
        <v>88</v>
      </c>
      <c r="J19" s="1" t="s">
        <v>42</v>
      </c>
      <c r="K19" s="3" t="s">
        <v>78</v>
      </c>
      <c r="L19" s="3" t="s">
        <v>5</v>
      </c>
      <c r="M19" s="3" t="s">
        <v>27</v>
      </c>
      <c r="N19" s="3" t="s">
        <v>4</v>
      </c>
      <c r="O19" s="3" t="s">
        <v>2</v>
      </c>
      <c r="P19" s="3" t="s">
        <v>3</v>
      </c>
      <c r="Q19" s="3">
        <v>4535</v>
      </c>
      <c r="R19" s="3">
        <v>90</v>
      </c>
      <c r="S19" s="3">
        <v>408150</v>
      </c>
      <c r="T19" s="3">
        <v>40815</v>
      </c>
      <c r="U19" s="3">
        <v>448965.00000000006</v>
      </c>
    </row>
    <row r="20" spans="1:21" x14ac:dyDescent="0.25">
      <c r="A20" s="1">
        <v>378</v>
      </c>
      <c r="B20" s="2">
        <v>45298</v>
      </c>
      <c r="C20" s="4">
        <v>2024</v>
      </c>
      <c r="D20" s="4">
        <v>1</v>
      </c>
      <c r="E20" s="4">
        <v>7</v>
      </c>
      <c r="F20" s="2">
        <v>45298</v>
      </c>
      <c r="G20" s="1" t="s">
        <v>42</v>
      </c>
      <c r="I20" s="1" t="s">
        <v>62</v>
      </c>
      <c r="J20" s="1" t="s">
        <v>42</v>
      </c>
      <c r="K20" s="3" t="s">
        <v>78</v>
      </c>
      <c r="L20" s="3" t="s">
        <v>5</v>
      </c>
      <c r="M20" s="3" t="s">
        <v>27</v>
      </c>
      <c r="N20" s="3" t="s">
        <v>4</v>
      </c>
      <c r="O20" s="3" t="s">
        <v>2</v>
      </c>
      <c r="P20" s="3" t="s">
        <v>3</v>
      </c>
      <c r="Q20" s="3">
        <v>4075</v>
      </c>
      <c r="R20" s="3">
        <v>90</v>
      </c>
      <c r="S20" s="3">
        <v>366750</v>
      </c>
      <c r="T20" s="3">
        <v>36675</v>
      </c>
      <c r="U20" s="3">
        <v>403425.00000000006</v>
      </c>
    </row>
    <row r="21" spans="1:21" x14ac:dyDescent="0.25">
      <c r="A21" s="1">
        <v>380</v>
      </c>
      <c r="B21" s="2">
        <v>45298</v>
      </c>
      <c r="C21" s="4">
        <v>2024</v>
      </c>
      <c r="D21" s="4">
        <v>1</v>
      </c>
      <c r="E21" s="4">
        <v>7</v>
      </c>
      <c r="F21" s="2">
        <v>45298</v>
      </c>
      <c r="G21" s="1" t="s">
        <v>42</v>
      </c>
      <c r="I21" s="1" t="s">
        <v>86</v>
      </c>
      <c r="J21" s="1" t="s">
        <v>42</v>
      </c>
      <c r="K21" s="3" t="s">
        <v>78</v>
      </c>
      <c r="L21" s="3" t="s">
        <v>5</v>
      </c>
      <c r="M21" s="3" t="s">
        <v>27</v>
      </c>
      <c r="N21" s="3" t="s">
        <v>4</v>
      </c>
      <c r="O21" s="3" t="s">
        <v>2</v>
      </c>
      <c r="P21" s="3" t="s">
        <v>3</v>
      </c>
      <c r="Q21" s="3">
        <v>4430</v>
      </c>
      <c r="R21" s="3">
        <v>90</v>
      </c>
      <c r="S21" s="3">
        <v>398700</v>
      </c>
      <c r="T21" s="3">
        <v>39870</v>
      </c>
      <c r="U21" s="3">
        <v>438570.00000000006</v>
      </c>
    </row>
    <row r="22" spans="1:21" x14ac:dyDescent="0.25">
      <c r="A22" s="1">
        <v>381</v>
      </c>
      <c r="B22" s="2">
        <v>45298</v>
      </c>
      <c r="C22" s="4">
        <v>2024</v>
      </c>
      <c r="D22" s="4">
        <v>1</v>
      </c>
      <c r="E22" s="4">
        <v>7</v>
      </c>
      <c r="F22" s="2">
        <v>45298</v>
      </c>
      <c r="G22" s="1" t="s">
        <v>42</v>
      </c>
      <c r="I22" s="1" t="s">
        <v>88</v>
      </c>
      <c r="J22" s="1" t="s">
        <v>42</v>
      </c>
      <c r="K22" s="3" t="s">
        <v>78</v>
      </c>
      <c r="L22" s="3" t="s">
        <v>5</v>
      </c>
      <c r="M22" s="3" t="s">
        <v>27</v>
      </c>
      <c r="N22" s="3" t="s">
        <v>4</v>
      </c>
      <c r="O22" s="3" t="s">
        <v>2</v>
      </c>
      <c r="P22" s="3" t="s">
        <v>3</v>
      </c>
      <c r="Q22" s="3">
        <v>5845</v>
      </c>
      <c r="R22" s="3">
        <v>90</v>
      </c>
      <c r="S22" s="3">
        <v>526050</v>
      </c>
      <c r="T22" s="3">
        <v>52605</v>
      </c>
      <c r="U22" s="3">
        <v>578655</v>
      </c>
    </row>
    <row r="23" spans="1:21" x14ac:dyDescent="0.25">
      <c r="A23" s="1">
        <v>383</v>
      </c>
      <c r="B23" s="2">
        <v>45298</v>
      </c>
      <c r="C23" s="4">
        <v>2024</v>
      </c>
      <c r="D23" s="4">
        <v>1</v>
      </c>
      <c r="E23" s="4">
        <v>7</v>
      </c>
      <c r="F23" s="2">
        <v>45298</v>
      </c>
      <c r="G23" s="1" t="s">
        <v>42</v>
      </c>
      <c r="I23" s="1" t="s">
        <v>88</v>
      </c>
      <c r="J23" s="1" t="s">
        <v>42</v>
      </c>
      <c r="K23" s="3" t="s">
        <v>78</v>
      </c>
      <c r="L23" s="3" t="s">
        <v>5</v>
      </c>
      <c r="M23" s="3" t="s">
        <v>27</v>
      </c>
      <c r="N23" s="3" t="s">
        <v>4</v>
      </c>
      <c r="O23" s="3" t="s">
        <v>2</v>
      </c>
      <c r="P23" s="3" t="s">
        <v>3</v>
      </c>
      <c r="Q23" s="3">
        <v>14655</v>
      </c>
      <c r="R23" s="3">
        <v>90</v>
      </c>
      <c r="S23" s="3">
        <v>1318950</v>
      </c>
      <c r="T23" s="3">
        <v>131895</v>
      </c>
      <c r="U23" s="3">
        <v>1450845.0000000002</v>
      </c>
    </row>
    <row r="24" spans="1:21" x14ac:dyDescent="0.25">
      <c r="A24" s="1">
        <v>384</v>
      </c>
      <c r="B24" s="2">
        <v>45298</v>
      </c>
      <c r="C24" s="4">
        <v>2024</v>
      </c>
      <c r="D24" s="4">
        <v>1</v>
      </c>
      <c r="E24" s="4">
        <v>7</v>
      </c>
      <c r="F24" s="2">
        <v>45298</v>
      </c>
      <c r="G24" s="1" t="s">
        <v>42</v>
      </c>
      <c r="I24" s="1" t="s">
        <v>62</v>
      </c>
      <c r="J24" s="1" t="s">
        <v>42</v>
      </c>
      <c r="K24" s="3" t="s">
        <v>78</v>
      </c>
      <c r="L24" s="3" t="s">
        <v>5</v>
      </c>
      <c r="M24" s="3" t="s">
        <v>27</v>
      </c>
      <c r="N24" s="3" t="s">
        <v>4</v>
      </c>
      <c r="O24" s="3" t="s">
        <v>2</v>
      </c>
      <c r="P24" s="3" t="s">
        <v>3</v>
      </c>
      <c r="Q24" s="3">
        <v>3330</v>
      </c>
      <c r="R24" s="3">
        <v>90</v>
      </c>
      <c r="S24" s="3">
        <v>299700</v>
      </c>
      <c r="T24" s="3">
        <v>29970</v>
      </c>
      <c r="U24" s="3">
        <v>329670</v>
      </c>
    </row>
    <row r="25" spans="1:21" x14ac:dyDescent="0.25">
      <c r="A25" s="1">
        <v>430</v>
      </c>
      <c r="B25" s="2">
        <v>45299</v>
      </c>
      <c r="C25" s="4">
        <v>2024</v>
      </c>
      <c r="D25" s="4">
        <v>1</v>
      </c>
      <c r="E25" s="4">
        <v>8</v>
      </c>
      <c r="F25" s="2">
        <v>45299</v>
      </c>
      <c r="G25" s="1" t="s">
        <v>42</v>
      </c>
      <c r="I25" s="1" t="s">
        <v>64</v>
      </c>
      <c r="J25" s="1" t="s">
        <v>42</v>
      </c>
      <c r="K25" s="3" t="s">
        <v>78</v>
      </c>
      <c r="L25" s="3" t="s">
        <v>5</v>
      </c>
      <c r="M25" s="3" t="s">
        <v>27</v>
      </c>
      <c r="N25" s="3" t="s">
        <v>4</v>
      </c>
      <c r="O25" s="3" t="s">
        <v>2</v>
      </c>
      <c r="P25" s="3" t="s">
        <v>3</v>
      </c>
      <c r="Q25" s="3">
        <v>5185</v>
      </c>
      <c r="R25" s="3">
        <v>90</v>
      </c>
      <c r="S25" s="3">
        <v>466650</v>
      </c>
      <c r="T25" s="3">
        <v>46665</v>
      </c>
      <c r="U25" s="3">
        <v>513315.00000000006</v>
      </c>
    </row>
    <row r="26" spans="1:21" x14ac:dyDescent="0.25">
      <c r="A26" s="1">
        <v>434</v>
      </c>
      <c r="B26" s="2">
        <v>45299</v>
      </c>
      <c r="C26" s="4">
        <v>2024</v>
      </c>
      <c r="D26" s="4">
        <v>1</v>
      </c>
      <c r="E26" s="4">
        <v>8</v>
      </c>
      <c r="F26" s="2">
        <v>45299</v>
      </c>
      <c r="G26" s="1" t="s">
        <v>42</v>
      </c>
      <c r="I26" s="1" t="s">
        <v>64</v>
      </c>
      <c r="J26" s="1" t="s">
        <v>42</v>
      </c>
      <c r="K26" s="3" t="s">
        <v>78</v>
      </c>
      <c r="L26" s="3" t="s">
        <v>5</v>
      </c>
      <c r="M26" s="3" t="s">
        <v>27</v>
      </c>
      <c r="N26" s="3" t="s">
        <v>4</v>
      </c>
      <c r="O26" s="3" t="s">
        <v>2</v>
      </c>
      <c r="P26" s="3" t="s">
        <v>3</v>
      </c>
      <c r="Q26" s="3">
        <v>5625</v>
      </c>
      <c r="R26" s="3">
        <v>90</v>
      </c>
      <c r="S26" s="3">
        <v>506250</v>
      </c>
      <c r="T26" s="3">
        <v>50625</v>
      </c>
      <c r="U26" s="3">
        <v>556875</v>
      </c>
    </row>
    <row r="27" spans="1:21" x14ac:dyDescent="0.25">
      <c r="A27" s="1">
        <v>436</v>
      </c>
      <c r="B27" s="2">
        <v>45299</v>
      </c>
      <c r="C27" s="4">
        <v>2024</v>
      </c>
      <c r="D27" s="4">
        <v>1</v>
      </c>
      <c r="E27" s="4">
        <v>8</v>
      </c>
      <c r="F27" s="2">
        <v>45299</v>
      </c>
      <c r="G27" s="1" t="s">
        <v>42</v>
      </c>
      <c r="I27" s="1" t="s">
        <v>64</v>
      </c>
      <c r="J27" s="1" t="s">
        <v>42</v>
      </c>
      <c r="K27" s="3" t="s">
        <v>78</v>
      </c>
      <c r="L27" s="3" t="s">
        <v>5</v>
      </c>
      <c r="M27" s="3" t="s">
        <v>27</v>
      </c>
      <c r="N27" s="3" t="s">
        <v>4</v>
      </c>
      <c r="O27" s="3" t="s">
        <v>2</v>
      </c>
      <c r="P27" s="3" t="s">
        <v>3</v>
      </c>
      <c r="Q27" s="3">
        <v>4965</v>
      </c>
      <c r="R27" s="3">
        <v>90</v>
      </c>
      <c r="S27" s="3">
        <v>446850</v>
      </c>
      <c r="T27" s="3">
        <v>44685</v>
      </c>
      <c r="U27" s="3">
        <v>491535.00000000006</v>
      </c>
    </row>
    <row r="28" spans="1:21" x14ac:dyDescent="0.25">
      <c r="A28" s="1">
        <v>438</v>
      </c>
      <c r="B28" s="2">
        <v>45299</v>
      </c>
      <c r="C28" s="4">
        <v>2024</v>
      </c>
      <c r="D28" s="4">
        <v>1</v>
      </c>
      <c r="E28" s="4">
        <v>8</v>
      </c>
      <c r="F28" s="2">
        <v>45299</v>
      </c>
      <c r="G28" s="1" t="s">
        <v>42</v>
      </c>
      <c r="I28" s="1" t="s">
        <v>64</v>
      </c>
      <c r="J28" s="1" t="s">
        <v>42</v>
      </c>
      <c r="K28" s="3" t="s">
        <v>78</v>
      </c>
      <c r="L28" s="3" t="s">
        <v>5</v>
      </c>
      <c r="M28" s="3" t="s">
        <v>27</v>
      </c>
      <c r="N28" s="3" t="s">
        <v>4</v>
      </c>
      <c r="O28" s="3" t="s">
        <v>2</v>
      </c>
      <c r="P28" s="3" t="s">
        <v>3</v>
      </c>
      <c r="Q28" s="3">
        <v>5270</v>
      </c>
      <c r="R28" s="3">
        <v>90</v>
      </c>
      <c r="S28" s="3">
        <v>474300</v>
      </c>
      <c r="T28" s="3">
        <v>47430</v>
      </c>
      <c r="U28" s="3">
        <v>521730.00000000006</v>
      </c>
    </row>
    <row r="29" spans="1:21" x14ac:dyDescent="0.25">
      <c r="A29" s="1">
        <v>499</v>
      </c>
      <c r="B29" s="2">
        <v>45300</v>
      </c>
      <c r="C29" s="4">
        <v>2024</v>
      </c>
      <c r="D29" s="4">
        <v>1</v>
      </c>
      <c r="E29" s="4">
        <v>9</v>
      </c>
      <c r="F29" s="2">
        <v>45300</v>
      </c>
      <c r="G29" s="1" t="s">
        <v>42</v>
      </c>
      <c r="I29" s="1" t="s">
        <v>64</v>
      </c>
      <c r="J29" s="1" t="s">
        <v>42</v>
      </c>
      <c r="K29" s="3" t="s">
        <v>78</v>
      </c>
      <c r="L29" s="3" t="s">
        <v>5</v>
      </c>
      <c r="M29" s="3" t="s">
        <v>27</v>
      </c>
      <c r="N29" s="3" t="s">
        <v>4</v>
      </c>
      <c r="O29" s="3" t="s">
        <v>2</v>
      </c>
      <c r="P29" s="3" t="s">
        <v>3</v>
      </c>
      <c r="Q29" s="3">
        <v>5215</v>
      </c>
      <c r="R29" s="3">
        <v>90</v>
      </c>
      <c r="S29" s="3">
        <v>469350</v>
      </c>
      <c r="T29" s="3">
        <v>46935</v>
      </c>
      <c r="U29" s="3">
        <v>516285.00000000006</v>
      </c>
    </row>
    <row r="30" spans="1:21" x14ac:dyDescent="0.25">
      <c r="A30" s="1">
        <v>504</v>
      </c>
      <c r="B30" s="2">
        <v>45300</v>
      </c>
      <c r="C30" s="4">
        <v>2024</v>
      </c>
      <c r="D30" s="4">
        <v>1</v>
      </c>
      <c r="E30" s="4">
        <v>9</v>
      </c>
      <c r="F30" s="2">
        <v>45300</v>
      </c>
      <c r="G30" s="1" t="s">
        <v>42</v>
      </c>
      <c r="I30" s="1" t="s">
        <v>64</v>
      </c>
      <c r="J30" s="1" t="s">
        <v>42</v>
      </c>
      <c r="K30" s="3" t="s">
        <v>78</v>
      </c>
      <c r="L30" s="3" t="s">
        <v>5</v>
      </c>
      <c r="M30" s="3" t="s">
        <v>27</v>
      </c>
      <c r="N30" s="3" t="s">
        <v>4</v>
      </c>
      <c r="O30" s="3" t="s">
        <v>2</v>
      </c>
      <c r="P30" s="3" t="s">
        <v>3</v>
      </c>
      <c r="Q30" s="3">
        <v>5105</v>
      </c>
      <c r="R30" s="3">
        <v>90</v>
      </c>
      <c r="S30" s="3">
        <v>459450</v>
      </c>
      <c r="T30" s="3">
        <v>45945</v>
      </c>
      <c r="U30" s="3">
        <v>505395.00000000006</v>
      </c>
    </row>
    <row r="31" spans="1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66675</xdr:colOff>
                    <xdr:row>1</xdr:row>
                    <xdr:rowOff>38100</xdr:rowOff>
                  </from>
                  <to>
                    <xdr:col>22</xdr:col>
                    <xdr:colOff>19050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23" sqref="D23"/>
    </sheetView>
  </sheetViews>
  <sheetFormatPr defaultRowHeight="13.5" x14ac:dyDescent="0.25"/>
  <cols>
    <col min="1" max="1" width="11.375" style="6" bestFit="1" customWidth="1"/>
    <col min="2" max="2" width="11.625" style="6" bestFit="1" customWidth="1"/>
    <col min="3" max="6" width="7.875" style="6" customWidth="1"/>
    <col min="7" max="16384" width="9" style="6"/>
  </cols>
  <sheetData>
    <row r="1" spans="1:6" x14ac:dyDescent="0.25">
      <c r="A1" s="5" t="s">
        <v>19</v>
      </c>
      <c r="B1" s="1" t="s">
        <v>42</v>
      </c>
    </row>
    <row r="2" spans="1:6" x14ac:dyDescent="0.25">
      <c r="A2" s="5" t="s">
        <v>20</v>
      </c>
      <c r="B2" s="1" t="s">
        <v>23</v>
      </c>
    </row>
    <row r="4" spans="1:6" ht="16.5" x14ac:dyDescent="0.3">
      <c r="A4" s="5" t="s">
        <v>25</v>
      </c>
      <c r="B4" s="1"/>
      <c r="C4" s="5" t="s">
        <v>11</v>
      </c>
      <c r="D4" s="1"/>
      <c r="E4" s="1"/>
      <c r="F4"/>
    </row>
    <row r="5" spans="1:6" ht="16.5" x14ac:dyDescent="0.3">
      <c r="A5" s="5" t="s">
        <v>9</v>
      </c>
      <c r="B5" s="5" t="s">
        <v>10</v>
      </c>
      <c r="C5" s="1" t="s">
        <v>4</v>
      </c>
      <c r="D5" s="1" t="s">
        <v>65</v>
      </c>
      <c r="E5" s="1" t="s">
        <v>24</v>
      </c>
      <c r="F5"/>
    </row>
    <row r="6" spans="1:6" ht="16.5" x14ac:dyDescent="0.3">
      <c r="A6" s="1">
        <v>1</v>
      </c>
      <c r="B6" s="1">
        <v>1</v>
      </c>
      <c r="C6" s="3">
        <v>20860</v>
      </c>
      <c r="D6" s="3"/>
      <c r="E6" s="3">
        <v>20860</v>
      </c>
      <c r="F6"/>
    </row>
    <row r="7" spans="1:6" ht="16.5" x14ac:dyDescent="0.3">
      <c r="A7" s="1"/>
      <c r="B7" s="1">
        <v>2</v>
      </c>
      <c r="C7" s="3">
        <v>11410</v>
      </c>
      <c r="D7" s="3">
        <v>15965</v>
      </c>
      <c r="E7" s="3">
        <v>27375</v>
      </c>
      <c r="F7"/>
    </row>
    <row r="8" spans="1:6" ht="16.5" x14ac:dyDescent="0.3">
      <c r="A8" s="1"/>
      <c r="B8" s="1">
        <v>3</v>
      </c>
      <c r="C8" s="3">
        <v>10710</v>
      </c>
      <c r="D8" s="3"/>
      <c r="E8" s="3">
        <v>10710</v>
      </c>
      <c r="F8"/>
    </row>
    <row r="9" spans="1:6" ht="16.5" x14ac:dyDescent="0.3">
      <c r="A9" s="1"/>
      <c r="B9" s="1">
        <v>4</v>
      </c>
      <c r="C9" s="3">
        <v>15100</v>
      </c>
      <c r="D9" s="3"/>
      <c r="E9" s="3">
        <v>15100</v>
      </c>
      <c r="F9"/>
    </row>
    <row r="10" spans="1:6" ht="16.5" x14ac:dyDescent="0.3">
      <c r="A10" s="1"/>
      <c r="B10" s="1">
        <v>5</v>
      </c>
      <c r="C10" s="3">
        <v>15225</v>
      </c>
      <c r="D10" s="3"/>
      <c r="E10" s="3">
        <v>15225</v>
      </c>
      <c r="F10"/>
    </row>
    <row r="11" spans="1:6" ht="16.5" x14ac:dyDescent="0.3">
      <c r="A11" s="1"/>
      <c r="B11" s="1">
        <v>6</v>
      </c>
      <c r="C11" s="3">
        <v>14885</v>
      </c>
      <c r="D11" s="3"/>
      <c r="E11" s="3">
        <v>14885</v>
      </c>
      <c r="F11"/>
    </row>
    <row r="12" spans="1:6" ht="16.5" x14ac:dyDescent="0.3">
      <c r="A12" s="1"/>
      <c r="B12" s="1">
        <v>7</v>
      </c>
      <c r="C12" s="3">
        <v>32335</v>
      </c>
      <c r="D12" s="3"/>
      <c r="E12" s="3">
        <v>32335</v>
      </c>
      <c r="F12"/>
    </row>
    <row r="13" spans="1:6" ht="16.5" x14ac:dyDescent="0.3">
      <c r="A13" s="1"/>
      <c r="B13" s="1">
        <v>8</v>
      </c>
      <c r="C13" s="3">
        <v>21045</v>
      </c>
      <c r="D13" s="3"/>
      <c r="E13" s="3">
        <v>21045</v>
      </c>
      <c r="F13"/>
    </row>
    <row r="14" spans="1:6" ht="16.5" x14ac:dyDescent="0.3">
      <c r="A14" s="1"/>
      <c r="B14" s="1">
        <v>9</v>
      </c>
      <c r="C14" s="3">
        <v>10320</v>
      </c>
      <c r="D14" s="3"/>
      <c r="E14" s="3">
        <v>10320</v>
      </c>
      <c r="F14"/>
    </row>
    <row r="15" spans="1:6" ht="16.5" x14ac:dyDescent="0.3">
      <c r="A15" s="1" t="s">
        <v>87</v>
      </c>
      <c r="B15" s="1"/>
      <c r="C15" s="3">
        <v>151890</v>
      </c>
      <c r="D15" s="3">
        <v>15965</v>
      </c>
      <c r="E15" s="3">
        <v>167855</v>
      </c>
      <c r="F15"/>
    </row>
    <row r="16" spans="1:6" ht="16.5" x14ac:dyDescent="0.3">
      <c r="A16" s="1" t="s">
        <v>24</v>
      </c>
      <c r="B16" s="1"/>
      <c r="C16" s="3">
        <v>151890</v>
      </c>
      <c r="D16" s="3">
        <v>15965</v>
      </c>
      <c r="E16" s="3">
        <v>167855</v>
      </c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showGridLines="0"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3" sqref="E13"/>
    </sheetView>
  </sheetViews>
  <sheetFormatPr defaultRowHeight="13.5" x14ac:dyDescent="0.25"/>
  <cols>
    <col min="1" max="1" width="11.375" style="6" bestFit="1" customWidth="1"/>
    <col min="2" max="2" width="11.625" style="6" bestFit="1" customWidth="1"/>
    <col min="3" max="4" width="11.375" style="6" bestFit="1" customWidth="1"/>
    <col min="5" max="5" width="10.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19</v>
      </c>
      <c r="B1" s="1" t="s">
        <v>42</v>
      </c>
    </row>
    <row r="2" spans="1:8" x14ac:dyDescent="0.25">
      <c r="A2" s="5" t="s">
        <v>20</v>
      </c>
      <c r="B2" s="1" t="s">
        <v>23</v>
      </c>
    </row>
    <row r="4" spans="1:8" ht="16.5" x14ac:dyDescent="0.3">
      <c r="A4" s="1"/>
      <c r="B4" s="1"/>
      <c r="C4" s="5" t="s">
        <v>31</v>
      </c>
      <c r="D4" s="1"/>
      <c r="E4" s="1"/>
      <c r="F4"/>
      <c r="G4"/>
      <c r="H4"/>
    </row>
    <row r="5" spans="1:8" ht="16.5" x14ac:dyDescent="0.3">
      <c r="A5" s="5" t="s">
        <v>9</v>
      </c>
      <c r="B5" s="5" t="s">
        <v>10</v>
      </c>
      <c r="C5" s="1" t="s">
        <v>32</v>
      </c>
      <c r="D5" s="1" t="s">
        <v>33</v>
      </c>
      <c r="E5" s="1" t="s">
        <v>26</v>
      </c>
      <c r="F5"/>
      <c r="G5"/>
      <c r="H5"/>
    </row>
    <row r="6" spans="1:8" ht="16.5" x14ac:dyDescent="0.3">
      <c r="A6" s="1">
        <v>1</v>
      </c>
      <c r="B6" s="1">
        <v>1</v>
      </c>
      <c r="C6" s="3">
        <v>1877400</v>
      </c>
      <c r="D6" s="3">
        <v>187740</v>
      </c>
      <c r="E6" s="3">
        <v>2065140</v>
      </c>
      <c r="F6"/>
      <c r="G6"/>
      <c r="H6"/>
    </row>
    <row r="7" spans="1:8" ht="16.5" x14ac:dyDescent="0.3">
      <c r="A7" s="1"/>
      <c r="B7" s="1">
        <v>2</v>
      </c>
      <c r="C7" s="3">
        <v>3661125</v>
      </c>
      <c r="D7" s="3">
        <v>366112.5</v>
      </c>
      <c r="E7" s="3">
        <v>4027237.5000000005</v>
      </c>
      <c r="F7"/>
      <c r="G7"/>
      <c r="H7"/>
    </row>
    <row r="8" spans="1:8" ht="16.5" x14ac:dyDescent="0.3">
      <c r="A8" s="1"/>
      <c r="B8" s="1">
        <v>3</v>
      </c>
      <c r="C8" s="3">
        <v>963900</v>
      </c>
      <c r="D8" s="3">
        <v>96390</v>
      </c>
      <c r="E8" s="3">
        <v>1060290</v>
      </c>
      <c r="F8"/>
      <c r="G8"/>
      <c r="H8"/>
    </row>
    <row r="9" spans="1:8" ht="16.5" x14ac:dyDescent="0.3">
      <c r="A9" s="1"/>
      <c r="B9" s="1">
        <v>4</v>
      </c>
      <c r="C9" s="3">
        <v>1359000</v>
      </c>
      <c r="D9" s="3">
        <v>135900</v>
      </c>
      <c r="E9" s="3">
        <v>1494900</v>
      </c>
      <c r="F9"/>
      <c r="G9"/>
      <c r="H9"/>
    </row>
    <row r="10" spans="1:8" ht="16.5" x14ac:dyDescent="0.3">
      <c r="A10" s="1"/>
      <c r="B10" s="1">
        <v>5</v>
      </c>
      <c r="C10" s="3">
        <v>1370250</v>
      </c>
      <c r="D10" s="3">
        <v>137025</v>
      </c>
      <c r="E10" s="3">
        <v>1507275</v>
      </c>
      <c r="F10"/>
      <c r="G10"/>
      <c r="H10"/>
    </row>
    <row r="11" spans="1:8" ht="16.5" x14ac:dyDescent="0.3">
      <c r="A11" s="1"/>
      <c r="B11" s="1">
        <v>6</v>
      </c>
      <c r="C11" s="3">
        <v>1339650</v>
      </c>
      <c r="D11" s="3">
        <v>133965</v>
      </c>
      <c r="E11" s="3">
        <v>1473615.0000000002</v>
      </c>
      <c r="F11"/>
      <c r="G11"/>
      <c r="H11"/>
    </row>
    <row r="12" spans="1:8" ht="16.5" x14ac:dyDescent="0.3">
      <c r="A12" s="1"/>
      <c r="B12" s="1">
        <v>7</v>
      </c>
      <c r="C12" s="3">
        <v>2910150</v>
      </c>
      <c r="D12" s="3">
        <v>291015</v>
      </c>
      <c r="E12" s="3">
        <v>3201165</v>
      </c>
      <c r="F12"/>
      <c r="G12"/>
      <c r="H12"/>
    </row>
    <row r="13" spans="1:8" ht="16.5" x14ac:dyDescent="0.3">
      <c r="A13" s="1"/>
      <c r="B13" s="1">
        <v>8</v>
      </c>
      <c r="C13" s="3">
        <v>1894050</v>
      </c>
      <c r="D13" s="3">
        <v>189405</v>
      </c>
      <c r="E13" s="3">
        <v>2083455</v>
      </c>
      <c r="F13"/>
      <c r="G13"/>
      <c r="H13"/>
    </row>
    <row r="14" spans="1:8" ht="16.5" x14ac:dyDescent="0.3">
      <c r="A14" s="1"/>
      <c r="B14" s="1">
        <v>9</v>
      </c>
      <c r="C14" s="3">
        <v>928800</v>
      </c>
      <c r="D14" s="3">
        <v>92880</v>
      </c>
      <c r="E14" s="3">
        <v>1021680.0000000001</v>
      </c>
      <c r="F14"/>
      <c r="G14"/>
      <c r="H14"/>
    </row>
    <row r="15" spans="1:8" ht="16.5" x14ac:dyDescent="0.3">
      <c r="A15" s="1" t="s">
        <v>87</v>
      </c>
      <c r="B15" s="1"/>
      <c r="C15" s="3">
        <v>16304325</v>
      </c>
      <c r="D15" s="3">
        <v>1630432.5</v>
      </c>
      <c r="E15" s="3">
        <v>17934757.5</v>
      </c>
      <c r="F15"/>
      <c r="G15"/>
      <c r="H15"/>
    </row>
    <row r="16" spans="1:8" ht="16.5" x14ac:dyDescent="0.3">
      <c r="A16" s="1" t="s">
        <v>24</v>
      </c>
      <c r="B16" s="1"/>
      <c r="C16" s="3">
        <v>16304325</v>
      </c>
      <c r="D16" s="3">
        <v>1630432.5</v>
      </c>
      <c r="E16" s="3">
        <v>17934757.5</v>
      </c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25</vt:i4>
      </vt:variant>
    </vt:vector>
  </HeadingPairs>
  <TitlesOfParts>
    <vt:vector size="30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Customer!JWLee_3</vt:lpstr>
      <vt:lpstr>List!JWLee_3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2024-01-10T02:19:49Z</dcterms:modified>
</cp:coreProperties>
</file>