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주유대정산\"/>
    </mc:Choice>
  </mc:AlternateContent>
  <bookViews>
    <workbookView xWindow="0" yWindow="0" windowWidth="22260" windowHeight="12645" firstSheet="2" activeTab="2"/>
  </bookViews>
  <sheets>
    <sheet name="empcar" sheetId="5" r:id="rId1"/>
    <sheet name="주유대" sheetId="3" r:id="rId2"/>
    <sheet name="DATA" sheetId="4" r:id="rId3"/>
    <sheet name="Sheet1" sheetId="12" r:id="rId4"/>
  </sheets>
  <definedNames>
    <definedName name="_xlnm._FilterDatabase" localSheetId="2" hidden="1">DATA!$A$1:$I$97</definedName>
    <definedName name="_xlnm._FilterDatabase" localSheetId="0" hidden="1">empcar!$A$1:$L$1</definedName>
    <definedName name="JWLee" localSheetId="0">empcar!$A$1:$L$128</definedName>
    <definedName name="JWLee_1" localSheetId="0">empcar!$A$1:$L$128</definedName>
    <definedName name="JWLee_2" localSheetId="0">empcar!$A$1:$L$133</definedName>
    <definedName name="JWLee_3" localSheetId="0">empcar!$A$1:$L$133</definedName>
    <definedName name="JWLee_4" localSheetId="0">empcar!$A$1:$L$133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7" i="4" l="1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12" l="1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2" i="12"/>
  <c r="H131" i="3" l="1"/>
  <c r="H130" i="3"/>
  <c r="I131" i="3" l="1"/>
  <c r="I128" i="3"/>
  <c r="I126" i="3"/>
  <c r="I124" i="3"/>
  <c r="I122" i="3"/>
  <c r="I120" i="3"/>
  <c r="I118" i="3"/>
  <c r="I116" i="3"/>
  <c r="I114" i="3"/>
  <c r="I112" i="3"/>
  <c r="I111" i="3"/>
  <c r="I109" i="3"/>
  <c r="I107" i="3"/>
</calcChain>
</file>

<file path=xl/connections.xml><?xml version="1.0" encoding="utf-8"?>
<connections xmlns="http://schemas.openxmlformats.org/spreadsheetml/2006/main">
  <connection id="1" name="연결" type="7" refreshedVersion="6" background="1" saveData="1"/>
  <connection id="2" name="연결1" type="7" refreshedVersion="6" background="1" saveData="1"/>
  <connection id="3" name="연결10" type="7" refreshedVersion="6" background="1" saveData="1"/>
  <connection id="4" name="연결31" type="7" refreshedVersion="6" background="1" saveData="1"/>
  <connection id="5" name="연결5" type="7" refreshedVersion="6" background="1" saveData="1"/>
</connections>
</file>

<file path=xl/sharedStrings.xml><?xml version="1.0" encoding="utf-8"?>
<sst xmlns="http://schemas.openxmlformats.org/spreadsheetml/2006/main" count="1405" uniqueCount="512">
  <si>
    <t>일  자</t>
  </si>
  <si>
    <t>유종명</t>
  </si>
  <si>
    <t>거래처명</t>
  </si>
  <si>
    <t>차량번호</t>
  </si>
  <si>
    <t>단  가</t>
  </si>
  <si>
    <t>수  량</t>
  </si>
  <si>
    <t>매       출</t>
  </si>
  <si>
    <t>잔   액</t>
  </si>
  <si>
    <t>경  유</t>
  </si>
  <si>
    <t>수제산업</t>
  </si>
  <si>
    <t>9 건</t>
  </si>
  <si>
    <t>차량계</t>
  </si>
  <si>
    <t>2 건</t>
  </si>
  <si>
    <t>휘발유</t>
  </si>
  <si>
    <t>1 건</t>
  </si>
  <si>
    <t>6 건</t>
  </si>
  <si>
    <t>8 건</t>
  </si>
  <si>
    <t>4 건</t>
  </si>
  <si>
    <t>3 건</t>
  </si>
  <si>
    <t>810가7246</t>
  </si>
  <si>
    <t>5 건</t>
  </si>
  <si>
    <t>거래처계</t>
  </si>
  <si>
    <t>주유일</t>
  </si>
  <si>
    <t>유종</t>
  </si>
  <si>
    <t>수량</t>
  </si>
  <si>
    <t>금액</t>
  </si>
  <si>
    <t>경유</t>
  </si>
  <si>
    <t>0439</t>
  </si>
  <si>
    <t>0641</t>
  </si>
  <si>
    <t>1066</t>
  </si>
  <si>
    <t>1266</t>
  </si>
  <si>
    <t>1806</t>
  </si>
  <si>
    <t>2998</t>
  </si>
  <si>
    <t>4096</t>
  </si>
  <si>
    <t>4138</t>
  </si>
  <si>
    <t>4989</t>
  </si>
  <si>
    <t>5340</t>
  </si>
  <si>
    <t>6364</t>
  </si>
  <si>
    <t>6579</t>
  </si>
  <si>
    <t>7246</t>
  </si>
  <si>
    <t>8220</t>
  </si>
  <si>
    <t>8465</t>
  </si>
  <si>
    <t>9149</t>
  </si>
  <si>
    <t>9180</t>
  </si>
  <si>
    <t>9193</t>
  </si>
  <si>
    <t>9273</t>
  </si>
  <si>
    <t>ID</t>
  </si>
  <si>
    <t>cpno1</t>
  </si>
  <si>
    <t>cpno2</t>
  </si>
  <si>
    <t>cp</t>
  </si>
  <si>
    <t>ecode</t>
  </si>
  <si>
    <t>ename</t>
  </si>
  <si>
    <t>class1</t>
  </si>
  <si>
    <t>efffrom</t>
  </si>
  <si>
    <t>effthru</t>
  </si>
  <si>
    <t>trxdate</t>
  </si>
  <si>
    <t>userid</t>
  </si>
  <si>
    <t>remark</t>
  </si>
  <si>
    <t>87서</t>
  </si>
  <si>
    <t>87서1266</t>
  </si>
  <si>
    <t>수제1266</t>
  </si>
  <si>
    <t>o</t>
  </si>
  <si>
    <t>93루</t>
  </si>
  <si>
    <t>93루4138</t>
  </si>
  <si>
    <t>수제4138</t>
  </si>
  <si>
    <t>83주</t>
  </si>
  <si>
    <t>0799</t>
  </si>
  <si>
    <t>83주0799</t>
  </si>
  <si>
    <t>덕진0799</t>
  </si>
  <si>
    <t>f</t>
  </si>
  <si>
    <t>덕진자활차량</t>
  </si>
  <si>
    <t>90고</t>
  </si>
  <si>
    <t>4863</t>
  </si>
  <si>
    <t>90고4863</t>
  </si>
  <si>
    <t>덕진4863</t>
  </si>
  <si>
    <t>87수</t>
  </si>
  <si>
    <t>4311</t>
  </si>
  <si>
    <t>87수4311</t>
  </si>
  <si>
    <t>여의제일</t>
  </si>
  <si>
    <t>a</t>
  </si>
  <si>
    <t>강태선</t>
  </si>
  <si>
    <t>81고</t>
  </si>
  <si>
    <t>0214</t>
  </si>
  <si>
    <t>81고0214</t>
  </si>
  <si>
    <t>이한우</t>
  </si>
  <si>
    <t>e</t>
  </si>
  <si>
    <t>84더</t>
  </si>
  <si>
    <t>0252</t>
  </si>
  <si>
    <t>84더0252</t>
  </si>
  <si>
    <t>김연성</t>
  </si>
  <si>
    <t>97수</t>
  </si>
  <si>
    <t>0293</t>
  </si>
  <si>
    <t>97수0293</t>
  </si>
  <si>
    <t>윤석명</t>
  </si>
  <si>
    <t>86나</t>
  </si>
  <si>
    <t>86나0439</t>
  </si>
  <si>
    <t>최흥섭</t>
  </si>
  <si>
    <t>89보</t>
  </si>
  <si>
    <t>0612</t>
  </si>
  <si>
    <t>89보0612</t>
  </si>
  <si>
    <t>송환기</t>
  </si>
  <si>
    <t>82러</t>
  </si>
  <si>
    <t>0616</t>
  </si>
  <si>
    <t>82러0616</t>
  </si>
  <si>
    <t>권명노</t>
  </si>
  <si>
    <t>81저</t>
  </si>
  <si>
    <t>81저0641</t>
  </si>
  <si>
    <t>김우기</t>
  </si>
  <si>
    <t>89우</t>
  </si>
  <si>
    <t>0651</t>
  </si>
  <si>
    <t>89우0651</t>
  </si>
  <si>
    <t>이희덕</t>
  </si>
  <si>
    <t>김은경, 이희덕님 처</t>
  </si>
  <si>
    <t>97가</t>
  </si>
  <si>
    <t>0693</t>
  </si>
  <si>
    <t>97가0693</t>
  </si>
  <si>
    <t>황규춘</t>
  </si>
  <si>
    <t>91머</t>
  </si>
  <si>
    <t>0760</t>
  </si>
  <si>
    <t>91머0760</t>
  </si>
  <si>
    <t>전영수</t>
  </si>
  <si>
    <t>81너</t>
  </si>
  <si>
    <t>0767</t>
  </si>
  <si>
    <t>81너0767</t>
  </si>
  <si>
    <t>조성현</t>
  </si>
  <si>
    <t>0793</t>
  </si>
  <si>
    <t>91머0793</t>
  </si>
  <si>
    <t>황인섭</t>
  </si>
  <si>
    <t>90버</t>
  </si>
  <si>
    <t>0870</t>
  </si>
  <si>
    <t>90버0870</t>
  </si>
  <si>
    <t>유예만</t>
  </si>
  <si>
    <t>80버</t>
  </si>
  <si>
    <t>1078</t>
  </si>
  <si>
    <t>80버1078</t>
  </si>
  <si>
    <t>김삼동</t>
  </si>
  <si>
    <t>82오</t>
  </si>
  <si>
    <t>1172</t>
  </si>
  <si>
    <t>82오1172</t>
  </si>
  <si>
    <t>오연식</t>
  </si>
  <si>
    <t>97저</t>
  </si>
  <si>
    <t>1310</t>
  </si>
  <si>
    <t>97저1310</t>
  </si>
  <si>
    <t>김태홍</t>
  </si>
  <si>
    <t>95조</t>
  </si>
  <si>
    <t>1320</t>
  </si>
  <si>
    <t>95조1320</t>
  </si>
  <si>
    <t>91더</t>
  </si>
  <si>
    <t>1356</t>
  </si>
  <si>
    <t>91더1356</t>
  </si>
  <si>
    <t>윤용남</t>
  </si>
  <si>
    <t>83모</t>
  </si>
  <si>
    <t>1740</t>
  </si>
  <si>
    <t>83모1740</t>
  </si>
  <si>
    <t>김운택</t>
  </si>
  <si>
    <t>83오</t>
  </si>
  <si>
    <t>83오1806</t>
  </si>
  <si>
    <t>김문식</t>
  </si>
  <si>
    <t>845나</t>
  </si>
  <si>
    <t>1911</t>
  </si>
  <si>
    <t>845나1911</t>
  </si>
  <si>
    <t>81두</t>
  </si>
  <si>
    <t>1965</t>
  </si>
  <si>
    <t>81두1965</t>
  </si>
  <si>
    <t>임대인</t>
  </si>
  <si>
    <t>85주</t>
  </si>
  <si>
    <t>1982</t>
  </si>
  <si>
    <t>85주1982</t>
  </si>
  <si>
    <t>조현만</t>
  </si>
  <si>
    <t>81로</t>
  </si>
  <si>
    <t>2067</t>
  </si>
  <si>
    <t>81로2067</t>
  </si>
  <si>
    <t>이창민</t>
  </si>
  <si>
    <t>804우</t>
  </si>
  <si>
    <t>2207</t>
  </si>
  <si>
    <t>804우2207</t>
  </si>
  <si>
    <t>83러</t>
  </si>
  <si>
    <t>2304</t>
  </si>
  <si>
    <t>83러2304</t>
  </si>
  <si>
    <t>김성남</t>
  </si>
  <si>
    <t>차량매각</t>
  </si>
  <si>
    <t>97도</t>
  </si>
  <si>
    <t>2431</t>
  </si>
  <si>
    <t>97도2431</t>
  </si>
  <si>
    <t>박종휘</t>
  </si>
  <si>
    <t>94마</t>
  </si>
  <si>
    <t>2799</t>
  </si>
  <si>
    <t>94마2799</t>
  </si>
  <si>
    <t>김균수</t>
  </si>
  <si>
    <t>윤영선</t>
  </si>
  <si>
    <t>93라</t>
  </si>
  <si>
    <t>2986</t>
  </si>
  <si>
    <t>93라2986</t>
  </si>
  <si>
    <t>김대식</t>
  </si>
  <si>
    <t>3254</t>
  </si>
  <si>
    <t>97수3254</t>
  </si>
  <si>
    <t>최규영</t>
  </si>
  <si>
    <t>89루</t>
  </si>
  <si>
    <t>3699</t>
  </si>
  <si>
    <t>89루3699</t>
  </si>
  <si>
    <t>김준형</t>
  </si>
  <si>
    <t>81수</t>
  </si>
  <si>
    <t>3855</t>
  </si>
  <si>
    <t>81수3855</t>
  </si>
  <si>
    <t>허범진</t>
  </si>
  <si>
    <t>83루</t>
  </si>
  <si>
    <t>3912</t>
  </si>
  <si>
    <t>83루3912</t>
  </si>
  <si>
    <t>김갑수</t>
  </si>
  <si>
    <t>89저</t>
  </si>
  <si>
    <t>3978</t>
  </si>
  <si>
    <t>89저3978</t>
  </si>
  <si>
    <t>소권영</t>
  </si>
  <si>
    <t>90루</t>
  </si>
  <si>
    <t>4018</t>
  </si>
  <si>
    <t>90루4018</t>
  </si>
  <si>
    <t>송기남</t>
  </si>
  <si>
    <t>81더</t>
  </si>
  <si>
    <t>81더4096</t>
  </si>
  <si>
    <t>이정일</t>
  </si>
  <si>
    <t>93머</t>
  </si>
  <si>
    <t>4144</t>
  </si>
  <si>
    <t>93머4144</t>
  </si>
  <si>
    <t>최도영</t>
  </si>
  <si>
    <t>황한천</t>
  </si>
  <si>
    <t>94우</t>
  </si>
  <si>
    <t>4213</t>
  </si>
  <si>
    <t>94우4213</t>
  </si>
  <si>
    <t>김주형</t>
  </si>
  <si>
    <t>93수</t>
  </si>
  <si>
    <t>4229</t>
  </si>
  <si>
    <t>93수4229</t>
  </si>
  <si>
    <t>정호석</t>
  </si>
  <si>
    <t>84조</t>
  </si>
  <si>
    <t>4238</t>
  </si>
  <si>
    <t>84조4238</t>
  </si>
  <si>
    <t>오진철</t>
  </si>
  <si>
    <t/>
  </si>
  <si>
    <t>88나</t>
  </si>
  <si>
    <t>4618</t>
  </si>
  <si>
    <t>88나4618</t>
  </si>
  <si>
    <t>강성완</t>
  </si>
  <si>
    <t>807무</t>
  </si>
  <si>
    <t>4750</t>
  </si>
  <si>
    <t>807무4750</t>
  </si>
  <si>
    <t>90주</t>
  </si>
  <si>
    <t>4796</t>
  </si>
  <si>
    <t>90주4796</t>
  </si>
  <si>
    <t>이정훈</t>
  </si>
  <si>
    <t>80조</t>
  </si>
  <si>
    <t>4798</t>
  </si>
  <si>
    <t>80조4798</t>
  </si>
  <si>
    <t>94라</t>
  </si>
  <si>
    <t>4886</t>
  </si>
  <si>
    <t>94라4886</t>
  </si>
  <si>
    <t>박준철</t>
  </si>
  <si>
    <t>85러</t>
  </si>
  <si>
    <t>85러4989</t>
  </si>
  <si>
    <t>이태현</t>
  </si>
  <si>
    <t>94도</t>
  </si>
  <si>
    <t>5043</t>
  </si>
  <si>
    <t>94도5043</t>
  </si>
  <si>
    <t>김정석</t>
  </si>
  <si>
    <t>85우</t>
  </si>
  <si>
    <t>5105</t>
  </si>
  <si>
    <t>85우5105</t>
  </si>
  <si>
    <t>송규용</t>
  </si>
  <si>
    <t>82두</t>
  </si>
  <si>
    <t>5245</t>
  </si>
  <si>
    <t>82두5245</t>
  </si>
  <si>
    <t>정민호</t>
  </si>
  <si>
    <t>88거</t>
  </si>
  <si>
    <t>5255</t>
  </si>
  <si>
    <t>88거5255</t>
  </si>
  <si>
    <t>김종선</t>
  </si>
  <si>
    <t>84수</t>
  </si>
  <si>
    <t>5293</t>
  </si>
  <si>
    <t>84수5293</t>
  </si>
  <si>
    <t>이명기</t>
  </si>
  <si>
    <t>85다</t>
  </si>
  <si>
    <t>5453</t>
  </si>
  <si>
    <t>85다5453</t>
  </si>
  <si>
    <t>홍경희</t>
  </si>
  <si>
    <t>83어</t>
  </si>
  <si>
    <t>5597</t>
  </si>
  <si>
    <t>83어5597</t>
  </si>
  <si>
    <t>이한규</t>
  </si>
  <si>
    <t>820도</t>
  </si>
  <si>
    <t>5812</t>
  </si>
  <si>
    <t>820도5812</t>
  </si>
  <si>
    <t>정하갑</t>
  </si>
  <si>
    <t>89노</t>
  </si>
  <si>
    <t>6340</t>
  </si>
  <si>
    <t>89노6340</t>
  </si>
  <si>
    <t>이승원</t>
  </si>
  <si>
    <t>87누</t>
  </si>
  <si>
    <t>6525</t>
  </si>
  <si>
    <t>87누6525</t>
  </si>
  <si>
    <t>김용기</t>
  </si>
  <si>
    <t>87마</t>
  </si>
  <si>
    <t>6567</t>
  </si>
  <si>
    <t>87마6567</t>
  </si>
  <si>
    <t>김승찬</t>
  </si>
  <si>
    <t>94구</t>
  </si>
  <si>
    <t>94구6579</t>
  </si>
  <si>
    <t>노학철</t>
  </si>
  <si>
    <t>20509999</t>
  </si>
  <si>
    <t>이창원</t>
  </si>
  <si>
    <t>810가</t>
  </si>
  <si>
    <t>97너</t>
  </si>
  <si>
    <t>7254</t>
  </si>
  <si>
    <t>97너7254</t>
  </si>
  <si>
    <t>박문수</t>
  </si>
  <si>
    <t>824루</t>
  </si>
  <si>
    <t>7641</t>
  </si>
  <si>
    <t>824루7641</t>
  </si>
  <si>
    <t>94두</t>
  </si>
  <si>
    <t>7787</t>
  </si>
  <si>
    <t>94두7787</t>
  </si>
  <si>
    <t>김윤경</t>
  </si>
  <si>
    <t>81구</t>
  </si>
  <si>
    <t>7947</t>
  </si>
  <si>
    <t>81구7947</t>
  </si>
  <si>
    <t>85누</t>
  </si>
  <si>
    <t>7992</t>
  </si>
  <si>
    <t>85누7992</t>
  </si>
  <si>
    <t>정정만</t>
  </si>
  <si>
    <t>82무</t>
  </si>
  <si>
    <t>8050</t>
  </si>
  <si>
    <t>82무8050</t>
  </si>
  <si>
    <t>김철민</t>
  </si>
  <si>
    <t>86누</t>
  </si>
  <si>
    <t>8077</t>
  </si>
  <si>
    <t>86누8077</t>
  </si>
  <si>
    <t>장일형</t>
  </si>
  <si>
    <t>85무</t>
  </si>
  <si>
    <t>85무8220</t>
  </si>
  <si>
    <t>양성준</t>
  </si>
  <si>
    <t>8255</t>
  </si>
  <si>
    <t>82러8255</t>
  </si>
  <si>
    <t>93주</t>
  </si>
  <si>
    <t>8350</t>
  </si>
  <si>
    <t>93주8350</t>
  </si>
  <si>
    <t>8363</t>
  </si>
  <si>
    <t>93주8363</t>
  </si>
  <si>
    <t>84저</t>
  </si>
  <si>
    <t>84저8465</t>
  </si>
  <si>
    <t>이현호</t>
  </si>
  <si>
    <t>8466</t>
  </si>
  <si>
    <t>85누8466</t>
  </si>
  <si>
    <t>이영근</t>
  </si>
  <si>
    <t>85나</t>
  </si>
  <si>
    <t>8489</t>
  </si>
  <si>
    <t>85나8489</t>
  </si>
  <si>
    <t>김성유</t>
  </si>
  <si>
    <t>97모</t>
  </si>
  <si>
    <t>8628</t>
  </si>
  <si>
    <t>97모8628</t>
  </si>
  <si>
    <t>김창남</t>
  </si>
  <si>
    <t>96어</t>
  </si>
  <si>
    <t>8768</t>
  </si>
  <si>
    <t>96어8768</t>
  </si>
  <si>
    <t>정영진</t>
  </si>
  <si>
    <t>8876</t>
  </si>
  <si>
    <t>91더8876</t>
  </si>
  <si>
    <t>이갑성</t>
  </si>
  <si>
    <t>83도</t>
  </si>
  <si>
    <t>8904</t>
  </si>
  <si>
    <t>83도8904</t>
  </si>
  <si>
    <t>89고</t>
  </si>
  <si>
    <t>8947</t>
  </si>
  <si>
    <t>89고8947</t>
  </si>
  <si>
    <t>정주혁</t>
  </si>
  <si>
    <t>86가</t>
  </si>
  <si>
    <t>9103</t>
  </si>
  <si>
    <t>86가9103</t>
  </si>
  <si>
    <t>95보</t>
  </si>
  <si>
    <t>95보9149</t>
  </si>
  <si>
    <t>이강업</t>
  </si>
  <si>
    <t>82무9180</t>
  </si>
  <si>
    <t>96모</t>
  </si>
  <si>
    <t>9265</t>
  </si>
  <si>
    <t>96모9265</t>
  </si>
  <si>
    <t>박병화</t>
  </si>
  <si>
    <t>94주</t>
  </si>
  <si>
    <t>9283</t>
  </si>
  <si>
    <t>94주9283</t>
  </si>
  <si>
    <t>김동령</t>
  </si>
  <si>
    <t>83조</t>
  </si>
  <si>
    <t>9310</t>
  </si>
  <si>
    <t>83조9310</t>
  </si>
  <si>
    <t>정상준</t>
  </si>
  <si>
    <t>84누</t>
  </si>
  <si>
    <t>9390</t>
  </si>
  <si>
    <t>84누9390</t>
  </si>
  <si>
    <t>정민원</t>
  </si>
  <si>
    <t>95도</t>
  </si>
  <si>
    <t>9455</t>
  </si>
  <si>
    <t>95도9455</t>
  </si>
  <si>
    <t>엄을봉</t>
  </si>
  <si>
    <t>800무</t>
  </si>
  <si>
    <t>9471</t>
  </si>
  <si>
    <t>800무9471</t>
  </si>
  <si>
    <t>9657</t>
  </si>
  <si>
    <t>94두9657</t>
  </si>
  <si>
    <t>권의현</t>
  </si>
  <si>
    <t>OOO</t>
  </si>
  <si>
    <t>1234</t>
  </si>
  <si>
    <t>OOO1234</t>
  </si>
  <si>
    <t>개인</t>
  </si>
  <si>
    <t>i</t>
  </si>
  <si>
    <t>9790</t>
  </si>
  <si>
    <t>90고9790</t>
  </si>
  <si>
    <t>권용재</t>
  </si>
  <si>
    <t>권희정</t>
  </si>
  <si>
    <t>90수</t>
  </si>
  <si>
    <t>5176</t>
  </si>
  <si>
    <t>90수5176</t>
  </si>
  <si>
    <t>김문균</t>
  </si>
  <si>
    <t>87주</t>
  </si>
  <si>
    <t>9412</t>
  </si>
  <si>
    <t>87주9412</t>
  </si>
  <si>
    <t>김재복</t>
  </si>
  <si>
    <t>95우</t>
  </si>
  <si>
    <t>0246</t>
  </si>
  <si>
    <t>95우0246</t>
  </si>
  <si>
    <t>김홍희</t>
  </si>
  <si>
    <t>96더</t>
  </si>
  <si>
    <t>4187</t>
  </si>
  <si>
    <t>96더4187</t>
  </si>
  <si>
    <t>김효성</t>
  </si>
  <si>
    <t>4967</t>
  </si>
  <si>
    <t>94두4967</t>
  </si>
  <si>
    <t>박래범</t>
  </si>
  <si>
    <t>2006</t>
  </si>
  <si>
    <t>97저2006</t>
  </si>
  <si>
    <t>박명석</t>
  </si>
  <si>
    <t>90누</t>
  </si>
  <si>
    <t>8592</t>
  </si>
  <si>
    <t>90누8592</t>
  </si>
  <si>
    <t>박종식</t>
  </si>
  <si>
    <t>83마</t>
  </si>
  <si>
    <t>2231</t>
  </si>
  <si>
    <t>83마2231</t>
  </si>
  <si>
    <t>유진혁</t>
  </si>
  <si>
    <t>5024</t>
  </si>
  <si>
    <t>81저5024</t>
  </si>
  <si>
    <t>유현욱</t>
  </si>
  <si>
    <t>80가</t>
  </si>
  <si>
    <t>80가1078</t>
  </si>
  <si>
    <t>윤석주</t>
  </si>
  <si>
    <t>81무</t>
  </si>
  <si>
    <t>3969</t>
  </si>
  <si>
    <t>81무3969</t>
  </si>
  <si>
    <t>윤종삼</t>
  </si>
  <si>
    <t>8908</t>
  </si>
  <si>
    <t>94주8908</t>
  </si>
  <si>
    <t>이대왕</t>
  </si>
  <si>
    <t>92오</t>
  </si>
  <si>
    <t>8194</t>
  </si>
  <si>
    <t>92오8194</t>
  </si>
  <si>
    <t>이인호</t>
  </si>
  <si>
    <t>801다</t>
  </si>
  <si>
    <t>6019</t>
  </si>
  <si>
    <t>801다6019</t>
  </si>
  <si>
    <t>81주</t>
  </si>
  <si>
    <t>6570</t>
  </si>
  <si>
    <t>81주6570</t>
  </si>
  <si>
    <t>이진섭</t>
  </si>
  <si>
    <t>6471</t>
  </si>
  <si>
    <t>81너6471</t>
  </si>
  <si>
    <t>임양모</t>
  </si>
  <si>
    <t>80두</t>
  </si>
  <si>
    <t>5748</t>
  </si>
  <si>
    <t>80두5748</t>
  </si>
  <si>
    <t>정태준</t>
  </si>
  <si>
    <t>진교천</t>
  </si>
  <si>
    <t>0134</t>
  </si>
  <si>
    <t>93수0134</t>
  </si>
  <si>
    <t>최병규</t>
  </si>
  <si>
    <t>85부</t>
  </si>
  <si>
    <t>9970</t>
  </si>
  <si>
    <t>85부9970</t>
  </si>
  <si>
    <t>최기영</t>
  </si>
  <si>
    <t>90고9273</t>
  </si>
  <si>
    <t>차량변경</t>
  </si>
  <si>
    <t>비고</t>
  </si>
  <si>
    <t>89로</t>
  </si>
  <si>
    <t>89로6364</t>
  </si>
  <si>
    <t>수제6364</t>
  </si>
  <si>
    <t>OOO2998</t>
  </si>
  <si>
    <t>대체주유</t>
  </si>
  <si>
    <t>가상차량</t>
  </si>
  <si>
    <t>OOO5340</t>
  </si>
  <si>
    <t>박종휘 개인차량</t>
  </si>
  <si>
    <t>58고</t>
  </si>
  <si>
    <t>58고9193</t>
  </si>
  <si>
    <t>이종욱</t>
  </si>
  <si>
    <t>r</t>
  </si>
  <si>
    <t>이종욱 개인차량</t>
  </si>
  <si>
    <t>27노</t>
  </si>
  <si>
    <t>27노1066</t>
  </si>
  <si>
    <t>이지아</t>
  </si>
  <si>
    <t>이지아 개인차량</t>
  </si>
  <si>
    <t>15 건</t>
  </si>
  <si>
    <t>합    계</t>
  </si>
  <si>
    <t>작성일</t>
    <phoneticPr fontId="1" type="noConversion"/>
  </si>
  <si>
    <t>작성자</t>
    <phoneticPr fontId="1" type="noConversion"/>
  </si>
  <si>
    <t>id</t>
    <phoneticPr fontId="1" type="noConversion"/>
  </si>
  <si>
    <t>id</t>
  </si>
  <si>
    <t>작성일</t>
  </si>
  <si>
    <t>작성자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</si>
</sst>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굴림체"/>
      <family val="3"/>
      <charset val="129"/>
    </font>
    <font>
      <sz val="8"/>
      <color rgb="FF000000"/>
      <name val="Arial"/>
      <family val="2"/>
    </font>
    <font>
      <b/>
      <i/>
      <sz val="10"/>
      <color rgb="FF0000FF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0"/>
      <color rgb="FF0000FF"/>
      <name val="맑은 고딕"/>
      <family val="3"/>
      <charset val="129"/>
    </font>
    <font>
      <b/>
      <i/>
      <sz val="10"/>
      <color rgb="FFFF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DF3E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3" fontId="2" fillId="4" borderId="1" xfId="0" applyNumberFormat="1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4" fontId="2" fillId="4" borderId="1" xfId="0" applyNumberFormat="1" applyFont="1" applyFill="1" applyBorder="1" applyAlignment="1">
      <alignment horizontal="right" vertical="center"/>
    </xf>
    <xf numFmtId="0" fontId="5" fillId="0" borderId="0" xfId="0" applyFont="1"/>
    <xf numFmtId="0" fontId="6" fillId="0" borderId="0" xfId="0" applyFont="1"/>
    <xf numFmtId="14" fontId="6" fillId="0" borderId="0" xfId="0" applyNumberFormat="1" applyFont="1"/>
    <xf numFmtId="0" fontId="7" fillId="0" borderId="0" xfId="0" applyFont="1"/>
    <xf numFmtId="0" fontId="6" fillId="0" borderId="0" xfId="0" quotePrefix="1" applyFont="1"/>
    <xf numFmtId="3" fontId="7" fillId="0" borderId="0" xfId="0" applyNumberFormat="1" applyFont="1"/>
    <xf numFmtId="0" fontId="2" fillId="5" borderId="1" xfId="0" applyFont="1" applyFill="1" applyBorder="1" applyAlignment="1">
      <alignment horizontal="right" vertical="center"/>
    </xf>
    <xf numFmtId="4" fontId="7" fillId="0" borderId="0" xfId="0" applyNumberFormat="1" applyFo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0</xdr:row>
          <xdr:rowOff>19050</xdr:rowOff>
        </xdr:from>
        <xdr:to>
          <xdr:col>13</xdr:col>
          <xdr:colOff>200025</xdr:colOff>
          <xdr:row>1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104775</xdr:rowOff>
        </xdr:from>
        <xdr:to>
          <xdr:col>10</xdr:col>
          <xdr:colOff>180975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590550</xdr:colOff>
          <xdr:row>0</xdr:row>
          <xdr:rowOff>114300</xdr:rowOff>
        </xdr:from>
        <xdr:to>
          <xdr:col>11</xdr:col>
          <xdr:colOff>590550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내보내기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3" connectionId="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2.xml><?xml version="1.0" encoding="utf-8"?>
<queryTable xmlns="http://schemas.openxmlformats.org/spreadsheetml/2006/main" name="JWLee_4" connectionId="4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3.xml><?xml version="1.0" encoding="utf-8"?>
<queryTable xmlns="http://schemas.openxmlformats.org/spreadsheetml/2006/main" name="JWLee_2" connectionId="5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4.xml><?xml version="1.0" encoding="utf-8"?>
<queryTable xmlns="http://schemas.openxmlformats.org/spreadsheetml/2006/main" name="JWLee_1" connectionId="2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5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33"/>
  <sheetViews>
    <sheetView showGridLines="0" workbookViewId="0">
      <selection activeCell="D2" sqref="D2"/>
    </sheetView>
  </sheetViews>
  <sheetFormatPr defaultRowHeight="13.5" x14ac:dyDescent="0.25"/>
  <cols>
    <col min="1" max="1" width="5.25" style="12" bestFit="1" customWidth="1"/>
    <col min="2" max="3" width="8.25" style="12" bestFit="1" customWidth="1"/>
    <col min="4" max="4" width="9.25" style="12" bestFit="1" customWidth="1"/>
    <col min="5" max="5" width="8.5" style="12" bestFit="1" customWidth="1"/>
    <col min="6" max="6" width="8.625" style="12" bestFit="1" customWidth="1"/>
    <col min="7" max="7" width="8.125" style="12" bestFit="1" customWidth="1"/>
    <col min="8" max="10" width="9.75" style="12" bestFit="1" customWidth="1"/>
    <col min="11" max="11" width="8.5" style="12" bestFit="1" customWidth="1"/>
    <col min="12" max="12" width="16.75" style="12" bestFit="1" customWidth="1"/>
    <col min="13" max="16384" width="9" style="12"/>
  </cols>
  <sheetData>
    <row r="1" spans="1:12" x14ac:dyDescent="0.25">
      <c r="A1" s="11" t="s">
        <v>46</v>
      </c>
      <c r="B1" s="11" t="s">
        <v>47</v>
      </c>
      <c r="C1" s="11" t="s">
        <v>48</v>
      </c>
      <c r="D1" s="11" t="s">
        <v>49</v>
      </c>
      <c r="E1" s="11" t="s">
        <v>50</v>
      </c>
      <c r="F1" s="11" t="s">
        <v>51</v>
      </c>
      <c r="G1" s="11" t="s">
        <v>52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</row>
    <row r="2" spans="1:12" x14ac:dyDescent="0.25">
      <c r="A2" s="12">
        <v>1</v>
      </c>
      <c r="B2" s="12" t="s">
        <v>58</v>
      </c>
      <c r="C2" s="12" t="s">
        <v>30</v>
      </c>
      <c r="D2" s="12" t="s">
        <v>59</v>
      </c>
      <c r="E2" s="12">
        <v>20401007</v>
      </c>
      <c r="F2" s="12" t="s">
        <v>60</v>
      </c>
      <c r="G2" s="12" t="s">
        <v>61</v>
      </c>
      <c r="H2" s="13">
        <v>43466</v>
      </c>
      <c r="I2" s="13">
        <v>47848</v>
      </c>
      <c r="J2" s="13">
        <v>45219</v>
      </c>
    </row>
    <row r="3" spans="1:12" x14ac:dyDescent="0.25">
      <c r="A3" s="12">
        <v>2</v>
      </c>
      <c r="B3" s="12" t="s">
        <v>62</v>
      </c>
      <c r="C3" s="12" t="s">
        <v>34</v>
      </c>
      <c r="D3" s="12" t="s">
        <v>63</v>
      </c>
      <c r="E3" s="12">
        <v>20401008</v>
      </c>
      <c r="F3" s="12" t="s">
        <v>64</v>
      </c>
      <c r="G3" s="12" t="s">
        <v>61</v>
      </c>
      <c r="H3" s="13">
        <v>44895</v>
      </c>
      <c r="I3" s="13">
        <v>45291</v>
      </c>
      <c r="J3" s="13">
        <v>45281.396331018521</v>
      </c>
      <c r="K3" s="12" t="s">
        <v>306</v>
      </c>
      <c r="L3" s="12" t="s">
        <v>237</v>
      </c>
    </row>
    <row r="4" spans="1:12" x14ac:dyDescent="0.25">
      <c r="A4" s="12">
        <v>3</v>
      </c>
      <c r="B4" s="12" t="s">
        <v>65</v>
      </c>
      <c r="C4" s="12" t="s">
        <v>66</v>
      </c>
      <c r="D4" s="12" t="s">
        <v>67</v>
      </c>
      <c r="E4" s="12">
        <v>20401005</v>
      </c>
      <c r="F4" s="12" t="s">
        <v>68</v>
      </c>
      <c r="G4" s="12" t="s">
        <v>69</v>
      </c>
      <c r="H4" s="13">
        <v>44228</v>
      </c>
      <c r="I4" s="13">
        <v>47848</v>
      </c>
      <c r="J4" s="13">
        <v>45229.456597222219</v>
      </c>
      <c r="L4" s="12" t="s">
        <v>70</v>
      </c>
    </row>
    <row r="5" spans="1:12" x14ac:dyDescent="0.25">
      <c r="A5" s="12">
        <v>4</v>
      </c>
      <c r="B5" s="12" t="s">
        <v>71</v>
      </c>
      <c r="C5" s="12" t="s">
        <v>72</v>
      </c>
      <c r="D5" s="12" t="s">
        <v>73</v>
      </c>
      <c r="E5" s="12">
        <v>20401006</v>
      </c>
      <c r="F5" s="12" t="s">
        <v>74</v>
      </c>
      <c r="G5" s="12" t="s">
        <v>69</v>
      </c>
      <c r="H5" s="13">
        <v>44489</v>
      </c>
      <c r="I5" s="13">
        <v>47848</v>
      </c>
      <c r="J5" s="13">
        <v>45229.456597222219</v>
      </c>
      <c r="L5" s="12" t="s">
        <v>70</v>
      </c>
    </row>
    <row r="6" spans="1:12" x14ac:dyDescent="0.25">
      <c r="A6" s="12">
        <v>5</v>
      </c>
      <c r="B6" s="12" t="s">
        <v>75</v>
      </c>
      <c r="C6" s="12" t="s">
        <v>76</v>
      </c>
      <c r="D6" s="12" t="s">
        <v>77</v>
      </c>
      <c r="E6" s="12">
        <v>20401001</v>
      </c>
      <c r="F6" s="12" t="s">
        <v>78</v>
      </c>
      <c r="G6" s="12" t="s">
        <v>79</v>
      </c>
      <c r="H6" s="13">
        <v>44805</v>
      </c>
      <c r="I6" s="13">
        <v>47848</v>
      </c>
      <c r="J6" s="13">
        <v>45219</v>
      </c>
      <c r="L6" s="12" t="s">
        <v>80</v>
      </c>
    </row>
    <row r="7" spans="1:12" x14ac:dyDescent="0.25">
      <c r="A7" s="12">
        <v>6</v>
      </c>
      <c r="B7" s="12" t="s">
        <v>81</v>
      </c>
      <c r="C7" s="12" t="s">
        <v>82</v>
      </c>
      <c r="D7" s="12" t="s">
        <v>83</v>
      </c>
      <c r="E7" s="12">
        <v>20201057</v>
      </c>
      <c r="F7" s="12" t="s">
        <v>84</v>
      </c>
      <c r="G7" s="12" t="s">
        <v>85</v>
      </c>
      <c r="H7" s="13">
        <v>44876</v>
      </c>
      <c r="I7" s="13">
        <v>45173</v>
      </c>
      <c r="J7" s="13">
        <v>45219</v>
      </c>
    </row>
    <row r="8" spans="1:12" x14ac:dyDescent="0.25">
      <c r="A8" s="12">
        <v>7</v>
      </c>
      <c r="B8" s="12" t="s">
        <v>86</v>
      </c>
      <c r="C8" s="12" t="s">
        <v>87</v>
      </c>
      <c r="D8" s="12" t="s">
        <v>88</v>
      </c>
      <c r="E8" s="12">
        <v>20201012</v>
      </c>
      <c r="F8" s="12" t="s">
        <v>89</v>
      </c>
      <c r="G8" s="12" t="s">
        <v>85</v>
      </c>
      <c r="H8" s="13">
        <v>44625</v>
      </c>
      <c r="I8" s="13">
        <v>47848</v>
      </c>
      <c r="J8" s="13">
        <v>45219</v>
      </c>
    </row>
    <row r="9" spans="1:12" x14ac:dyDescent="0.25">
      <c r="A9" s="12">
        <v>8</v>
      </c>
      <c r="B9" s="12" t="s">
        <v>90</v>
      </c>
      <c r="C9" s="12" t="s">
        <v>91</v>
      </c>
      <c r="D9" s="12" t="s">
        <v>92</v>
      </c>
      <c r="E9" s="12">
        <v>20201042</v>
      </c>
      <c r="F9" s="12" t="s">
        <v>93</v>
      </c>
      <c r="G9" s="12" t="s">
        <v>85</v>
      </c>
      <c r="H9" s="13">
        <v>44726</v>
      </c>
      <c r="I9" s="13">
        <v>47848</v>
      </c>
      <c r="J9" s="13">
        <v>45219</v>
      </c>
    </row>
    <row r="10" spans="1:12" x14ac:dyDescent="0.25">
      <c r="A10" s="12">
        <v>9</v>
      </c>
      <c r="B10" s="12" t="s">
        <v>94</v>
      </c>
      <c r="C10" s="12" t="s">
        <v>27</v>
      </c>
      <c r="D10" s="12" t="s">
        <v>95</v>
      </c>
      <c r="E10" s="12">
        <v>20201077</v>
      </c>
      <c r="F10" s="12" t="s">
        <v>96</v>
      </c>
      <c r="G10" s="12" t="s">
        <v>85</v>
      </c>
      <c r="H10" s="13">
        <v>43466</v>
      </c>
      <c r="I10" s="13">
        <v>47848</v>
      </c>
      <c r="J10" s="13">
        <v>45219</v>
      </c>
    </row>
    <row r="11" spans="1:12" x14ac:dyDescent="0.25">
      <c r="A11" s="12">
        <v>10</v>
      </c>
      <c r="B11" s="12" t="s">
        <v>97</v>
      </c>
      <c r="C11" s="12" t="s">
        <v>98</v>
      </c>
      <c r="D11" s="12" t="s">
        <v>99</v>
      </c>
      <c r="E11" s="12">
        <v>20201034</v>
      </c>
      <c r="F11" s="12" t="s">
        <v>100</v>
      </c>
      <c r="G11" s="12" t="s">
        <v>85</v>
      </c>
      <c r="H11" s="13">
        <v>43466</v>
      </c>
      <c r="I11" s="13">
        <v>47848</v>
      </c>
      <c r="J11" s="13">
        <v>45219</v>
      </c>
    </row>
    <row r="12" spans="1:12" x14ac:dyDescent="0.25">
      <c r="A12" s="12">
        <v>11</v>
      </c>
      <c r="B12" s="12" t="s">
        <v>101</v>
      </c>
      <c r="C12" s="12" t="s">
        <v>102</v>
      </c>
      <c r="D12" s="12" t="s">
        <v>103</v>
      </c>
      <c r="E12" s="12">
        <v>20201002</v>
      </c>
      <c r="F12" s="12" t="s">
        <v>104</v>
      </c>
      <c r="G12" s="12" t="s">
        <v>85</v>
      </c>
      <c r="H12" s="13">
        <v>43466</v>
      </c>
      <c r="I12" s="13">
        <v>47848</v>
      </c>
      <c r="J12" s="13">
        <v>45219</v>
      </c>
    </row>
    <row r="13" spans="1:12" x14ac:dyDescent="0.25">
      <c r="A13" s="12">
        <v>12</v>
      </c>
      <c r="B13" s="12" t="s">
        <v>105</v>
      </c>
      <c r="C13" s="12" t="s">
        <v>28</v>
      </c>
      <c r="D13" s="12" t="s">
        <v>106</v>
      </c>
      <c r="E13" s="12">
        <v>20201014</v>
      </c>
      <c r="F13" s="12" t="s">
        <v>107</v>
      </c>
      <c r="G13" s="12" t="s">
        <v>85</v>
      </c>
      <c r="H13" s="13">
        <v>43466</v>
      </c>
      <c r="I13" s="13">
        <v>47848</v>
      </c>
      <c r="J13" s="13">
        <v>45219</v>
      </c>
    </row>
    <row r="14" spans="1:12" x14ac:dyDescent="0.25">
      <c r="A14" s="12">
        <v>13</v>
      </c>
      <c r="B14" s="12" t="s">
        <v>108</v>
      </c>
      <c r="C14" s="12" t="s">
        <v>109</v>
      </c>
      <c r="D14" s="12" t="s">
        <v>110</v>
      </c>
      <c r="E14" s="12">
        <v>20201059</v>
      </c>
      <c r="F14" s="12" t="s">
        <v>111</v>
      </c>
      <c r="G14" s="12" t="s">
        <v>85</v>
      </c>
      <c r="H14" s="13">
        <v>43466</v>
      </c>
      <c r="I14" s="13">
        <v>45116</v>
      </c>
      <c r="J14" s="13">
        <v>45219</v>
      </c>
      <c r="L14" s="12" t="s">
        <v>112</v>
      </c>
    </row>
    <row r="15" spans="1:12" x14ac:dyDescent="0.25">
      <c r="A15" s="12">
        <v>14</v>
      </c>
      <c r="B15" s="12" t="s">
        <v>113</v>
      </c>
      <c r="C15" s="12" t="s">
        <v>114</v>
      </c>
      <c r="D15" s="12" t="s">
        <v>115</v>
      </c>
      <c r="E15" s="12">
        <v>20201080</v>
      </c>
      <c r="F15" s="12" t="s">
        <v>116</v>
      </c>
      <c r="G15" s="12" t="s">
        <v>85</v>
      </c>
      <c r="H15" s="13">
        <v>44573</v>
      </c>
      <c r="I15" s="13">
        <v>47848</v>
      </c>
      <c r="J15" s="13">
        <v>45219</v>
      </c>
    </row>
    <row r="16" spans="1:12" x14ac:dyDescent="0.25">
      <c r="A16" s="12">
        <v>15</v>
      </c>
      <c r="B16" s="12" t="s">
        <v>117</v>
      </c>
      <c r="C16" s="12" t="s">
        <v>118</v>
      </c>
      <c r="D16" s="12" t="s">
        <v>119</v>
      </c>
      <c r="E16" s="12">
        <v>20201062</v>
      </c>
      <c r="F16" s="12" t="s">
        <v>120</v>
      </c>
      <c r="G16" s="12" t="s">
        <v>85</v>
      </c>
      <c r="H16" s="13">
        <v>43466</v>
      </c>
      <c r="I16" s="13">
        <v>47848</v>
      </c>
      <c r="J16" s="13">
        <v>45219</v>
      </c>
    </row>
    <row r="17" spans="1:12" x14ac:dyDescent="0.25">
      <c r="A17" s="12">
        <v>16</v>
      </c>
      <c r="B17" s="12" t="s">
        <v>121</v>
      </c>
      <c r="C17" s="12" t="s">
        <v>122</v>
      </c>
      <c r="D17" s="12" t="s">
        <v>123</v>
      </c>
      <c r="E17" s="12">
        <v>20201072</v>
      </c>
      <c r="F17" s="12" t="s">
        <v>124</v>
      </c>
      <c r="G17" s="12" t="s">
        <v>85</v>
      </c>
      <c r="H17" s="13">
        <v>44434</v>
      </c>
      <c r="I17" s="13">
        <v>47848</v>
      </c>
      <c r="J17" s="13">
        <v>45219</v>
      </c>
    </row>
    <row r="18" spans="1:12" x14ac:dyDescent="0.25">
      <c r="A18" s="12">
        <v>17</v>
      </c>
      <c r="B18" s="12" t="s">
        <v>117</v>
      </c>
      <c r="C18" s="12" t="s">
        <v>125</v>
      </c>
      <c r="D18" s="12" t="s">
        <v>126</v>
      </c>
      <c r="E18" s="12">
        <v>20201081</v>
      </c>
      <c r="F18" s="12" t="s">
        <v>127</v>
      </c>
      <c r="G18" s="12" t="s">
        <v>85</v>
      </c>
      <c r="H18" s="13">
        <v>44613</v>
      </c>
      <c r="I18" s="13">
        <v>47848</v>
      </c>
      <c r="J18" s="13">
        <v>45219</v>
      </c>
    </row>
    <row r="19" spans="1:12" x14ac:dyDescent="0.25">
      <c r="A19" s="12">
        <v>18</v>
      </c>
      <c r="B19" s="12" t="s">
        <v>128</v>
      </c>
      <c r="C19" s="12" t="s">
        <v>129</v>
      </c>
      <c r="D19" s="12" t="s">
        <v>130</v>
      </c>
      <c r="E19" s="12">
        <v>20201038</v>
      </c>
      <c r="F19" s="12" t="s">
        <v>131</v>
      </c>
      <c r="G19" s="12" t="s">
        <v>85</v>
      </c>
      <c r="H19" s="13">
        <v>44409</v>
      </c>
      <c r="I19" s="13">
        <v>47848</v>
      </c>
      <c r="J19" s="13">
        <v>45219</v>
      </c>
    </row>
    <row r="20" spans="1:12" x14ac:dyDescent="0.25">
      <c r="A20" s="12">
        <v>19</v>
      </c>
      <c r="B20" s="12" t="s">
        <v>132</v>
      </c>
      <c r="C20" s="12" t="s">
        <v>133</v>
      </c>
      <c r="D20" s="12" t="s">
        <v>134</v>
      </c>
      <c r="E20" s="12">
        <v>20201008</v>
      </c>
      <c r="F20" s="12" t="s">
        <v>135</v>
      </c>
      <c r="G20" s="12" t="s">
        <v>85</v>
      </c>
      <c r="H20" s="13">
        <v>44896</v>
      </c>
      <c r="I20" s="13">
        <v>47848</v>
      </c>
      <c r="J20" s="13">
        <v>45219</v>
      </c>
    </row>
    <row r="21" spans="1:12" x14ac:dyDescent="0.25">
      <c r="A21" s="12">
        <v>20</v>
      </c>
      <c r="B21" s="12" t="s">
        <v>136</v>
      </c>
      <c r="C21" s="12" t="s">
        <v>137</v>
      </c>
      <c r="D21" s="12" t="s">
        <v>138</v>
      </c>
      <c r="E21" s="12">
        <v>20201037</v>
      </c>
      <c r="F21" s="12" t="s">
        <v>139</v>
      </c>
      <c r="G21" s="12" t="s">
        <v>85</v>
      </c>
      <c r="H21" s="13">
        <v>43466</v>
      </c>
      <c r="I21" s="13">
        <v>45134</v>
      </c>
      <c r="J21" s="13">
        <v>45219</v>
      </c>
    </row>
    <row r="22" spans="1:12" x14ac:dyDescent="0.25">
      <c r="A22" s="12">
        <v>21</v>
      </c>
      <c r="B22" s="12" t="s">
        <v>140</v>
      </c>
      <c r="C22" s="12" t="s">
        <v>141</v>
      </c>
      <c r="D22" s="12" t="s">
        <v>142</v>
      </c>
      <c r="E22" s="12">
        <v>20201084</v>
      </c>
      <c r="F22" s="12" t="s">
        <v>143</v>
      </c>
      <c r="G22" s="12" t="s">
        <v>85</v>
      </c>
      <c r="H22" s="13">
        <v>45171</v>
      </c>
      <c r="I22" s="13">
        <v>47848</v>
      </c>
      <c r="J22" s="13">
        <v>45219</v>
      </c>
    </row>
    <row r="23" spans="1:12" x14ac:dyDescent="0.25">
      <c r="A23" s="12">
        <v>22</v>
      </c>
      <c r="B23" s="12" t="s">
        <v>144</v>
      </c>
      <c r="C23" s="12" t="s">
        <v>145</v>
      </c>
      <c r="D23" s="12" t="s">
        <v>146</v>
      </c>
      <c r="E23" s="12">
        <v>20201077</v>
      </c>
      <c r="F23" s="12" t="s">
        <v>96</v>
      </c>
      <c r="G23" s="12" t="s">
        <v>85</v>
      </c>
      <c r="H23" s="13">
        <v>43466</v>
      </c>
      <c r="I23" s="13">
        <v>47848</v>
      </c>
      <c r="J23" s="13">
        <v>45219</v>
      </c>
    </row>
    <row r="24" spans="1:12" x14ac:dyDescent="0.25">
      <c r="A24" s="12">
        <v>23</v>
      </c>
      <c r="B24" s="12" t="s">
        <v>147</v>
      </c>
      <c r="C24" s="12" t="s">
        <v>148</v>
      </c>
      <c r="D24" s="12" t="s">
        <v>149</v>
      </c>
      <c r="E24" s="12">
        <v>20201044</v>
      </c>
      <c r="F24" s="12" t="s">
        <v>150</v>
      </c>
      <c r="G24" s="12" t="s">
        <v>85</v>
      </c>
      <c r="H24" s="13">
        <v>44275</v>
      </c>
      <c r="I24" s="13">
        <v>45138</v>
      </c>
      <c r="J24" s="13">
        <v>45219</v>
      </c>
    </row>
    <row r="25" spans="1:12" x14ac:dyDescent="0.25">
      <c r="A25" s="12">
        <v>24</v>
      </c>
      <c r="B25" s="12" t="s">
        <v>151</v>
      </c>
      <c r="C25" s="12" t="s">
        <v>152</v>
      </c>
      <c r="D25" s="12" t="s">
        <v>153</v>
      </c>
      <c r="E25" s="12">
        <v>20201015</v>
      </c>
      <c r="F25" s="12" t="s">
        <v>154</v>
      </c>
      <c r="G25" s="12" t="s">
        <v>85</v>
      </c>
      <c r="H25" s="13">
        <v>43923</v>
      </c>
      <c r="I25" s="13">
        <v>44742</v>
      </c>
      <c r="J25" s="13">
        <v>45219</v>
      </c>
    </row>
    <row r="26" spans="1:12" x14ac:dyDescent="0.25">
      <c r="A26" s="12">
        <v>25</v>
      </c>
      <c r="B26" s="12" t="s">
        <v>155</v>
      </c>
      <c r="C26" s="12" t="s">
        <v>31</v>
      </c>
      <c r="D26" s="12" t="s">
        <v>156</v>
      </c>
      <c r="E26" s="12">
        <v>20201007</v>
      </c>
      <c r="F26" s="12" t="s">
        <v>157</v>
      </c>
      <c r="G26" s="12" t="s">
        <v>85</v>
      </c>
      <c r="H26" s="13">
        <v>44258</v>
      </c>
      <c r="I26" s="13">
        <v>47848</v>
      </c>
      <c r="J26" s="13">
        <v>45219</v>
      </c>
    </row>
    <row r="27" spans="1:12" x14ac:dyDescent="0.25">
      <c r="A27" s="12">
        <v>26</v>
      </c>
      <c r="B27" s="12" t="s">
        <v>158</v>
      </c>
      <c r="C27" s="12" t="s">
        <v>159</v>
      </c>
      <c r="D27" s="12" t="s">
        <v>160</v>
      </c>
      <c r="E27" s="12">
        <v>20201037</v>
      </c>
      <c r="F27" s="12" t="s">
        <v>139</v>
      </c>
      <c r="G27" s="12" t="s">
        <v>85</v>
      </c>
      <c r="H27" s="13">
        <v>45135</v>
      </c>
      <c r="I27" s="13">
        <v>47848</v>
      </c>
      <c r="J27" s="13">
        <v>45219</v>
      </c>
    </row>
    <row r="28" spans="1:12" x14ac:dyDescent="0.25">
      <c r="A28" s="12">
        <v>27</v>
      </c>
      <c r="B28" s="12" t="s">
        <v>161</v>
      </c>
      <c r="C28" s="12" t="s">
        <v>162</v>
      </c>
      <c r="D28" s="12" t="s">
        <v>163</v>
      </c>
      <c r="E28" s="12">
        <v>20201060</v>
      </c>
      <c r="F28" s="12" t="s">
        <v>164</v>
      </c>
      <c r="G28" s="12" t="s">
        <v>85</v>
      </c>
      <c r="H28" s="13">
        <v>43466</v>
      </c>
      <c r="I28" s="13">
        <v>47848</v>
      </c>
      <c r="J28" s="13">
        <v>45219</v>
      </c>
    </row>
    <row r="29" spans="1:12" x14ac:dyDescent="0.25">
      <c r="A29" s="12">
        <v>28</v>
      </c>
      <c r="B29" s="12" t="s">
        <v>165</v>
      </c>
      <c r="C29" s="12" t="s">
        <v>166</v>
      </c>
      <c r="D29" s="12" t="s">
        <v>167</v>
      </c>
      <c r="E29" s="12">
        <v>20201073</v>
      </c>
      <c r="F29" s="12" t="s">
        <v>168</v>
      </c>
      <c r="G29" s="12" t="s">
        <v>85</v>
      </c>
      <c r="H29" s="13">
        <v>43466</v>
      </c>
      <c r="I29" s="13">
        <v>47848</v>
      </c>
      <c r="J29" s="13">
        <v>45219</v>
      </c>
    </row>
    <row r="30" spans="1:12" x14ac:dyDescent="0.25">
      <c r="A30" s="12">
        <v>29</v>
      </c>
      <c r="B30" s="12" t="s">
        <v>169</v>
      </c>
      <c r="C30" s="12" t="s">
        <v>170</v>
      </c>
      <c r="D30" s="12" t="s">
        <v>171</v>
      </c>
      <c r="E30" s="12">
        <v>20201054</v>
      </c>
      <c r="F30" s="12" t="s">
        <v>172</v>
      </c>
      <c r="G30" s="12" t="s">
        <v>85</v>
      </c>
      <c r="H30" s="13">
        <v>44658</v>
      </c>
      <c r="I30" s="13">
        <v>45138</v>
      </c>
      <c r="J30" s="13">
        <v>45219</v>
      </c>
    </row>
    <row r="31" spans="1:12" x14ac:dyDescent="0.25">
      <c r="A31" s="12">
        <v>30</v>
      </c>
      <c r="B31" s="12" t="s">
        <v>173</v>
      </c>
      <c r="C31" s="12" t="s">
        <v>174</v>
      </c>
      <c r="D31" s="12" t="s">
        <v>175</v>
      </c>
      <c r="E31" s="12">
        <v>20201059</v>
      </c>
      <c r="F31" s="12" t="s">
        <v>111</v>
      </c>
      <c r="G31" s="12" t="s">
        <v>85</v>
      </c>
      <c r="H31" s="13">
        <v>44805</v>
      </c>
      <c r="I31" s="13">
        <v>47848</v>
      </c>
      <c r="J31" s="13">
        <v>45219</v>
      </c>
    </row>
    <row r="32" spans="1:12" x14ac:dyDescent="0.25">
      <c r="A32" s="12">
        <v>31</v>
      </c>
      <c r="B32" s="12" t="s">
        <v>176</v>
      </c>
      <c r="C32" s="12" t="s">
        <v>177</v>
      </c>
      <c r="D32" s="12" t="s">
        <v>178</v>
      </c>
      <c r="E32" s="12">
        <v>20201009</v>
      </c>
      <c r="F32" s="12" t="s">
        <v>179</v>
      </c>
      <c r="G32" s="12" t="s">
        <v>85</v>
      </c>
      <c r="H32" s="13">
        <v>44343</v>
      </c>
      <c r="I32" s="13">
        <v>45151</v>
      </c>
      <c r="J32" s="13">
        <v>45219</v>
      </c>
      <c r="L32" s="12" t="s">
        <v>180</v>
      </c>
    </row>
    <row r="33" spans="1:10" x14ac:dyDescent="0.25">
      <c r="A33" s="12">
        <v>32</v>
      </c>
      <c r="B33" s="12" t="s">
        <v>181</v>
      </c>
      <c r="C33" s="12" t="s">
        <v>182</v>
      </c>
      <c r="D33" s="12" t="s">
        <v>183</v>
      </c>
      <c r="E33" s="12">
        <v>20201029</v>
      </c>
      <c r="F33" s="12" t="s">
        <v>184</v>
      </c>
      <c r="G33" s="12" t="s">
        <v>85</v>
      </c>
      <c r="H33" s="13">
        <v>44316</v>
      </c>
      <c r="I33" s="13">
        <v>44683</v>
      </c>
      <c r="J33" s="13">
        <v>45219</v>
      </c>
    </row>
    <row r="34" spans="1:10" x14ac:dyDescent="0.25">
      <c r="A34" s="12">
        <v>33</v>
      </c>
      <c r="B34" s="12" t="s">
        <v>185</v>
      </c>
      <c r="C34" s="12" t="s">
        <v>186</v>
      </c>
      <c r="D34" s="12" t="s">
        <v>187</v>
      </c>
      <c r="E34" s="12">
        <v>20201086</v>
      </c>
      <c r="F34" s="12" t="s">
        <v>188</v>
      </c>
      <c r="G34" s="12" t="s">
        <v>85</v>
      </c>
      <c r="H34" s="13">
        <v>44616</v>
      </c>
      <c r="I34" s="13">
        <v>45107</v>
      </c>
      <c r="J34" s="13">
        <v>45219</v>
      </c>
    </row>
    <row r="35" spans="1:10" x14ac:dyDescent="0.25">
      <c r="A35" s="12">
        <v>34</v>
      </c>
      <c r="B35" s="12" t="s">
        <v>185</v>
      </c>
      <c r="C35" s="12" t="s">
        <v>186</v>
      </c>
      <c r="D35" s="12" t="s">
        <v>187</v>
      </c>
      <c r="E35" s="12">
        <v>20201043</v>
      </c>
      <c r="F35" s="12" t="s">
        <v>189</v>
      </c>
      <c r="G35" s="12" t="s">
        <v>85</v>
      </c>
      <c r="H35" s="13">
        <v>44544</v>
      </c>
      <c r="I35" s="13">
        <v>44615</v>
      </c>
      <c r="J35" s="13">
        <v>45219</v>
      </c>
    </row>
    <row r="36" spans="1:10" x14ac:dyDescent="0.25">
      <c r="A36" s="12">
        <v>35</v>
      </c>
      <c r="B36" s="12" t="s">
        <v>190</v>
      </c>
      <c r="C36" s="12" t="s">
        <v>191</v>
      </c>
      <c r="D36" s="12" t="s">
        <v>192</v>
      </c>
      <c r="E36" s="12">
        <v>20201004</v>
      </c>
      <c r="F36" s="12" t="s">
        <v>193</v>
      </c>
      <c r="G36" s="12" t="s">
        <v>85</v>
      </c>
      <c r="H36" s="13">
        <v>43466</v>
      </c>
      <c r="I36" s="13">
        <v>47848</v>
      </c>
      <c r="J36" s="13">
        <v>45219</v>
      </c>
    </row>
    <row r="37" spans="1:10" x14ac:dyDescent="0.25">
      <c r="A37" s="12">
        <v>36</v>
      </c>
      <c r="B37" s="12" t="s">
        <v>90</v>
      </c>
      <c r="C37" s="12" t="s">
        <v>194</v>
      </c>
      <c r="D37" s="12" t="s">
        <v>195</v>
      </c>
      <c r="E37" s="12">
        <v>20201075</v>
      </c>
      <c r="F37" s="12" t="s">
        <v>196</v>
      </c>
      <c r="G37" s="12" t="s">
        <v>85</v>
      </c>
      <c r="H37" s="13">
        <v>44726</v>
      </c>
      <c r="I37" s="13">
        <v>47848</v>
      </c>
      <c r="J37" s="13">
        <v>45219</v>
      </c>
    </row>
    <row r="38" spans="1:10" x14ac:dyDescent="0.25">
      <c r="A38" s="12">
        <v>37</v>
      </c>
      <c r="B38" s="12" t="s">
        <v>197</v>
      </c>
      <c r="C38" s="12" t="s">
        <v>198</v>
      </c>
      <c r="D38" s="12" t="s">
        <v>199</v>
      </c>
      <c r="E38" s="12">
        <v>20201019</v>
      </c>
      <c r="F38" s="12" t="s">
        <v>200</v>
      </c>
      <c r="G38" s="12" t="s">
        <v>85</v>
      </c>
      <c r="H38" s="13">
        <v>44968</v>
      </c>
      <c r="I38" s="13">
        <v>47848</v>
      </c>
      <c r="J38" s="13">
        <v>45219</v>
      </c>
    </row>
    <row r="39" spans="1:10" x14ac:dyDescent="0.25">
      <c r="A39" s="12">
        <v>38</v>
      </c>
      <c r="B39" s="12" t="s">
        <v>201</v>
      </c>
      <c r="C39" s="12" t="s">
        <v>202</v>
      </c>
      <c r="D39" s="12" t="s">
        <v>203</v>
      </c>
      <c r="E39" s="12">
        <v>20201078</v>
      </c>
      <c r="F39" s="12" t="s">
        <v>204</v>
      </c>
      <c r="G39" s="12" t="s">
        <v>85</v>
      </c>
      <c r="H39" s="13">
        <v>43466</v>
      </c>
      <c r="I39" s="13">
        <v>47848</v>
      </c>
      <c r="J39" s="13">
        <v>45219</v>
      </c>
    </row>
    <row r="40" spans="1:10" x14ac:dyDescent="0.25">
      <c r="A40" s="12">
        <v>39</v>
      </c>
      <c r="B40" s="12" t="s">
        <v>205</v>
      </c>
      <c r="C40" s="12" t="s">
        <v>206</v>
      </c>
      <c r="D40" s="12" t="s">
        <v>207</v>
      </c>
      <c r="E40" s="12">
        <v>20201085</v>
      </c>
      <c r="F40" s="12" t="s">
        <v>208</v>
      </c>
      <c r="G40" s="12" t="s">
        <v>85</v>
      </c>
      <c r="H40" s="13">
        <v>44372</v>
      </c>
      <c r="I40" s="13">
        <v>44781</v>
      </c>
      <c r="J40" s="13">
        <v>45219</v>
      </c>
    </row>
    <row r="41" spans="1:10" x14ac:dyDescent="0.25">
      <c r="A41" s="12">
        <v>40</v>
      </c>
      <c r="B41" s="12" t="s">
        <v>209</v>
      </c>
      <c r="C41" s="12" t="s">
        <v>210</v>
      </c>
      <c r="D41" s="12" t="s">
        <v>211</v>
      </c>
      <c r="E41" s="12">
        <v>20201031</v>
      </c>
      <c r="F41" s="12" t="s">
        <v>212</v>
      </c>
      <c r="G41" s="12" t="s">
        <v>85</v>
      </c>
      <c r="H41" s="13">
        <v>44317</v>
      </c>
      <c r="I41" s="13">
        <v>47848</v>
      </c>
      <c r="J41" s="13">
        <v>45219</v>
      </c>
    </row>
    <row r="42" spans="1:10" x14ac:dyDescent="0.25">
      <c r="A42" s="12">
        <v>41</v>
      </c>
      <c r="B42" s="12" t="s">
        <v>213</v>
      </c>
      <c r="C42" s="12" t="s">
        <v>214</v>
      </c>
      <c r="D42" s="12" t="s">
        <v>215</v>
      </c>
      <c r="E42" s="12">
        <v>20201033</v>
      </c>
      <c r="F42" s="12" t="s">
        <v>216</v>
      </c>
      <c r="G42" s="12" t="s">
        <v>85</v>
      </c>
      <c r="H42" s="13">
        <v>44329</v>
      </c>
      <c r="I42" s="13">
        <v>47848</v>
      </c>
      <c r="J42" s="13">
        <v>45219</v>
      </c>
    </row>
    <row r="43" spans="1:10" x14ac:dyDescent="0.25">
      <c r="A43" s="12">
        <v>42</v>
      </c>
      <c r="B43" s="12" t="s">
        <v>217</v>
      </c>
      <c r="C43" s="12" t="s">
        <v>33</v>
      </c>
      <c r="D43" s="12" t="s">
        <v>218</v>
      </c>
      <c r="E43" s="12">
        <v>20201029</v>
      </c>
      <c r="F43" s="12" t="s">
        <v>184</v>
      </c>
      <c r="G43" s="12" t="s">
        <v>85</v>
      </c>
      <c r="H43" s="13">
        <v>44697</v>
      </c>
      <c r="I43" s="13">
        <v>47848</v>
      </c>
      <c r="J43" s="13">
        <v>45219</v>
      </c>
    </row>
    <row r="44" spans="1:10" x14ac:dyDescent="0.25">
      <c r="A44" s="12">
        <v>43</v>
      </c>
      <c r="B44" s="12" t="s">
        <v>217</v>
      </c>
      <c r="C44" s="12" t="s">
        <v>33</v>
      </c>
      <c r="D44" s="12" t="s">
        <v>218</v>
      </c>
      <c r="E44" s="12">
        <v>20201052</v>
      </c>
      <c r="F44" s="12" t="s">
        <v>219</v>
      </c>
      <c r="G44" s="12" t="s">
        <v>85</v>
      </c>
      <c r="H44" s="13">
        <v>43466</v>
      </c>
      <c r="I44" s="13">
        <v>44689</v>
      </c>
      <c r="J44" s="13">
        <v>45219</v>
      </c>
    </row>
    <row r="45" spans="1:10" x14ac:dyDescent="0.25">
      <c r="A45" s="12">
        <v>44</v>
      </c>
      <c r="B45" s="12" t="s">
        <v>220</v>
      </c>
      <c r="C45" s="12" t="s">
        <v>221</v>
      </c>
      <c r="D45" s="12" t="s">
        <v>222</v>
      </c>
      <c r="E45" s="12">
        <v>20201076</v>
      </c>
      <c r="F45" s="12" t="s">
        <v>223</v>
      </c>
      <c r="G45" s="12" t="s">
        <v>85</v>
      </c>
      <c r="H45" s="13">
        <v>45128</v>
      </c>
      <c r="I45" s="13">
        <v>47848</v>
      </c>
      <c r="J45" s="13">
        <v>45219</v>
      </c>
    </row>
    <row r="46" spans="1:10" x14ac:dyDescent="0.25">
      <c r="A46" s="12">
        <v>45</v>
      </c>
      <c r="B46" s="12" t="s">
        <v>220</v>
      </c>
      <c r="C46" s="12" t="s">
        <v>221</v>
      </c>
      <c r="D46" s="12" t="s">
        <v>222</v>
      </c>
      <c r="E46" s="12">
        <v>20201082</v>
      </c>
      <c r="F46" s="12" t="s">
        <v>224</v>
      </c>
      <c r="G46" s="12" t="s">
        <v>85</v>
      </c>
      <c r="H46" s="13">
        <v>43466</v>
      </c>
      <c r="I46" s="13">
        <v>45127</v>
      </c>
      <c r="J46" s="13">
        <v>45219</v>
      </c>
    </row>
    <row r="47" spans="1:10" x14ac:dyDescent="0.25">
      <c r="A47" s="12">
        <v>46</v>
      </c>
      <c r="B47" s="12" t="s">
        <v>225</v>
      </c>
      <c r="C47" s="12" t="s">
        <v>226</v>
      </c>
      <c r="D47" s="12" t="s">
        <v>227</v>
      </c>
      <c r="E47" s="12">
        <v>20201018</v>
      </c>
      <c r="F47" s="12" t="s">
        <v>228</v>
      </c>
      <c r="G47" s="12" t="s">
        <v>85</v>
      </c>
      <c r="H47" s="13">
        <v>44966</v>
      </c>
      <c r="I47" s="13">
        <v>47848</v>
      </c>
      <c r="J47" s="13">
        <v>45219</v>
      </c>
    </row>
    <row r="48" spans="1:10" x14ac:dyDescent="0.25">
      <c r="A48" s="12">
        <v>47</v>
      </c>
      <c r="B48" s="12" t="s">
        <v>229</v>
      </c>
      <c r="C48" s="12" t="s">
        <v>230</v>
      </c>
      <c r="D48" s="12" t="s">
        <v>231</v>
      </c>
      <c r="E48" s="12">
        <v>20201071</v>
      </c>
      <c r="F48" s="12" t="s">
        <v>232</v>
      </c>
      <c r="G48" s="12" t="s">
        <v>85</v>
      </c>
      <c r="H48" s="13">
        <v>44287</v>
      </c>
      <c r="I48" s="13">
        <v>45010</v>
      </c>
      <c r="J48" s="13">
        <v>45219</v>
      </c>
    </row>
    <row r="49" spans="1:12" x14ac:dyDescent="0.25">
      <c r="A49" s="12">
        <v>48</v>
      </c>
      <c r="B49" s="12" t="s">
        <v>233</v>
      </c>
      <c r="C49" s="12" t="s">
        <v>234</v>
      </c>
      <c r="D49" s="12" t="s">
        <v>235</v>
      </c>
      <c r="E49" s="12">
        <v>20201088</v>
      </c>
      <c r="F49" s="12" t="s">
        <v>236</v>
      </c>
      <c r="G49" s="12" t="s">
        <v>85</v>
      </c>
      <c r="H49" s="13">
        <v>44603</v>
      </c>
      <c r="I49" s="13">
        <v>44834</v>
      </c>
      <c r="J49" s="13">
        <v>45227.834930555553</v>
      </c>
      <c r="L49" s="12" t="s">
        <v>237</v>
      </c>
    </row>
    <row r="50" spans="1:12" x14ac:dyDescent="0.25">
      <c r="A50" s="12">
        <v>49</v>
      </c>
      <c r="B50" s="12" t="s">
        <v>238</v>
      </c>
      <c r="C50" s="12" t="s">
        <v>239</v>
      </c>
      <c r="D50" s="12" t="s">
        <v>240</v>
      </c>
      <c r="E50" s="12">
        <v>20201001</v>
      </c>
      <c r="F50" s="12" t="s">
        <v>241</v>
      </c>
      <c r="G50" s="12" t="s">
        <v>85</v>
      </c>
      <c r="H50" s="13">
        <v>44346</v>
      </c>
      <c r="I50" s="13">
        <v>47848</v>
      </c>
      <c r="J50" s="13">
        <v>45222.684374999997</v>
      </c>
      <c r="L50" s="12" t="s">
        <v>237</v>
      </c>
    </row>
    <row r="51" spans="1:12" x14ac:dyDescent="0.25">
      <c r="A51" s="12">
        <v>50</v>
      </c>
      <c r="B51" s="12" t="s">
        <v>242</v>
      </c>
      <c r="C51" s="12" t="s">
        <v>243</v>
      </c>
      <c r="D51" s="12" t="s">
        <v>244</v>
      </c>
      <c r="E51" s="12">
        <v>20201082</v>
      </c>
      <c r="F51" s="12" t="s">
        <v>224</v>
      </c>
      <c r="G51" s="12" t="s">
        <v>85</v>
      </c>
      <c r="H51" s="13">
        <v>45128</v>
      </c>
      <c r="I51" s="13">
        <v>47848</v>
      </c>
      <c r="J51" s="13">
        <v>45219</v>
      </c>
    </row>
    <row r="52" spans="1:12" x14ac:dyDescent="0.25">
      <c r="A52" s="12">
        <v>51</v>
      </c>
      <c r="B52" s="12" t="s">
        <v>245</v>
      </c>
      <c r="C52" s="12" t="s">
        <v>246</v>
      </c>
      <c r="D52" s="12" t="s">
        <v>247</v>
      </c>
      <c r="E52" s="12">
        <v>20201089</v>
      </c>
      <c r="F52" s="12" t="s">
        <v>248</v>
      </c>
      <c r="G52" s="12" t="s">
        <v>85</v>
      </c>
      <c r="H52" s="13">
        <v>43466</v>
      </c>
      <c r="I52" s="13">
        <v>44834</v>
      </c>
      <c r="J52" s="13">
        <v>45219</v>
      </c>
    </row>
    <row r="53" spans="1:12" x14ac:dyDescent="0.25">
      <c r="A53" s="12">
        <v>52</v>
      </c>
      <c r="B53" s="12" t="s">
        <v>249</v>
      </c>
      <c r="C53" s="12" t="s">
        <v>250</v>
      </c>
      <c r="D53" s="12" t="s">
        <v>251</v>
      </c>
      <c r="E53" s="12">
        <v>20201052</v>
      </c>
      <c r="F53" s="12" t="s">
        <v>219</v>
      </c>
      <c r="G53" s="12" t="s">
        <v>85</v>
      </c>
      <c r="H53" s="13">
        <v>45000</v>
      </c>
      <c r="I53" s="13">
        <v>47848</v>
      </c>
      <c r="J53" s="13">
        <v>45219</v>
      </c>
    </row>
    <row r="54" spans="1:12" x14ac:dyDescent="0.25">
      <c r="A54" s="12">
        <v>53</v>
      </c>
      <c r="B54" s="12" t="s">
        <v>252</v>
      </c>
      <c r="C54" s="12" t="s">
        <v>253</v>
      </c>
      <c r="D54" s="12" t="s">
        <v>254</v>
      </c>
      <c r="E54" s="12">
        <v>20201030</v>
      </c>
      <c r="F54" s="12" t="s">
        <v>255</v>
      </c>
      <c r="G54" s="12" t="s">
        <v>85</v>
      </c>
      <c r="H54" s="13">
        <v>44800</v>
      </c>
      <c r="I54" s="13">
        <v>47848</v>
      </c>
      <c r="J54" s="13">
        <v>45219</v>
      </c>
    </row>
    <row r="55" spans="1:12" x14ac:dyDescent="0.25">
      <c r="A55" s="12">
        <v>54</v>
      </c>
      <c r="B55" s="12" t="s">
        <v>256</v>
      </c>
      <c r="C55" s="12" t="s">
        <v>35</v>
      </c>
      <c r="D55" s="12" t="s">
        <v>257</v>
      </c>
      <c r="E55" s="12">
        <v>20201056</v>
      </c>
      <c r="F55" s="12" t="s">
        <v>258</v>
      </c>
      <c r="G55" s="12" t="s">
        <v>85</v>
      </c>
      <c r="H55" s="13">
        <v>44404</v>
      </c>
      <c r="I55" s="13">
        <v>47848</v>
      </c>
      <c r="J55" s="13">
        <v>45219</v>
      </c>
    </row>
    <row r="56" spans="1:12" x14ac:dyDescent="0.25">
      <c r="A56" s="12">
        <v>55</v>
      </c>
      <c r="B56" s="12" t="s">
        <v>259</v>
      </c>
      <c r="C56" s="12" t="s">
        <v>260</v>
      </c>
      <c r="D56" s="12" t="s">
        <v>261</v>
      </c>
      <c r="E56" s="12">
        <v>20201087</v>
      </c>
      <c r="F56" s="12" t="s">
        <v>262</v>
      </c>
      <c r="G56" s="12" t="s">
        <v>85</v>
      </c>
      <c r="H56" s="13">
        <v>44729</v>
      </c>
      <c r="I56" s="13">
        <v>45077</v>
      </c>
      <c r="J56" s="13">
        <v>45219</v>
      </c>
    </row>
    <row r="57" spans="1:12" x14ac:dyDescent="0.25">
      <c r="A57" s="12">
        <v>56</v>
      </c>
      <c r="B57" s="12" t="s">
        <v>263</v>
      </c>
      <c r="C57" s="12" t="s">
        <v>264</v>
      </c>
      <c r="D57" s="12" t="s">
        <v>265</v>
      </c>
      <c r="E57" s="12">
        <v>20201032</v>
      </c>
      <c r="F57" s="12" t="s">
        <v>266</v>
      </c>
      <c r="G57" s="12" t="s">
        <v>85</v>
      </c>
      <c r="H57" s="13">
        <v>44025</v>
      </c>
      <c r="I57" s="13">
        <v>47848</v>
      </c>
      <c r="J57" s="13">
        <v>45219</v>
      </c>
    </row>
    <row r="58" spans="1:12" x14ac:dyDescent="0.25">
      <c r="A58" s="12">
        <v>57</v>
      </c>
      <c r="B58" s="12" t="s">
        <v>267</v>
      </c>
      <c r="C58" s="12" t="s">
        <v>268</v>
      </c>
      <c r="D58" s="12" t="s">
        <v>269</v>
      </c>
      <c r="E58" s="12">
        <v>20201064</v>
      </c>
      <c r="F58" s="12" t="s">
        <v>270</v>
      </c>
      <c r="G58" s="12" t="s">
        <v>85</v>
      </c>
      <c r="H58" s="13">
        <v>44439</v>
      </c>
      <c r="I58" s="13">
        <v>47848</v>
      </c>
      <c r="J58" s="13">
        <v>45219</v>
      </c>
    </row>
    <row r="59" spans="1:12" x14ac:dyDescent="0.25">
      <c r="A59" s="12">
        <v>58</v>
      </c>
      <c r="B59" s="12" t="s">
        <v>271</v>
      </c>
      <c r="C59" s="12" t="s">
        <v>272</v>
      </c>
      <c r="D59" s="12" t="s">
        <v>273</v>
      </c>
      <c r="E59" s="12">
        <v>20201017</v>
      </c>
      <c r="F59" s="12" t="s">
        <v>274</v>
      </c>
      <c r="G59" s="12" t="s">
        <v>85</v>
      </c>
      <c r="H59" s="13">
        <v>43466</v>
      </c>
      <c r="I59" s="13">
        <v>47848</v>
      </c>
      <c r="J59" s="13">
        <v>45219</v>
      </c>
    </row>
    <row r="60" spans="1:12" x14ac:dyDescent="0.25">
      <c r="A60" s="12">
        <v>59</v>
      </c>
      <c r="B60" s="12" t="s">
        <v>275</v>
      </c>
      <c r="C60" s="12" t="s">
        <v>276</v>
      </c>
      <c r="D60" s="12" t="s">
        <v>277</v>
      </c>
      <c r="E60" s="12">
        <v>20201048</v>
      </c>
      <c r="F60" s="12" t="s">
        <v>278</v>
      </c>
      <c r="G60" s="12" t="s">
        <v>85</v>
      </c>
      <c r="H60" s="13">
        <v>44309</v>
      </c>
      <c r="I60" s="13">
        <v>44928</v>
      </c>
      <c r="J60" s="13">
        <v>45219</v>
      </c>
    </row>
    <row r="61" spans="1:12" x14ac:dyDescent="0.25">
      <c r="A61" s="12">
        <v>60</v>
      </c>
      <c r="B61" s="12" t="s">
        <v>279</v>
      </c>
      <c r="C61" s="12" t="s">
        <v>280</v>
      </c>
      <c r="D61" s="12" t="s">
        <v>281</v>
      </c>
      <c r="E61" s="12">
        <v>20201079</v>
      </c>
      <c r="F61" s="12" t="s">
        <v>282</v>
      </c>
      <c r="G61" s="12" t="s">
        <v>85</v>
      </c>
      <c r="H61" s="13">
        <v>43466</v>
      </c>
      <c r="I61" s="13">
        <v>47848</v>
      </c>
      <c r="J61" s="13">
        <v>45219</v>
      </c>
    </row>
    <row r="62" spans="1:12" x14ac:dyDescent="0.25">
      <c r="A62" s="12">
        <v>61</v>
      </c>
      <c r="B62" s="12" t="s">
        <v>283</v>
      </c>
      <c r="C62" s="12" t="s">
        <v>284</v>
      </c>
      <c r="D62" s="12" t="s">
        <v>285</v>
      </c>
      <c r="E62" s="12">
        <v>20401003</v>
      </c>
      <c r="F62" s="12" t="s">
        <v>286</v>
      </c>
      <c r="G62" s="12" t="s">
        <v>85</v>
      </c>
      <c r="H62" s="13">
        <v>45139</v>
      </c>
      <c r="I62" s="13">
        <v>47848</v>
      </c>
      <c r="J62" s="13">
        <v>45219</v>
      </c>
    </row>
    <row r="63" spans="1:12" x14ac:dyDescent="0.25">
      <c r="A63" s="12">
        <v>62</v>
      </c>
      <c r="B63" s="12" t="s">
        <v>287</v>
      </c>
      <c r="C63" s="12" t="s">
        <v>288</v>
      </c>
      <c r="D63" s="12" t="s">
        <v>289</v>
      </c>
      <c r="E63" s="12">
        <v>20201070</v>
      </c>
      <c r="F63" s="12" t="s">
        <v>290</v>
      </c>
      <c r="G63" s="12" t="s">
        <v>85</v>
      </c>
      <c r="H63" s="13">
        <v>44683</v>
      </c>
      <c r="I63" s="13">
        <v>47848</v>
      </c>
      <c r="J63" s="13">
        <v>45219</v>
      </c>
    </row>
    <row r="64" spans="1:12" x14ac:dyDescent="0.25">
      <c r="A64" s="12">
        <v>63</v>
      </c>
      <c r="B64" s="12" t="s">
        <v>291</v>
      </c>
      <c r="C64" s="12" t="s">
        <v>292</v>
      </c>
      <c r="D64" s="12" t="s">
        <v>293</v>
      </c>
      <c r="E64" s="12">
        <v>20201049</v>
      </c>
      <c r="F64" s="12" t="s">
        <v>294</v>
      </c>
      <c r="G64" s="12" t="s">
        <v>85</v>
      </c>
      <c r="H64" s="13">
        <v>43466</v>
      </c>
      <c r="I64" s="13">
        <v>45078</v>
      </c>
      <c r="J64" s="13">
        <v>45219</v>
      </c>
    </row>
    <row r="65" spans="1:12" x14ac:dyDescent="0.25">
      <c r="A65" s="12">
        <v>64</v>
      </c>
      <c r="B65" s="12" t="s">
        <v>295</v>
      </c>
      <c r="C65" s="12" t="s">
        <v>296</v>
      </c>
      <c r="D65" s="12" t="s">
        <v>297</v>
      </c>
      <c r="E65" s="12">
        <v>20201013</v>
      </c>
      <c r="F65" s="12" t="s">
        <v>298</v>
      </c>
      <c r="G65" s="12" t="s">
        <v>85</v>
      </c>
      <c r="H65" s="13">
        <v>44512</v>
      </c>
      <c r="I65" s="13">
        <v>47848</v>
      </c>
      <c r="J65" s="13">
        <v>45219</v>
      </c>
    </row>
    <row r="66" spans="1:12" x14ac:dyDescent="0.25">
      <c r="A66" s="12">
        <v>65</v>
      </c>
      <c r="B66" s="12" t="s">
        <v>299</v>
      </c>
      <c r="C66" s="12" t="s">
        <v>300</v>
      </c>
      <c r="D66" s="12" t="s">
        <v>301</v>
      </c>
      <c r="E66" s="12">
        <v>20201011</v>
      </c>
      <c r="F66" s="12" t="s">
        <v>302</v>
      </c>
      <c r="G66" s="12" t="s">
        <v>85</v>
      </c>
      <c r="H66" s="13">
        <v>43466</v>
      </c>
      <c r="I66" s="13">
        <v>47848</v>
      </c>
      <c r="J66" s="13">
        <v>45219</v>
      </c>
    </row>
    <row r="67" spans="1:12" x14ac:dyDescent="0.25">
      <c r="A67" s="12">
        <v>66</v>
      </c>
      <c r="B67" s="12" t="s">
        <v>303</v>
      </c>
      <c r="C67" s="12" t="s">
        <v>38</v>
      </c>
      <c r="D67" s="12" t="s">
        <v>304</v>
      </c>
      <c r="E67" s="12">
        <v>20201023</v>
      </c>
      <c r="F67" s="12" t="s">
        <v>305</v>
      </c>
      <c r="G67" s="12" t="s">
        <v>85</v>
      </c>
      <c r="H67" s="13">
        <v>44936</v>
      </c>
      <c r="I67" s="13">
        <v>45231</v>
      </c>
      <c r="J67" s="13">
        <v>45232.519965277781</v>
      </c>
      <c r="K67" s="12" t="s">
        <v>306</v>
      </c>
      <c r="L67" s="12" t="s">
        <v>237</v>
      </c>
    </row>
    <row r="68" spans="1:12" x14ac:dyDescent="0.25">
      <c r="A68" s="12">
        <v>67</v>
      </c>
      <c r="B68" s="12" t="s">
        <v>303</v>
      </c>
      <c r="C68" s="12" t="s">
        <v>38</v>
      </c>
      <c r="D68" s="12" t="s">
        <v>304</v>
      </c>
      <c r="E68" s="12">
        <v>20201055</v>
      </c>
      <c r="F68" s="12" t="s">
        <v>307</v>
      </c>
      <c r="G68" s="12" t="s">
        <v>85</v>
      </c>
      <c r="H68" s="13">
        <v>44287</v>
      </c>
      <c r="I68" s="13">
        <v>44935</v>
      </c>
      <c r="J68" s="13">
        <v>45219</v>
      </c>
    </row>
    <row r="69" spans="1:12" x14ac:dyDescent="0.25">
      <c r="A69" s="12">
        <v>68</v>
      </c>
      <c r="B69" s="12" t="s">
        <v>308</v>
      </c>
      <c r="C69" s="12" t="s">
        <v>39</v>
      </c>
      <c r="D69" s="12" t="s">
        <v>19</v>
      </c>
      <c r="E69" s="12">
        <v>20201049</v>
      </c>
      <c r="F69" s="12" t="s">
        <v>294</v>
      </c>
      <c r="G69" s="12" t="s">
        <v>85</v>
      </c>
      <c r="H69" s="13">
        <v>45079</v>
      </c>
      <c r="I69" s="13">
        <v>47848</v>
      </c>
      <c r="J69" s="13">
        <v>45219</v>
      </c>
    </row>
    <row r="70" spans="1:12" x14ac:dyDescent="0.25">
      <c r="A70" s="12">
        <v>69</v>
      </c>
      <c r="B70" s="12" t="s">
        <v>309</v>
      </c>
      <c r="C70" s="12" t="s">
        <v>310</v>
      </c>
      <c r="D70" s="12" t="s">
        <v>311</v>
      </c>
      <c r="E70" s="12">
        <v>20201026</v>
      </c>
      <c r="F70" s="12" t="s">
        <v>312</v>
      </c>
      <c r="G70" s="12" t="s">
        <v>85</v>
      </c>
      <c r="H70" s="13">
        <v>43923</v>
      </c>
      <c r="I70" s="13">
        <v>45226</v>
      </c>
      <c r="J70" s="13">
        <v>45227.834930555553</v>
      </c>
      <c r="L70" s="12" t="s">
        <v>237</v>
      </c>
    </row>
    <row r="71" spans="1:12" x14ac:dyDescent="0.25">
      <c r="A71" s="12">
        <v>70</v>
      </c>
      <c r="B71" s="12" t="s">
        <v>313</v>
      </c>
      <c r="C71" s="12" t="s">
        <v>314</v>
      </c>
      <c r="D71" s="12" t="s">
        <v>315</v>
      </c>
      <c r="E71" s="12">
        <v>20201015</v>
      </c>
      <c r="F71" s="12" t="s">
        <v>154</v>
      </c>
      <c r="G71" s="12" t="s">
        <v>85</v>
      </c>
      <c r="H71" s="13">
        <v>44743</v>
      </c>
      <c r="I71" s="13">
        <v>47848</v>
      </c>
      <c r="J71" s="13">
        <v>45219</v>
      </c>
    </row>
    <row r="72" spans="1:12" x14ac:dyDescent="0.25">
      <c r="A72" s="12">
        <v>71</v>
      </c>
      <c r="B72" s="12" t="s">
        <v>316</v>
      </c>
      <c r="C72" s="12" t="s">
        <v>317</v>
      </c>
      <c r="D72" s="12" t="s">
        <v>318</v>
      </c>
      <c r="E72" s="12">
        <v>20201016</v>
      </c>
      <c r="F72" s="12" t="s">
        <v>319</v>
      </c>
      <c r="G72" s="12" t="s">
        <v>85</v>
      </c>
      <c r="H72" s="13">
        <v>44566</v>
      </c>
      <c r="I72" s="13">
        <v>47848</v>
      </c>
      <c r="J72" s="13">
        <v>45219</v>
      </c>
    </row>
    <row r="73" spans="1:12" x14ac:dyDescent="0.25">
      <c r="A73" s="12">
        <v>72</v>
      </c>
      <c r="B73" s="12" t="s">
        <v>320</v>
      </c>
      <c r="C73" s="12" t="s">
        <v>321</v>
      </c>
      <c r="D73" s="12" t="s">
        <v>322</v>
      </c>
      <c r="E73" s="12">
        <v>20201009</v>
      </c>
      <c r="F73" s="12" t="s">
        <v>179</v>
      </c>
      <c r="G73" s="12" t="s">
        <v>85</v>
      </c>
      <c r="H73" s="13">
        <v>43466</v>
      </c>
      <c r="I73" s="13">
        <v>47848</v>
      </c>
      <c r="J73" s="13">
        <v>45219</v>
      </c>
    </row>
    <row r="74" spans="1:12" x14ac:dyDescent="0.25">
      <c r="A74" s="12">
        <v>73</v>
      </c>
      <c r="B74" s="12" t="s">
        <v>323</v>
      </c>
      <c r="C74" s="12" t="s">
        <v>324</v>
      </c>
      <c r="D74" s="12" t="s">
        <v>325</v>
      </c>
      <c r="E74" s="12">
        <v>20201067</v>
      </c>
      <c r="F74" s="12" t="s">
        <v>326</v>
      </c>
      <c r="G74" s="12" t="s">
        <v>85</v>
      </c>
      <c r="H74" s="13">
        <v>44538</v>
      </c>
      <c r="I74" s="13">
        <v>47848</v>
      </c>
      <c r="J74" s="13">
        <v>45219</v>
      </c>
    </row>
    <row r="75" spans="1:12" x14ac:dyDescent="0.25">
      <c r="A75" s="12">
        <v>74</v>
      </c>
      <c r="B75" s="12" t="s">
        <v>327</v>
      </c>
      <c r="C75" s="12" t="s">
        <v>328</v>
      </c>
      <c r="D75" s="12" t="s">
        <v>329</v>
      </c>
      <c r="E75" s="12">
        <v>20201021</v>
      </c>
      <c r="F75" s="12" t="s">
        <v>330</v>
      </c>
      <c r="G75" s="12" t="s">
        <v>85</v>
      </c>
      <c r="H75" s="13">
        <v>44112</v>
      </c>
      <c r="I75" s="13">
        <v>47848</v>
      </c>
      <c r="J75" s="13">
        <v>45219</v>
      </c>
    </row>
    <row r="76" spans="1:12" x14ac:dyDescent="0.25">
      <c r="A76" s="12">
        <v>75</v>
      </c>
      <c r="B76" s="12" t="s">
        <v>331</v>
      </c>
      <c r="C76" s="12" t="s">
        <v>332</v>
      </c>
      <c r="D76" s="12" t="s">
        <v>333</v>
      </c>
      <c r="E76" s="12">
        <v>20201052</v>
      </c>
      <c r="F76" s="12" t="s">
        <v>219</v>
      </c>
      <c r="G76" s="12" t="s">
        <v>85</v>
      </c>
      <c r="H76" s="13">
        <v>44683</v>
      </c>
      <c r="I76" s="13">
        <v>44999</v>
      </c>
      <c r="J76" s="13">
        <v>45219</v>
      </c>
    </row>
    <row r="77" spans="1:12" x14ac:dyDescent="0.25">
      <c r="A77" s="12">
        <v>76</v>
      </c>
      <c r="B77" s="12" t="s">
        <v>331</v>
      </c>
      <c r="C77" s="12" t="s">
        <v>332</v>
      </c>
      <c r="D77" s="12" t="s">
        <v>333</v>
      </c>
      <c r="E77" s="12">
        <v>20201061</v>
      </c>
      <c r="F77" s="12" t="s">
        <v>334</v>
      </c>
      <c r="G77" s="12" t="s">
        <v>85</v>
      </c>
      <c r="H77" s="13">
        <v>45000</v>
      </c>
      <c r="I77" s="13">
        <v>47848</v>
      </c>
      <c r="J77" s="13">
        <v>45219</v>
      </c>
    </row>
    <row r="78" spans="1:12" x14ac:dyDescent="0.25">
      <c r="A78" s="12">
        <v>77</v>
      </c>
      <c r="B78" s="12" t="s">
        <v>331</v>
      </c>
      <c r="C78" s="12" t="s">
        <v>332</v>
      </c>
      <c r="D78" s="12" t="s">
        <v>333</v>
      </c>
      <c r="E78" s="12">
        <v>20201070</v>
      </c>
      <c r="F78" s="12" t="s">
        <v>290</v>
      </c>
      <c r="G78" s="12" t="s">
        <v>85</v>
      </c>
      <c r="H78" s="13">
        <v>43466</v>
      </c>
      <c r="I78" s="13">
        <v>44682</v>
      </c>
      <c r="J78" s="13">
        <v>45219</v>
      </c>
    </row>
    <row r="79" spans="1:12" x14ac:dyDescent="0.25">
      <c r="A79" s="12">
        <v>78</v>
      </c>
      <c r="B79" s="12" t="s">
        <v>335</v>
      </c>
      <c r="C79" s="12" t="s">
        <v>40</v>
      </c>
      <c r="D79" s="12" t="s">
        <v>336</v>
      </c>
      <c r="E79" s="12">
        <v>20201035</v>
      </c>
      <c r="F79" s="12" t="s">
        <v>337</v>
      </c>
      <c r="G79" s="12" t="s">
        <v>85</v>
      </c>
      <c r="H79" s="13">
        <v>43466</v>
      </c>
      <c r="I79" s="13">
        <v>47848</v>
      </c>
      <c r="J79" s="13">
        <v>45219</v>
      </c>
    </row>
    <row r="80" spans="1:12" x14ac:dyDescent="0.25">
      <c r="A80" s="12">
        <v>79</v>
      </c>
      <c r="B80" s="12" t="s">
        <v>101</v>
      </c>
      <c r="C80" s="12" t="s">
        <v>338</v>
      </c>
      <c r="D80" s="12" t="s">
        <v>339</v>
      </c>
      <c r="E80" s="12">
        <v>20201071</v>
      </c>
      <c r="F80" s="12" t="s">
        <v>232</v>
      </c>
      <c r="G80" s="12" t="s">
        <v>85</v>
      </c>
      <c r="H80" s="13">
        <v>45011</v>
      </c>
      <c r="I80" s="13">
        <v>47848</v>
      </c>
      <c r="J80" s="13">
        <v>45219</v>
      </c>
    </row>
    <row r="81" spans="1:12" x14ac:dyDescent="0.25">
      <c r="A81" s="12">
        <v>80</v>
      </c>
      <c r="B81" s="12" t="s">
        <v>101</v>
      </c>
      <c r="C81" s="12" t="s">
        <v>338</v>
      </c>
      <c r="D81" s="12" t="s">
        <v>339</v>
      </c>
      <c r="E81" s="12">
        <v>20201061</v>
      </c>
      <c r="F81" s="12" t="s">
        <v>334</v>
      </c>
      <c r="G81" s="12" t="s">
        <v>85</v>
      </c>
      <c r="H81" s="13">
        <v>44480</v>
      </c>
      <c r="I81" s="13">
        <v>45010</v>
      </c>
      <c r="J81" s="13">
        <v>45219</v>
      </c>
    </row>
    <row r="82" spans="1:12" x14ac:dyDescent="0.25">
      <c r="A82" s="12">
        <v>81</v>
      </c>
      <c r="B82" s="12" t="s">
        <v>340</v>
      </c>
      <c r="C82" s="12" t="s">
        <v>341</v>
      </c>
      <c r="D82" s="12" t="s">
        <v>342</v>
      </c>
      <c r="E82" s="12">
        <v>20201043</v>
      </c>
      <c r="F82" s="12" t="s">
        <v>189</v>
      </c>
      <c r="G82" s="12" t="s">
        <v>85</v>
      </c>
      <c r="H82" s="13">
        <v>44361</v>
      </c>
      <c r="I82" s="13">
        <v>45077</v>
      </c>
      <c r="J82" s="13">
        <v>45219</v>
      </c>
    </row>
    <row r="83" spans="1:12" x14ac:dyDescent="0.25">
      <c r="A83" s="12">
        <v>82</v>
      </c>
      <c r="B83" s="12" t="s">
        <v>340</v>
      </c>
      <c r="C83" s="12" t="s">
        <v>343</v>
      </c>
      <c r="D83" s="12" t="s">
        <v>344</v>
      </c>
      <c r="E83" s="12">
        <v>20201076</v>
      </c>
      <c r="F83" s="12" t="s">
        <v>223</v>
      </c>
      <c r="G83" s="12" t="s">
        <v>85</v>
      </c>
      <c r="H83" s="13">
        <v>44658</v>
      </c>
      <c r="I83" s="13">
        <v>45127</v>
      </c>
      <c r="J83" s="13">
        <v>45219</v>
      </c>
    </row>
    <row r="84" spans="1:12" x14ac:dyDescent="0.25">
      <c r="A84" s="12">
        <v>83</v>
      </c>
      <c r="B84" s="12" t="s">
        <v>345</v>
      </c>
      <c r="C84" s="12" t="s">
        <v>41</v>
      </c>
      <c r="D84" s="12" t="s">
        <v>346</v>
      </c>
      <c r="E84" s="12">
        <v>20201058</v>
      </c>
      <c r="F84" s="12" t="s">
        <v>347</v>
      </c>
      <c r="G84" s="12" t="s">
        <v>85</v>
      </c>
      <c r="H84" s="13">
        <v>44347</v>
      </c>
      <c r="I84" s="13">
        <v>47848</v>
      </c>
      <c r="J84" s="13">
        <v>45219</v>
      </c>
    </row>
    <row r="85" spans="1:12" x14ac:dyDescent="0.25">
      <c r="A85" s="12">
        <v>84</v>
      </c>
      <c r="B85" s="12" t="s">
        <v>323</v>
      </c>
      <c r="C85" s="12" t="s">
        <v>348</v>
      </c>
      <c r="D85" s="12" t="s">
        <v>349</v>
      </c>
      <c r="E85" s="12">
        <v>20201050</v>
      </c>
      <c r="F85" s="12" t="s">
        <v>350</v>
      </c>
      <c r="G85" s="12" t="s">
        <v>85</v>
      </c>
      <c r="H85" s="13">
        <v>44489</v>
      </c>
      <c r="I85" s="13">
        <v>47848</v>
      </c>
      <c r="J85" s="13">
        <v>45219</v>
      </c>
    </row>
    <row r="86" spans="1:12" x14ac:dyDescent="0.25">
      <c r="A86" s="12">
        <v>85</v>
      </c>
      <c r="B86" s="12" t="s">
        <v>351</v>
      </c>
      <c r="C86" s="12" t="s">
        <v>352</v>
      </c>
      <c r="D86" s="12" t="s">
        <v>353</v>
      </c>
      <c r="E86" s="12">
        <v>20201010</v>
      </c>
      <c r="F86" s="12" t="s">
        <v>354</v>
      </c>
      <c r="G86" s="12" t="s">
        <v>85</v>
      </c>
      <c r="H86" s="13">
        <v>43466</v>
      </c>
      <c r="I86" s="13">
        <v>47848</v>
      </c>
      <c r="J86" s="13">
        <v>45219</v>
      </c>
    </row>
    <row r="87" spans="1:12" x14ac:dyDescent="0.25">
      <c r="A87" s="12">
        <v>86</v>
      </c>
      <c r="B87" s="12" t="s">
        <v>355</v>
      </c>
      <c r="C87" s="12" t="s">
        <v>356</v>
      </c>
      <c r="D87" s="12" t="s">
        <v>357</v>
      </c>
      <c r="E87" s="12">
        <v>20201020</v>
      </c>
      <c r="F87" s="12" t="s">
        <v>358</v>
      </c>
      <c r="G87" s="12" t="s">
        <v>85</v>
      </c>
      <c r="H87" s="13">
        <v>44348</v>
      </c>
      <c r="I87" s="13">
        <v>47848</v>
      </c>
      <c r="J87" s="13">
        <v>45219</v>
      </c>
    </row>
    <row r="88" spans="1:12" x14ac:dyDescent="0.25">
      <c r="A88" s="12">
        <v>87</v>
      </c>
      <c r="B88" s="12" t="s">
        <v>359</v>
      </c>
      <c r="C88" s="12" t="s">
        <v>360</v>
      </c>
      <c r="D88" s="12" t="s">
        <v>361</v>
      </c>
      <c r="E88" s="12">
        <v>20201066</v>
      </c>
      <c r="F88" s="12" t="s">
        <v>362</v>
      </c>
      <c r="G88" s="12" t="s">
        <v>85</v>
      </c>
      <c r="H88" s="13">
        <v>44440</v>
      </c>
      <c r="I88" s="13">
        <v>47848</v>
      </c>
      <c r="J88" s="13">
        <v>45219</v>
      </c>
    </row>
    <row r="89" spans="1:12" x14ac:dyDescent="0.25">
      <c r="A89" s="12">
        <v>88</v>
      </c>
      <c r="B89" s="12" t="s">
        <v>147</v>
      </c>
      <c r="C89" s="12" t="s">
        <v>363</v>
      </c>
      <c r="D89" s="12" t="s">
        <v>364</v>
      </c>
      <c r="E89" s="12">
        <v>20201046</v>
      </c>
      <c r="F89" s="12" t="s">
        <v>365</v>
      </c>
      <c r="G89" s="12" t="s">
        <v>85</v>
      </c>
      <c r="H89" s="13">
        <v>43466</v>
      </c>
      <c r="I89" s="13">
        <v>47848</v>
      </c>
      <c r="J89" s="13">
        <v>45219</v>
      </c>
    </row>
    <row r="90" spans="1:12" x14ac:dyDescent="0.25">
      <c r="A90" s="12">
        <v>89</v>
      </c>
      <c r="B90" s="12" t="s">
        <v>366</v>
      </c>
      <c r="C90" s="12" t="s">
        <v>367</v>
      </c>
      <c r="D90" s="12" t="s">
        <v>368</v>
      </c>
      <c r="E90" s="12">
        <v>20401003</v>
      </c>
      <c r="F90" s="12" t="s">
        <v>286</v>
      </c>
      <c r="G90" s="12" t="s">
        <v>85</v>
      </c>
      <c r="H90" s="13">
        <v>43466</v>
      </c>
      <c r="I90" s="13">
        <v>45138</v>
      </c>
      <c r="J90" s="13">
        <v>45219</v>
      </c>
    </row>
    <row r="91" spans="1:12" x14ac:dyDescent="0.25">
      <c r="A91" s="12">
        <v>90</v>
      </c>
      <c r="B91" s="12" t="s">
        <v>369</v>
      </c>
      <c r="C91" s="12" t="s">
        <v>370</v>
      </c>
      <c r="D91" s="12" t="s">
        <v>371</v>
      </c>
      <c r="E91" s="12">
        <v>20201068</v>
      </c>
      <c r="F91" s="12" t="s">
        <v>372</v>
      </c>
      <c r="G91" s="12" t="s">
        <v>85</v>
      </c>
      <c r="H91" s="13">
        <v>44268</v>
      </c>
      <c r="I91" s="13">
        <v>47848</v>
      </c>
      <c r="J91" s="13">
        <v>45219</v>
      </c>
    </row>
    <row r="92" spans="1:12" x14ac:dyDescent="0.25">
      <c r="A92" s="12">
        <v>91</v>
      </c>
      <c r="B92" s="12" t="s">
        <v>373</v>
      </c>
      <c r="C92" s="12" t="s">
        <v>374</v>
      </c>
      <c r="D92" s="12" t="s">
        <v>375</v>
      </c>
      <c r="E92" s="12">
        <v>20201030</v>
      </c>
      <c r="F92" s="12" t="s">
        <v>255</v>
      </c>
      <c r="G92" s="12" t="s">
        <v>85</v>
      </c>
      <c r="H92" s="13">
        <v>43466</v>
      </c>
      <c r="I92" s="13">
        <v>44799</v>
      </c>
      <c r="J92" s="13">
        <v>45219</v>
      </c>
    </row>
    <row r="93" spans="1:12" x14ac:dyDescent="0.25">
      <c r="A93" s="12">
        <v>92</v>
      </c>
      <c r="B93" s="12" t="s">
        <v>376</v>
      </c>
      <c r="C93" s="12" t="s">
        <v>42</v>
      </c>
      <c r="D93" s="12" t="s">
        <v>377</v>
      </c>
      <c r="E93" s="12">
        <v>20201047</v>
      </c>
      <c r="F93" s="12" t="s">
        <v>378</v>
      </c>
      <c r="G93" s="12" t="s">
        <v>85</v>
      </c>
      <c r="H93" s="13">
        <v>44184</v>
      </c>
      <c r="I93" s="13">
        <v>47848</v>
      </c>
      <c r="J93" s="13">
        <v>45219</v>
      </c>
    </row>
    <row r="94" spans="1:12" x14ac:dyDescent="0.25">
      <c r="A94" s="12">
        <v>93</v>
      </c>
      <c r="B94" s="12" t="s">
        <v>327</v>
      </c>
      <c r="C94" s="12" t="s">
        <v>43</v>
      </c>
      <c r="D94" s="12" t="s">
        <v>379</v>
      </c>
      <c r="E94" s="12">
        <v>20201023</v>
      </c>
      <c r="F94" s="12" t="s">
        <v>305</v>
      </c>
      <c r="G94" s="12" t="s">
        <v>85</v>
      </c>
      <c r="H94" s="13">
        <v>44693</v>
      </c>
      <c r="I94" s="13">
        <v>44935</v>
      </c>
      <c r="J94" s="13">
        <v>45232.521412037036</v>
      </c>
      <c r="K94" s="12" t="s">
        <v>306</v>
      </c>
      <c r="L94" s="12" t="s">
        <v>237</v>
      </c>
    </row>
    <row r="95" spans="1:12" x14ac:dyDescent="0.25">
      <c r="A95" s="12">
        <v>94</v>
      </c>
      <c r="B95" s="12" t="s">
        <v>327</v>
      </c>
      <c r="C95" s="12" t="s">
        <v>43</v>
      </c>
      <c r="D95" s="12" t="s">
        <v>379</v>
      </c>
      <c r="E95" s="12">
        <v>20201055</v>
      </c>
      <c r="F95" s="12" t="s">
        <v>307</v>
      </c>
      <c r="G95" s="12" t="s">
        <v>85</v>
      </c>
      <c r="H95" s="13">
        <v>44936</v>
      </c>
      <c r="I95" s="13">
        <v>47848</v>
      </c>
      <c r="J95" s="13">
        <v>45219</v>
      </c>
    </row>
    <row r="96" spans="1:12" x14ac:dyDescent="0.25">
      <c r="A96" s="12">
        <v>95</v>
      </c>
      <c r="B96" s="12" t="s">
        <v>380</v>
      </c>
      <c r="C96" s="12" t="s">
        <v>381</v>
      </c>
      <c r="D96" s="12" t="s">
        <v>382</v>
      </c>
      <c r="E96" s="12">
        <v>20201027</v>
      </c>
      <c r="F96" s="12" t="s">
        <v>383</v>
      </c>
      <c r="G96" s="12" t="s">
        <v>85</v>
      </c>
      <c r="H96" s="13">
        <v>43466</v>
      </c>
      <c r="I96" s="13">
        <v>47848</v>
      </c>
      <c r="J96" s="13">
        <v>45219</v>
      </c>
    </row>
    <row r="97" spans="1:10" x14ac:dyDescent="0.25">
      <c r="A97" s="12">
        <v>96</v>
      </c>
      <c r="B97" s="12" t="s">
        <v>384</v>
      </c>
      <c r="C97" s="12" t="s">
        <v>385</v>
      </c>
      <c r="D97" s="12" t="s">
        <v>386</v>
      </c>
      <c r="E97" s="12">
        <v>20201005</v>
      </c>
      <c r="F97" s="12" t="s">
        <v>387</v>
      </c>
      <c r="G97" s="12" t="s">
        <v>85</v>
      </c>
      <c r="H97" s="13">
        <v>44526</v>
      </c>
      <c r="I97" s="13">
        <v>47848</v>
      </c>
      <c r="J97" s="13">
        <v>45219</v>
      </c>
    </row>
    <row r="98" spans="1:10" x14ac:dyDescent="0.25">
      <c r="A98" s="12">
        <v>97</v>
      </c>
      <c r="B98" s="12" t="s">
        <v>388</v>
      </c>
      <c r="C98" s="12" t="s">
        <v>389</v>
      </c>
      <c r="D98" s="12" t="s">
        <v>390</v>
      </c>
      <c r="E98" s="12">
        <v>20201065</v>
      </c>
      <c r="F98" s="12" t="s">
        <v>391</v>
      </c>
      <c r="G98" s="12" t="s">
        <v>85</v>
      </c>
      <c r="H98" s="13">
        <v>44743</v>
      </c>
      <c r="I98" s="13">
        <v>47848</v>
      </c>
      <c r="J98" s="13">
        <v>45219</v>
      </c>
    </row>
    <row r="99" spans="1:10" x14ac:dyDescent="0.25">
      <c r="A99" s="12">
        <v>98</v>
      </c>
      <c r="B99" s="12" t="s">
        <v>392</v>
      </c>
      <c r="C99" s="12" t="s">
        <v>393</v>
      </c>
      <c r="D99" s="12" t="s">
        <v>394</v>
      </c>
      <c r="E99" s="12">
        <v>20201063</v>
      </c>
      <c r="F99" s="12" t="s">
        <v>395</v>
      </c>
      <c r="G99" s="12" t="s">
        <v>85</v>
      </c>
      <c r="H99" s="13">
        <v>44403</v>
      </c>
      <c r="I99" s="13">
        <v>47848</v>
      </c>
      <c r="J99" s="13">
        <v>45219</v>
      </c>
    </row>
    <row r="100" spans="1:10" x14ac:dyDescent="0.25">
      <c r="A100" s="12">
        <v>99</v>
      </c>
      <c r="B100" s="12" t="s">
        <v>396</v>
      </c>
      <c r="C100" s="12" t="s">
        <v>397</v>
      </c>
      <c r="D100" s="12" t="s">
        <v>398</v>
      </c>
      <c r="E100" s="12">
        <v>20201036</v>
      </c>
      <c r="F100" s="12" t="s">
        <v>399</v>
      </c>
      <c r="G100" s="12" t="s">
        <v>85</v>
      </c>
      <c r="H100" s="13">
        <v>44422</v>
      </c>
      <c r="I100" s="13">
        <v>47848</v>
      </c>
      <c r="J100" s="13">
        <v>45219</v>
      </c>
    </row>
    <row r="101" spans="1:10" x14ac:dyDescent="0.25">
      <c r="A101" s="12">
        <v>100</v>
      </c>
      <c r="B101" s="12" t="s">
        <v>400</v>
      </c>
      <c r="C101" s="12" t="s">
        <v>401</v>
      </c>
      <c r="D101" s="12" t="s">
        <v>402</v>
      </c>
      <c r="E101" s="12">
        <v>20201016</v>
      </c>
      <c r="F101" s="12" t="s">
        <v>319</v>
      </c>
      <c r="G101" s="12" t="s">
        <v>85</v>
      </c>
      <c r="H101" s="13">
        <v>45116</v>
      </c>
      <c r="I101" s="13">
        <v>47848</v>
      </c>
      <c r="J101" s="13">
        <v>45219</v>
      </c>
    </row>
    <row r="102" spans="1:10" x14ac:dyDescent="0.25">
      <c r="A102" s="12">
        <v>101</v>
      </c>
      <c r="B102" s="12" t="s">
        <v>316</v>
      </c>
      <c r="C102" s="12" t="s">
        <v>403</v>
      </c>
      <c r="D102" s="12" t="s">
        <v>404</v>
      </c>
      <c r="E102" s="12">
        <v>20401002</v>
      </c>
      <c r="F102" s="12" t="s">
        <v>405</v>
      </c>
      <c r="G102" s="12" t="s">
        <v>85</v>
      </c>
      <c r="H102" s="13">
        <v>44641</v>
      </c>
      <c r="I102" s="13">
        <v>47848</v>
      </c>
      <c r="J102" s="13">
        <v>45219</v>
      </c>
    </row>
    <row r="103" spans="1:10" x14ac:dyDescent="0.25">
      <c r="A103" s="12">
        <v>102</v>
      </c>
      <c r="B103" s="12" t="s">
        <v>406</v>
      </c>
      <c r="C103" s="12" t="s">
        <v>407</v>
      </c>
      <c r="D103" s="12" t="s">
        <v>408</v>
      </c>
      <c r="E103" s="12">
        <v>20201090</v>
      </c>
      <c r="F103" s="12" t="s">
        <v>409</v>
      </c>
      <c r="G103" s="12" t="s">
        <v>410</v>
      </c>
      <c r="H103" s="13">
        <v>44641</v>
      </c>
      <c r="I103" s="13">
        <v>47848</v>
      </c>
      <c r="J103" s="13">
        <v>45219</v>
      </c>
    </row>
    <row r="104" spans="1:10" x14ac:dyDescent="0.25">
      <c r="A104" s="12">
        <v>103</v>
      </c>
      <c r="B104" s="12" t="s">
        <v>71</v>
      </c>
      <c r="C104" s="12" t="s">
        <v>411</v>
      </c>
      <c r="D104" s="12" t="s">
        <v>412</v>
      </c>
      <c r="E104" s="12">
        <v>20201091</v>
      </c>
      <c r="F104" s="12" t="s">
        <v>413</v>
      </c>
      <c r="G104" s="12" t="s">
        <v>85</v>
      </c>
      <c r="H104" s="13">
        <v>44560</v>
      </c>
      <c r="I104" s="13">
        <v>47848</v>
      </c>
      <c r="J104" s="13">
        <v>45219</v>
      </c>
    </row>
    <row r="105" spans="1:10" x14ac:dyDescent="0.25">
      <c r="A105" s="12">
        <v>104</v>
      </c>
      <c r="B105" s="12" t="s">
        <v>176</v>
      </c>
      <c r="C105" s="12" t="s">
        <v>177</v>
      </c>
      <c r="D105" s="12" t="s">
        <v>178</v>
      </c>
      <c r="E105" s="12">
        <v>20201092</v>
      </c>
      <c r="F105" s="12" t="s">
        <v>414</v>
      </c>
      <c r="G105" s="12" t="s">
        <v>85</v>
      </c>
      <c r="H105" s="13">
        <v>45152</v>
      </c>
      <c r="I105" s="13">
        <v>47848</v>
      </c>
      <c r="J105" s="13">
        <v>45219</v>
      </c>
    </row>
    <row r="106" spans="1:10" x14ac:dyDescent="0.25">
      <c r="A106" s="12">
        <v>105</v>
      </c>
      <c r="B106" s="12" t="s">
        <v>415</v>
      </c>
      <c r="C106" s="12" t="s">
        <v>416</v>
      </c>
      <c r="D106" s="12" t="s">
        <v>417</v>
      </c>
      <c r="E106" s="12">
        <v>20201093</v>
      </c>
      <c r="F106" s="12" t="s">
        <v>418</v>
      </c>
      <c r="G106" s="12" t="s">
        <v>85</v>
      </c>
      <c r="H106" s="13">
        <v>45077</v>
      </c>
      <c r="I106" s="13">
        <v>45089</v>
      </c>
      <c r="J106" s="13">
        <v>45219</v>
      </c>
    </row>
    <row r="107" spans="1:10" x14ac:dyDescent="0.25">
      <c r="A107" s="12">
        <v>106</v>
      </c>
      <c r="B107" s="12" t="s">
        <v>419</v>
      </c>
      <c r="C107" s="12" t="s">
        <v>420</v>
      </c>
      <c r="D107" s="12" t="s">
        <v>421</v>
      </c>
      <c r="E107" s="12">
        <v>20201094</v>
      </c>
      <c r="F107" s="12" t="s">
        <v>422</v>
      </c>
      <c r="G107" s="12" t="s">
        <v>85</v>
      </c>
      <c r="H107" s="13">
        <v>44469</v>
      </c>
      <c r="I107" s="13">
        <v>44895</v>
      </c>
      <c r="J107" s="13">
        <v>45219</v>
      </c>
    </row>
    <row r="108" spans="1:10" x14ac:dyDescent="0.25">
      <c r="A108" s="12">
        <v>107</v>
      </c>
      <c r="B108" s="12" t="s">
        <v>423</v>
      </c>
      <c r="C108" s="12" t="s">
        <v>424</v>
      </c>
      <c r="D108" s="12" t="s">
        <v>425</v>
      </c>
      <c r="E108" s="12">
        <v>20201095</v>
      </c>
      <c r="F108" s="12" t="s">
        <v>426</v>
      </c>
      <c r="G108" s="12" t="s">
        <v>85</v>
      </c>
      <c r="H108" s="13">
        <v>44869</v>
      </c>
      <c r="I108" s="13">
        <v>44893</v>
      </c>
      <c r="J108" s="13">
        <v>45219</v>
      </c>
    </row>
    <row r="109" spans="1:10" x14ac:dyDescent="0.25">
      <c r="A109" s="12">
        <v>108</v>
      </c>
      <c r="B109" s="12" t="s">
        <v>427</v>
      </c>
      <c r="C109" s="12" t="s">
        <v>428</v>
      </c>
      <c r="D109" s="12" t="s">
        <v>429</v>
      </c>
      <c r="E109" s="12">
        <v>20201096</v>
      </c>
      <c r="F109" s="12" t="s">
        <v>430</v>
      </c>
      <c r="G109" s="12" t="s">
        <v>85</v>
      </c>
      <c r="H109" s="13">
        <v>44827</v>
      </c>
      <c r="I109" s="13">
        <v>45176</v>
      </c>
      <c r="J109" s="13">
        <v>45219</v>
      </c>
    </row>
    <row r="110" spans="1:10" x14ac:dyDescent="0.25">
      <c r="A110" s="12">
        <v>109</v>
      </c>
      <c r="B110" s="12" t="s">
        <v>316</v>
      </c>
      <c r="C110" s="12" t="s">
        <v>431</v>
      </c>
      <c r="D110" s="12" t="s">
        <v>432</v>
      </c>
      <c r="E110" s="12">
        <v>20201097</v>
      </c>
      <c r="F110" s="12" t="s">
        <v>433</v>
      </c>
      <c r="G110" s="12" t="s">
        <v>85</v>
      </c>
      <c r="H110" s="13">
        <v>43466</v>
      </c>
      <c r="I110" s="13">
        <v>45079</v>
      </c>
      <c r="J110" s="13">
        <v>45219</v>
      </c>
    </row>
    <row r="111" spans="1:10" x14ac:dyDescent="0.25">
      <c r="A111" s="12">
        <v>110</v>
      </c>
      <c r="B111" s="12" t="s">
        <v>340</v>
      </c>
      <c r="C111" s="12" t="s">
        <v>341</v>
      </c>
      <c r="D111" s="12" t="s">
        <v>342</v>
      </c>
      <c r="E111" s="12">
        <v>20201097</v>
      </c>
      <c r="F111" s="12" t="s">
        <v>433</v>
      </c>
      <c r="G111" s="12" t="s">
        <v>85</v>
      </c>
      <c r="H111" s="13">
        <v>45080</v>
      </c>
      <c r="I111" s="13">
        <v>47848</v>
      </c>
      <c r="J111" s="13">
        <v>45219</v>
      </c>
    </row>
    <row r="112" spans="1:10" x14ac:dyDescent="0.25">
      <c r="A112" s="12">
        <v>111</v>
      </c>
      <c r="B112" s="12" t="s">
        <v>140</v>
      </c>
      <c r="C112" s="12" t="s">
        <v>434</v>
      </c>
      <c r="D112" s="12" t="s">
        <v>435</v>
      </c>
      <c r="E112" s="12">
        <v>20201098</v>
      </c>
      <c r="F112" s="12" t="s">
        <v>436</v>
      </c>
      <c r="G112" s="12" t="s">
        <v>85</v>
      </c>
      <c r="H112" s="13">
        <v>43466</v>
      </c>
      <c r="I112" s="13">
        <v>47848</v>
      </c>
      <c r="J112" s="13">
        <v>45219</v>
      </c>
    </row>
    <row r="113" spans="1:12" x14ac:dyDescent="0.25">
      <c r="A113" s="12">
        <v>112</v>
      </c>
      <c r="B113" s="12" t="s">
        <v>437</v>
      </c>
      <c r="C113" s="12" t="s">
        <v>438</v>
      </c>
      <c r="D113" s="12" t="s">
        <v>439</v>
      </c>
      <c r="E113" s="12">
        <v>20201099</v>
      </c>
      <c r="F113" s="12" t="s">
        <v>440</v>
      </c>
      <c r="G113" s="12" t="s">
        <v>85</v>
      </c>
      <c r="H113" s="13">
        <v>43466</v>
      </c>
      <c r="I113" s="13">
        <v>44985</v>
      </c>
      <c r="J113" s="13">
        <v>45219</v>
      </c>
    </row>
    <row r="114" spans="1:12" x14ac:dyDescent="0.25">
      <c r="A114" s="12">
        <v>113</v>
      </c>
      <c r="B114" s="12" t="s">
        <v>441</v>
      </c>
      <c r="C114" s="12" t="s">
        <v>442</v>
      </c>
      <c r="D114" s="12" t="s">
        <v>443</v>
      </c>
      <c r="E114" s="12">
        <v>20201100</v>
      </c>
      <c r="F114" s="12" t="s">
        <v>444</v>
      </c>
      <c r="G114" s="12" t="s">
        <v>85</v>
      </c>
      <c r="H114" s="13">
        <v>44492</v>
      </c>
      <c r="I114" s="13">
        <v>47848</v>
      </c>
      <c r="J114" s="13">
        <v>45219</v>
      </c>
    </row>
    <row r="115" spans="1:12" x14ac:dyDescent="0.25">
      <c r="A115" s="12">
        <v>114</v>
      </c>
      <c r="B115" s="12" t="s">
        <v>105</v>
      </c>
      <c r="C115" s="12" t="s">
        <v>445</v>
      </c>
      <c r="D115" s="12" t="s">
        <v>446</v>
      </c>
      <c r="E115" s="12">
        <v>20201101</v>
      </c>
      <c r="F115" s="12" t="s">
        <v>447</v>
      </c>
      <c r="G115" s="12" t="s">
        <v>85</v>
      </c>
      <c r="H115" s="13">
        <v>44959</v>
      </c>
      <c r="I115" s="13">
        <v>47848</v>
      </c>
      <c r="J115" s="13">
        <v>45219</v>
      </c>
    </row>
    <row r="116" spans="1:12" x14ac:dyDescent="0.25">
      <c r="A116" s="12">
        <v>115</v>
      </c>
      <c r="B116" s="12" t="s">
        <v>448</v>
      </c>
      <c r="C116" s="12" t="s">
        <v>133</v>
      </c>
      <c r="D116" s="12" t="s">
        <v>449</v>
      </c>
      <c r="E116" s="12">
        <v>20201102</v>
      </c>
      <c r="F116" s="12" t="s">
        <v>450</v>
      </c>
      <c r="G116" s="12" t="s">
        <v>85</v>
      </c>
      <c r="H116" s="13">
        <v>43466</v>
      </c>
      <c r="I116" s="13">
        <v>44895</v>
      </c>
      <c r="J116" s="13">
        <v>45219</v>
      </c>
    </row>
    <row r="117" spans="1:12" x14ac:dyDescent="0.25">
      <c r="A117" s="12">
        <v>116</v>
      </c>
      <c r="B117" s="12" t="s">
        <v>451</v>
      </c>
      <c r="C117" s="12" t="s">
        <v>452</v>
      </c>
      <c r="D117" s="12" t="s">
        <v>453</v>
      </c>
      <c r="E117" s="12">
        <v>20201103</v>
      </c>
      <c r="F117" s="12" t="s">
        <v>454</v>
      </c>
      <c r="G117" s="12" t="s">
        <v>85</v>
      </c>
      <c r="H117" s="13">
        <v>45050</v>
      </c>
      <c r="I117" s="13">
        <v>47848</v>
      </c>
      <c r="J117" s="13">
        <v>45219</v>
      </c>
    </row>
    <row r="118" spans="1:12" x14ac:dyDescent="0.25">
      <c r="A118" s="12">
        <v>117</v>
      </c>
      <c r="B118" s="12" t="s">
        <v>384</v>
      </c>
      <c r="C118" s="12" t="s">
        <v>455</v>
      </c>
      <c r="D118" s="12" t="s">
        <v>456</v>
      </c>
      <c r="E118" s="12">
        <v>20201104</v>
      </c>
      <c r="F118" s="12" t="s">
        <v>457</v>
      </c>
      <c r="G118" s="12" t="s">
        <v>85</v>
      </c>
      <c r="H118" s="13">
        <v>44547</v>
      </c>
      <c r="I118" s="13">
        <v>44620</v>
      </c>
      <c r="J118" s="13">
        <v>45219</v>
      </c>
    </row>
    <row r="119" spans="1:12" x14ac:dyDescent="0.25">
      <c r="A119" s="12">
        <v>118</v>
      </c>
      <c r="B119" s="12" t="s">
        <v>458</v>
      </c>
      <c r="C119" s="12" t="s">
        <v>459</v>
      </c>
      <c r="D119" s="12" t="s">
        <v>460</v>
      </c>
      <c r="E119" s="12">
        <v>20201105</v>
      </c>
      <c r="F119" s="12" t="s">
        <v>461</v>
      </c>
      <c r="G119" s="12" t="s">
        <v>85</v>
      </c>
      <c r="H119" s="13">
        <v>43466</v>
      </c>
      <c r="I119" s="13">
        <v>44965</v>
      </c>
      <c r="J119" s="13">
        <v>45219</v>
      </c>
    </row>
    <row r="120" spans="1:12" x14ac:dyDescent="0.25">
      <c r="A120" s="12">
        <v>119</v>
      </c>
      <c r="B120" s="12" t="s">
        <v>462</v>
      </c>
      <c r="C120" s="12" t="s">
        <v>463</v>
      </c>
      <c r="D120" s="12" t="s">
        <v>464</v>
      </c>
      <c r="E120" s="12">
        <v>20201105</v>
      </c>
      <c r="F120" s="12" t="s">
        <v>461</v>
      </c>
      <c r="G120" s="12" t="s">
        <v>85</v>
      </c>
      <c r="H120" s="13">
        <v>44966</v>
      </c>
      <c r="I120" s="13">
        <v>47848</v>
      </c>
      <c r="J120" s="13">
        <v>45219</v>
      </c>
    </row>
    <row r="121" spans="1:12" x14ac:dyDescent="0.25">
      <c r="A121" s="12">
        <v>120</v>
      </c>
      <c r="B121" s="12" t="s">
        <v>465</v>
      </c>
      <c r="C121" s="12" t="s">
        <v>466</v>
      </c>
      <c r="D121" s="12" t="s">
        <v>467</v>
      </c>
      <c r="E121" s="12">
        <v>20201106</v>
      </c>
      <c r="F121" s="12" t="s">
        <v>468</v>
      </c>
      <c r="G121" s="12" t="s">
        <v>85</v>
      </c>
      <c r="H121" s="13">
        <v>44530</v>
      </c>
      <c r="I121" s="13">
        <v>45077</v>
      </c>
      <c r="J121" s="13">
        <v>45219</v>
      </c>
    </row>
    <row r="122" spans="1:12" x14ac:dyDescent="0.25">
      <c r="A122" s="12">
        <v>121</v>
      </c>
      <c r="B122" s="12" t="s">
        <v>121</v>
      </c>
      <c r="C122" s="12" t="s">
        <v>469</v>
      </c>
      <c r="D122" s="12" t="s">
        <v>470</v>
      </c>
      <c r="E122" s="12">
        <v>20201107</v>
      </c>
      <c r="F122" s="12" t="s">
        <v>471</v>
      </c>
      <c r="G122" s="12" t="s">
        <v>85</v>
      </c>
      <c r="H122" s="13">
        <v>44851</v>
      </c>
      <c r="I122" s="13">
        <v>44887</v>
      </c>
      <c r="J122" s="13">
        <v>45219</v>
      </c>
    </row>
    <row r="123" spans="1:12" x14ac:dyDescent="0.25">
      <c r="A123" s="12">
        <v>122</v>
      </c>
      <c r="B123" s="12" t="s">
        <v>472</v>
      </c>
      <c r="C123" s="12" t="s">
        <v>473</v>
      </c>
      <c r="D123" s="12" t="s">
        <v>474</v>
      </c>
      <c r="E123" s="12">
        <v>20201108</v>
      </c>
      <c r="F123" s="12" t="s">
        <v>475</v>
      </c>
      <c r="G123" s="12" t="s">
        <v>85</v>
      </c>
      <c r="H123" s="13">
        <v>44628</v>
      </c>
      <c r="I123" s="13">
        <v>47848</v>
      </c>
      <c r="J123" s="13">
        <v>45219</v>
      </c>
    </row>
    <row r="124" spans="1:12" x14ac:dyDescent="0.25">
      <c r="A124" s="12">
        <v>123</v>
      </c>
      <c r="B124" s="12" t="s">
        <v>437</v>
      </c>
      <c r="C124" s="12" t="s">
        <v>438</v>
      </c>
      <c r="D124" s="12" t="s">
        <v>439</v>
      </c>
      <c r="E124" s="12">
        <v>20201109</v>
      </c>
      <c r="F124" s="12" t="s">
        <v>476</v>
      </c>
      <c r="G124" s="12" t="s">
        <v>85</v>
      </c>
      <c r="H124" s="13">
        <v>44986</v>
      </c>
      <c r="I124" s="13">
        <v>47848</v>
      </c>
      <c r="J124" s="13">
        <v>45219</v>
      </c>
    </row>
    <row r="125" spans="1:12" x14ac:dyDescent="0.25">
      <c r="A125" s="12">
        <v>124</v>
      </c>
      <c r="B125" s="12" t="s">
        <v>229</v>
      </c>
      <c r="C125" s="12" t="s">
        <v>477</v>
      </c>
      <c r="D125" s="12" t="s">
        <v>478</v>
      </c>
      <c r="E125" s="12">
        <v>20201110</v>
      </c>
      <c r="F125" s="12" t="s">
        <v>479</v>
      </c>
      <c r="G125" s="12" t="s">
        <v>85</v>
      </c>
      <c r="H125" s="13">
        <v>44205</v>
      </c>
      <c r="I125" s="13">
        <v>44742</v>
      </c>
      <c r="J125" s="13">
        <v>45219</v>
      </c>
    </row>
    <row r="126" spans="1:12" x14ac:dyDescent="0.25">
      <c r="A126" s="12">
        <v>125</v>
      </c>
      <c r="B126" s="12" t="s">
        <v>233</v>
      </c>
      <c r="C126" s="12" t="s">
        <v>234</v>
      </c>
      <c r="D126" s="12" t="s">
        <v>235</v>
      </c>
      <c r="E126" s="12">
        <v>20201026</v>
      </c>
      <c r="F126" s="12" t="s">
        <v>312</v>
      </c>
      <c r="G126" s="12" t="s">
        <v>85</v>
      </c>
      <c r="H126" s="13">
        <v>45227</v>
      </c>
      <c r="I126" s="13">
        <v>47848</v>
      </c>
      <c r="J126" s="13">
        <v>45227.839502314811</v>
      </c>
      <c r="L126" s="12" t="s">
        <v>237</v>
      </c>
    </row>
    <row r="127" spans="1:12" x14ac:dyDescent="0.25">
      <c r="A127" s="12">
        <v>126</v>
      </c>
      <c r="B127" s="12" t="s">
        <v>480</v>
      </c>
      <c r="C127" s="12" t="s">
        <v>481</v>
      </c>
      <c r="D127" s="12" t="s">
        <v>482</v>
      </c>
      <c r="E127" s="12">
        <v>20201115</v>
      </c>
      <c r="F127" s="12" t="s">
        <v>483</v>
      </c>
      <c r="G127" s="12" t="s">
        <v>85</v>
      </c>
      <c r="H127" s="13">
        <v>45230</v>
      </c>
      <c r="I127" s="13">
        <v>47848</v>
      </c>
      <c r="J127" s="13">
        <v>45231.349224537036</v>
      </c>
      <c r="L127" s="12" t="s">
        <v>237</v>
      </c>
    </row>
    <row r="128" spans="1:12" x14ac:dyDescent="0.25">
      <c r="A128" s="12">
        <v>127</v>
      </c>
      <c r="B128" s="12" t="s">
        <v>71</v>
      </c>
      <c r="C128" s="12" t="s">
        <v>45</v>
      </c>
      <c r="D128" s="12" t="s">
        <v>484</v>
      </c>
      <c r="E128" s="12">
        <v>20201023</v>
      </c>
      <c r="F128" s="12" t="s">
        <v>305</v>
      </c>
      <c r="G128" s="12" t="s">
        <v>85</v>
      </c>
      <c r="H128" s="13">
        <v>45232</v>
      </c>
      <c r="I128" s="13">
        <v>47848</v>
      </c>
      <c r="J128" s="13">
        <v>45232.521180555559</v>
      </c>
      <c r="K128" s="12" t="s">
        <v>306</v>
      </c>
      <c r="L128" s="12" t="s">
        <v>485</v>
      </c>
    </row>
    <row r="129" spans="1:12" x14ac:dyDescent="0.25">
      <c r="A129" s="12">
        <v>128</v>
      </c>
      <c r="B129" s="12" t="s">
        <v>487</v>
      </c>
      <c r="C129" s="12" t="s">
        <v>37</v>
      </c>
      <c r="D129" s="12" t="s">
        <v>488</v>
      </c>
      <c r="E129" s="12">
        <v>20401011</v>
      </c>
      <c r="F129" s="12" t="s">
        <v>489</v>
      </c>
      <c r="G129" s="12" t="s">
        <v>61</v>
      </c>
      <c r="H129" s="13">
        <v>41501</v>
      </c>
      <c r="I129" s="13">
        <v>47848</v>
      </c>
      <c r="J129" s="13">
        <v>45281.396180555559</v>
      </c>
      <c r="K129" s="12" t="s">
        <v>306</v>
      </c>
    </row>
    <row r="130" spans="1:12" x14ac:dyDescent="0.25">
      <c r="A130" s="12">
        <v>129</v>
      </c>
      <c r="B130" s="12" t="s">
        <v>406</v>
      </c>
      <c r="C130" s="12" t="s">
        <v>32</v>
      </c>
      <c r="D130" s="12" t="s">
        <v>490</v>
      </c>
      <c r="E130" s="12">
        <v>20401012</v>
      </c>
      <c r="F130" s="12" t="s">
        <v>491</v>
      </c>
      <c r="G130" s="12" t="s">
        <v>61</v>
      </c>
      <c r="H130" s="13">
        <v>44927</v>
      </c>
      <c r="I130" s="13">
        <v>47848</v>
      </c>
      <c r="J130" s="13">
        <v>45281.396874999999</v>
      </c>
      <c r="K130" s="12" t="s">
        <v>306</v>
      </c>
      <c r="L130" s="12" t="s">
        <v>492</v>
      </c>
    </row>
    <row r="131" spans="1:12" x14ac:dyDescent="0.25">
      <c r="A131" s="12">
        <v>130</v>
      </c>
      <c r="B131" s="12" t="s">
        <v>406</v>
      </c>
      <c r="C131" s="12" t="s">
        <v>36</v>
      </c>
      <c r="D131" s="12" t="s">
        <v>493</v>
      </c>
      <c r="E131" s="12">
        <v>20201029</v>
      </c>
      <c r="F131" s="12" t="s">
        <v>184</v>
      </c>
      <c r="G131" s="12" t="s">
        <v>85</v>
      </c>
      <c r="H131" s="13">
        <v>44927</v>
      </c>
      <c r="I131" s="13">
        <v>47848</v>
      </c>
      <c r="J131" s="13">
        <v>45281.397569444445</v>
      </c>
      <c r="K131" s="12" t="s">
        <v>306</v>
      </c>
      <c r="L131" s="12" t="s">
        <v>494</v>
      </c>
    </row>
    <row r="132" spans="1:12" x14ac:dyDescent="0.25">
      <c r="A132" s="12">
        <v>131</v>
      </c>
      <c r="B132" s="12" t="s">
        <v>495</v>
      </c>
      <c r="C132" s="12" t="s">
        <v>44</v>
      </c>
      <c r="D132" s="12" t="s">
        <v>496</v>
      </c>
      <c r="E132" s="12">
        <v>20301001</v>
      </c>
      <c r="F132" s="12" t="s">
        <v>497</v>
      </c>
      <c r="G132" s="12" t="s">
        <v>498</v>
      </c>
      <c r="H132" s="13">
        <v>44927</v>
      </c>
      <c r="I132" s="13">
        <v>47848</v>
      </c>
      <c r="J132" s="13">
        <v>45281.398263888892</v>
      </c>
      <c r="K132" s="12" t="s">
        <v>306</v>
      </c>
      <c r="L132" s="12" t="s">
        <v>499</v>
      </c>
    </row>
    <row r="133" spans="1:12" x14ac:dyDescent="0.25">
      <c r="A133" s="12">
        <v>132</v>
      </c>
      <c r="B133" s="12" t="s">
        <v>500</v>
      </c>
      <c r="C133" s="12" t="s">
        <v>29</v>
      </c>
      <c r="D133" s="12" t="s">
        <v>501</v>
      </c>
      <c r="E133" s="12">
        <v>20301002</v>
      </c>
      <c r="F133" s="12" t="s">
        <v>502</v>
      </c>
      <c r="G133" s="12" t="s">
        <v>498</v>
      </c>
      <c r="H133" s="13">
        <v>44927</v>
      </c>
      <c r="I133" s="13">
        <v>47848</v>
      </c>
      <c r="J133" s="13">
        <v>45281.398958333331</v>
      </c>
      <c r="K133" s="12" t="s">
        <v>306</v>
      </c>
      <c r="L133" s="12" t="s">
        <v>503</v>
      </c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_vw_emp_car">
                <anchor moveWithCells="1">
                  <from>
                    <xdr:col>12</xdr:col>
                    <xdr:colOff>190500</xdr:colOff>
                    <xdr:row>0</xdr:row>
                    <xdr:rowOff>19050</xdr:rowOff>
                  </from>
                  <to>
                    <xdr:col>13</xdr:col>
                    <xdr:colOff>200025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1"/>
  <sheetViews>
    <sheetView showGridLines="0" workbookViewId="0">
      <selection activeCell="L110" sqref="L110"/>
    </sheetView>
  </sheetViews>
  <sheetFormatPr defaultRowHeight="16.5" x14ac:dyDescent="0.3"/>
  <sheetData>
    <row r="1" spans="1:9" x14ac:dyDescent="0.3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 t="s">
        <v>6</v>
      </c>
      <c r="I1" s="2" t="s">
        <v>7</v>
      </c>
    </row>
    <row r="2" spans="1:9" x14ac:dyDescent="0.3">
      <c r="A2" s="4">
        <v>1</v>
      </c>
      <c r="B2" s="5">
        <v>45225</v>
      </c>
      <c r="C2" s="6" t="s">
        <v>8</v>
      </c>
      <c r="D2" s="6" t="s">
        <v>9</v>
      </c>
      <c r="E2" s="7">
        <v>439</v>
      </c>
      <c r="F2" s="8">
        <v>1699</v>
      </c>
      <c r="G2" s="9">
        <v>23.54</v>
      </c>
      <c r="H2" s="8">
        <v>40000</v>
      </c>
      <c r="I2" s="8">
        <v>40000</v>
      </c>
    </row>
    <row r="3" spans="1:9" x14ac:dyDescent="0.3">
      <c r="A3" s="4">
        <v>2</v>
      </c>
      <c r="B3" s="5">
        <v>45229</v>
      </c>
      <c r="C3" s="6" t="s">
        <v>8</v>
      </c>
      <c r="D3" s="6" t="s">
        <v>9</v>
      </c>
      <c r="E3" s="7">
        <v>439</v>
      </c>
      <c r="F3" s="8">
        <v>1699</v>
      </c>
      <c r="G3" s="9">
        <v>23.54</v>
      </c>
      <c r="H3" s="8">
        <v>40000</v>
      </c>
      <c r="I3" s="8">
        <v>80000</v>
      </c>
    </row>
    <row r="4" spans="1:9" x14ac:dyDescent="0.3">
      <c r="A4" s="4">
        <v>3</v>
      </c>
      <c r="B4" s="5">
        <v>45233</v>
      </c>
      <c r="C4" s="6" t="s">
        <v>8</v>
      </c>
      <c r="D4" s="6" t="s">
        <v>9</v>
      </c>
      <c r="E4" s="7">
        <v>439</v>
      </c>
      <c r="F4" s="8">
        <v>1699</v>
      </c>
      <c r="G4" s="9">
        <v>23.54</v>
      </c>
      <c r="H4" s="8">
        <v>40000</v>
      </c>
      <c r="I4" s="8">
        <v>120000</v>
      </c>
    </row>
    <row r="5" spans="1:9" x14ac:dyDescent="0.3">
      <c r="A5" s="4">
        <v>4</v>
      </c>
      <c r="B5" s="5">
        <v>45236</v>
      </c>
      <c r="C5" s="6" t="s">
        <v>8</v>
      </c>
      <c r="D5" s="6" t="s">
        <v>9</v>
      </c>
      <c r="E5" s="7">
        <v>439</v>
      </c>
      <c r="F5" s="8">
        <v>1699</v>
      </c>
      <c r="G5" s="9">
        <v>29.43</v>
      </c>
      <c r="H5" s="8">
        <v>50000</v>
      </c>
      <c r="I5" s="8">
        <v>170000</v>
      </c>
    </row>
    <row r="6" spans="1:9" x14ac:dyDescent="0.3">
      <c r="A6" s="4">
        <v>5</v>
      </c>
      <c r="B6" s="5">
        <v>45240</v>
      </c>
      <c r="C6" s="6" t="s">
        <v>8</v>
      </c>
      <c r="D6" s="6" t="s">
        <v>9</v>
      </c>
      <c r="E6" s="7">
        <v>439</v>
      </c>
      <c r="F6" s="8">
        <v>1699</v>
      </c>
      <c r="G6" s="9">
        <v>29.43</v>
      </c>
      <c r="H6" s="8">
        <v>50000</v>
      </c>
      <c r="I6" s="8">
        <v>220000</v>
      </c>
    </row>
    <row r="7" spans="1:9" x14ac:dyDescent="0.3">
      <c r="A7" s="4">
        <v>6</v>
      </c>
      <c r="B7" s="5">
        <v>45243</v>
      </c>
      <c r="C7" s="6" t="s">
        <v>8</v>
      </c>
      <c r="D7" s="6" t="s">
        <v>9</v>
      </c>
      <c r="E7" s="7">
        <v>439</v>
      </c>
      <c r="F7" s="8">
        <v>1678</v>
      </c>
      <c r="G7" s="9">
        <v>29.8</v>
      </c>
      <c r="H7" s="8">
        <v>50000</v>
      </c>
      <c r="I7" s="8">
        <v>270000</v>
      </c>
    </row>
    <row r="8" spans="1:9" x14ac:dyDescent="0.3">
      <c r="A8" s="4">
        <v>7</v>
      </c>
      <c r="B8" s="5">
        <v>45247</v>
      </c>
      <c r="C8" s="6" t="s">
        <v>8</v>
      </c>
      <c r="D8" s="6" t="s">
        <v>9</v>
      </c>
      <c r="E8" s="7">
        <v>439</v>
      </c>
      <c r="F8" s="8">
        <v>1658</v>
      </c>
      <c r="G8" s="9">
        <v>24.13</v>
      </c>
      <c r="H8" s="8">
        <v>40000</v>
      </c>
      <c r="I8" s="8">
        <v>310000</v>
      </c>
    </row>
    <row r="9" spans="1:9" x14ac:dyDescent="0.3">
      <c r="A9" s="4">
        <v>8</v>
      </c>
      <c r="B9" s="5">
        <v>45253</v>
      </c>
      <c r="C9" s="6" t="s">
        <v>8</v>
      </c>
      <c r="D9" s="6" t="s">
        <v>9</v>
      </c>
      <c r="E9" s="7">
        <v>439</v>
      </c>
      <c r="F9" s="8">
        <v>1658</v>
      </c>
      <c r="G9" s="9">
        <v>30.16</v>
      </c>
      <c r="H9" s="8">
        <v>50000</v>
      </c>
      <c r="I9" s="8">
        <v>360000</v>
      </c>
    </row>
    <row r="10" spans="1:9" x14ac:dyDescent="0.3">
      <c r="A10" s="4">
        <v>9</v>
      </c>
      <c r="B10" s="5">
        <v>45256</v>
      </c>
      <c r="C10" s="6" t="s">
        <v>8</v>
      </c>
      <c r="D10" s="6" t="s">
        <v>9</v>
      </c>
      <c r="E10" s="7">
        <v>439</v>
      </c>
      <c r="F10" s="8">
        <v>1599</v>
      </c>
      <c r="G10" s="9">
        <v>25.02</v>
      </c>
      <c r="H10" s="8">
        <v>40000</v>
      </c>
      <c r="I10" s="8">
        <v>400000</v>
      </c>
    </row>
    <row r="11" spans="1:9" x14ac:dyDescent="0.3">
      <c r="A11" s="4">
        <v>10</v>
      </c>
      <c r="B11" s="6"/>
      <c r="C11" s="6" t="s">
        <v>10</v>
      </c>
      <c r="D11" s="6" t="s">
        <v>9</v>
      </c>
      <c r="E11" s="7" t="s">
        <v>11</v>
      </c>
      <c r="F11" s="9"/>
      <c r="G11" s="9">
        <v>238.58</v>
      </c>
      <c r="H11" s="8">
        <v>400000</v>
      </c>
      <c r="I11" s="9">
        <v>0</v>
      </c>
    </row>
    <row r="12" spans="1:9" x14ac:dyDescent="0.3">
      <c r="A12" s="4">
        <v>11</v>
      </c>
      <c r="B12" s="5">
        <v>45231</v>
      </c>
      <c r="C12" s="6" t="s">
        <v>8</v>
      </c>
      <c r="D12" s="6" t="s">
        <v>9</v>
      </c>
      <c r="E12" s="7">
        <v>641</v>
      </c>
      <c r="F12" s="8">
        <v>1699</v>
      </c>
      <c r="G12" s="9">
        <v>67.69</v>
      </c>
      <c r="H12" s="8">
        <v>115000</v>
      </c>
      <c r="I12" s="8">
        <v>515000</v>
      </c>
    </row>
    <row r="13" spans="1:9" x14ac:dyDescent="0.3">
      <c r="A13" s="4">
        <v>12</v>
      </c>
      <c r="B13" s="5">
        <v>45239</v>
      </c>
      <c r="C13" s="6" t="s">
        <v>8</v>
      </c>
      <c r="D13" s="6" t="s">
        <v>9</v>
      </c>
      <c r="E13" s="7">
        <v>641</v>
      </c>
      <c r="F13" s="8">
        <v>1699</v>
      </c>
      <c r="G13" s="9">
        <v>61.8</v>
      </c>
      <c r="H13" s="8">
        <v>105000</v>
      </c>
      <c r="I13" s="8">
        <v>620000</v>
      </c>
    </row>
    <row r="14" spans="1:9" x14ac:dyDescent="0.3">
      <c r="A14" s="4">
        <v>13</v>
      </c>
      <c r="B14" s="6"/>
      <c r="C14" s="6" t="s">
        <v>12</v>
      </c>
      <c r="D14" s="6" t="s">
        <v>9</v>
      </c>
      <c r="E14" s="7" t="s">
        <v>11</v>
      </c>
      <c r="F14" s="9"/>
      <c r="G14" s="9">
        <v>129.49</v>
      </c>
      <c r="H14" s="8">
        <v>220000</v>
      </c>
      <c r="I14" s="9">
        <v>0</v>
      </c>
    </row>
    <row r="15" spans="1:9" x14ac:dyDescent="0.3">
      <c r="A15" s="4">
        <v>14</v>
      </c>
      <c r="B15" s="5">
        <v>45254</v>
      </c>
      <c r="C15" s="6" t="s">
        <v>13</v>
      </c>
      <c r="D15" s="6" t="s">
        <v>9</v>
      </c>
      <c r="E15" s="7">
        <v>1066</v>
      </c>
      <c r="F15" s="8">
        <v>1643</v>
      </c>
      <c r="G15" s="9">
        <v>30.43</v>
      </c>
      <c r="H15" s="8">
        <v>50000</v>
      </c>
      <c r="I15" s="8">
        <v>670000</v>
      </c>
    </row>
    <row r="16" spans="1:9" x14ac:dyDescent="0.3">
      <c r="A16" s="4">
        <v>15</v>
      </c>
      <c r="B16" s="6"/>
      <c r="C16" s="6" t="s">
        <v>14</v>
      </c>
      <c r="D16" s="6" t="s">
        <v>9</v>
      </c>
      <c r="E16" s="7" t="s">
        <v>11</v>
      </c>
      <c r="F16" s="9"/>
      <c r="G16" s="9">
        <v>30.43</v>
      </c>
      <c r="H16" s="8">
        <v>50000</v>
      </c>
      <c r="I16" s="9">
        <v>0</v>
      </c>
    </row>
    <row r="17" spans="1:9" x14ac:dyDescent="0.3">
      <c r="A17" s="4">
        <v>16</v>
      </c>
      <c r="B17" s="5">
        <v>45227</v>
      </c>
      <c r="C17" s="6" t="s">
        <v>8</v>
      </c>
      <c r="D17" s="6" t="s">
        <v>9</v>
      </c>
      <c r="E17" s="7">
        <v>1266</v>
      </c>
      <c r="F17" s="8">
        <v>1699</v>
      </c>
      <c r="G17" s="9">
        <v>150.09</v>
      </c>
      <c r="H17" s="8">
        <v>255000</v>
      </c>
      <c r="I17" s="8">
        <v>925000</v>
      </c>
    </row>
    <row r="18" spans="1:9" x14ac:dyDescent="0.3">
      <c r="A18" s="4">
        <v>17</v>
      </c>
      <c r="B18" s="5">
        <v>45232</v>
      </c>
      <c r="C18" s="6" t="s">
        <v>8</v>
      </c>
      <c r="D18" s="6" t="s">
        <v>9</v>
      </c>
      <c r="E18" s="7">
        <v>1266</v>
      </c>
      <c r="F18" s="8">
        <v>1699</v>
      </c>
      <c r="G18" s="9">
        <v>80.64</v>
      </c>
      <c r="H18" s="8">
        <v>137000</v>
      </c>
      <c r="I18" s="8">
        <v>1062000</v>
      </c>
    </row>
    <row r="19" spans="1:9" x14ac:dyDescent="0.3">
      <c r="A19" s="4">
        <v>18</v>
      </c>
      <c r="B19" s="5">
        <v>45238</v>
      </c>
      <c r="C19" s="6" t="s">
        <v>8</v>
      </c>
      <c r="D19" s="6" t="s">
        <v>9</v>
      </c>
      <c r="E19" s="7">
        <v>1266</v>
      </c>
      <c r="F19" s="8">
        <v>1699</v>
      </c>
      <c r="G19" s="9">
        <v>144.19999999999999</v>
      </c>
      <c r="H19" s="8">
        <v>245000</v>
      </c>
      <c r="I19" s="8">
        <v>1307000</v>
      </c>
    </row>
    <row r="20" spans="1:9" x14ac:dyDescent="0.3">
      <c r="A20" s="4">
        <v>19</v>
      </c>
      <c r="B20" s="5">
        <v>45241</v>
      </c>
      <c r="C20" s="6" t="s">
        <v>8</v>
      </c>
      <c r="D20" s="6" t="s">
        <v>9</v>
      </c>
      <c r="E20" s="7">
        <v>1266</v>
      </c>
      <c r="F20" s="8">
        <v>1699</v>
      </c>
      <c r="G20" s="9">
        <v>77.099999999999994</v>
      </c>
      <c r="H20" s="8">
        <v>131000</v>
      </c>
      <c r="I20" s="8">
        <v>1438000</v>
      </c>
    </row>
    <row r="21" spans="1:9" x14ac:dyDescent="0.3">
      <c r="A21" s="4">
        <v>20</v>
      </c>
      <c r="B21" s="5">
        <v>45246</v>
      </c>
      <c r="C21" s="6" t="s">
        <v>8</v>
      </c>
      <c r="D21" s="6" t="s">
        <v>9</v>
      </c>
      <c r="E21" s="7">
        <v>1266</v>
      </c>
      <c r="F21" s="8">
        <v>1678</v>
      </c>
      <c r="G21" s="9">
        <v>147.79</v>
      </c>
      <c r="H21" s="8">
        <v>248000</v>
      </c>
      <c r="I21" s="8">
        <v>1686000</v>
      </c>
    </row>
    <row r="22" spans="1:9" x14ac:dyDescent="0.3">
      <c r="A22" s="4">
        <v>21</v>
      </c>
      <c r="B22" s="5">
        <v>45253</v>
      </c>
      <c r="C22" s="6" t="s">
        <v>8</v>
      </c>
      <c r="D22" s="6" t="s">
        <v>9</v>
      </c>
      <c r="E22" s="7">
        <v>1266</v>
      </c>
      <c r="F22" s="8">
        <v>1658</v>
      </c>
      <c r="G22" s="9">
        <v>141.13</v>
      </c>
      <c r="H22" s="8">
        <v>234000</v>
      </c>
      <c r="I22" s="8">
        <v>1920000</v>
      </c>
    </row>
    <row r="23" spans="1:9" x14ac:dyDescent="0.3">
      <c r="A23" s="4">
        <v>22</v>
      </c>
      <c r="B23" s="6"/>
      <c r="C23" s="6" t="s">
        <v>15</v>
      </c>
      <c r="D23" s="6" t="s">
        <v>9</v>
      </c>
      <c r="E23" s="7" t="s">
        <v>11</v>
      </c>
      <c r="F23" s="9"/>
      <c r="G23" s="9">
        <v>740.96</v>
      </c>
      <c r="H23" s="8">
        <v>1250000</v>
      </c>
      <c r="I23" s="9">
        <v>0</v>
      </c>
    </row>
    <row r="24" spans="1:9" x14ac:dyDescent="0.3">
      <c r="A24" s="4">
        <v>23</v>
      </c>
      <c r="B24" s="5">
        <v>45229</v>
      </c>
      <c r="C24" s="6" t="s">
        <v>8</v>
      </c>
      <c r="D24" s="6" t="s">
        <v>9</v>
      </c>
      <c r="E24" s="7">
        <v>1806</v>
      </c>
      <c r="F24" s="8">
        <v>1699</v>
      </c>
      <c r="G24" s="9">
        <v>36.49</v>
      </c>
      <c r="H24" s="8">
        <v>62000</v>
      </c>
      <c r="I24" s="8">
        <v>1982000</v>
      </c>
    </row>
    <row r="25" spans="1:9" x14ac:dyDescent="0.3">
      <c r="A25" s="4">
        <v>24</v>
      </c>
      <c r="B25" s="5">
        <v>45233</v>
      </c>
      <c r="C25" s="6" t="s">
        <v>8</v>
      </c>
      <c r="D25" s="6" t="s">
        <v>9</v>
      </c>
      <c r="E25" s="7">
        <v>1806</v>
      </c>
      <c r="F25" s="8">
        <v>1699</v>
      </c>
      <c r="G25" s="9">
        <v>44.73</v>
      </c>
      <c r="H25" s="8">
        <v>76000</v>
      </c>
      <c r="I25" s="8">
        <v>2058000</v>
      </c>
    </row>
    <row r="26" spans="1:9" x14ac:dyDescent="0.3">
      <c r="A26" s="4">
        <v>25</v>
      </c>
      <c r="B26" s="5">
        <v>45236</v>
      </c>
      <c r="C26" s="6" t="s">
        <v>8</v>
      </c>
      <c r="D26" s="6" t="s">
        <v>9</v>
      </c>
      <c r="E26" s="7">
        <v>1806</v>
      </c>
      <c r="F26" s="8">
        <v>1699</v>
      </c>
      <c r="G26" s="9">
        <v>41.2</v>
      </c>
      <c r="H26" s="8">
        <v>70000</v>
      </c>
      <c r="I26" s="8">
        <v>2128000</v>
      </c>
    </row>
    <row r="27" spans="1:9" x14ac:dyDescent="0.3">
      <c r="A27" s="4">
        <v>26</v>
      </c>
      <c r="B27" s="5">
        <v>45239</v>
      </c>
      <c r="C27" s="6" t="s">
        <v>8</v>
      </c>
      <c r="D27" s="6" t="s">
        <v>9</v>
      </c>
      <c r="E27" s="7">
        <v>1806</v>
      </c>
      <c r="F27" s="8">
        <v>1699</v>
      </c>
      <c r="G27" s="9">
        <v>40.61</v>
      </c>
      <c r="H27" s="8">
        <v>69000</v>
      </c>
      <c r="I27" s="8">
        <v>2197000</v>
      </c>
    </row>
    <row r="28" spans="1:9" x14ac:dyDescent="0.3">
      <c r="A28" s="4">
        <v>27</v>
      </c>
      <c r="B28" s="5">
        <v>45243</v>
      </c>
      <c r="C28" s="6" t="s">
        <v>8</v>
      </c>
      <c r="D28" s="6" t="s">
        <v>9</v>
      </c>
      <c r="E28" s="7">
        <v>1806</v>
      </c>
      <c r="F28" s="8">
        <v>1678</v>
      </c>
      <c r="G28" s="9">
        <v>57.21</v>
      </c>
      <c r="H28" s="8">
        <v>96000</v>
      </c>
      <c r="I28" s="8">
        <v>2293000</v>
      </c>
    </row>
    <row r="29" spans="1:9" x14ac:dyDescent="0.3">
      <c r="A29" s="4">
        <v>28</v>
      </c>
      <c r="B29" s="5">
        <v>45246</v>
      </c>
      <c r="C29" s="6" t="s">
        <v>8</v>
      </c>
      <c r="D29" s="6" t="s">
        <v>9</v>
      </c>
      <c r="E29" s="7">
        <v>1806</v>
      </c>
      <c r="F29" s="8">
        <v>1678</v>
      </c>
      <c r="G29" s="9">
        <v>42.91</v>
      </c>
      <c r="H29" s="8">
        <v>72000</v>
      </c>
      <c r="I29" s="8">
        <v>2365000</v>
      </c>
    </row>
    <row r="30" spans="1:9" x14ac:dyDescent="0.3">
      <c r="A30" s="4">
        <v>29</v>
      </c>
      <c r="B30" s="5">
        <v>45250</v>
      </c>
      <c r="C30" s="6" t="s">
        <v>8</v>
      </c>
      <c r="D30" s="6" t="s">
        <v>9</v>
      </c>
      <c r="E30" s="7">
        <v>1806</v>
      </c>
      <c r="F30" s="8">
        <v>1658</v>
      </c>
      <c r="G30" s="9">
        <v>36.19</v>
      </c>
      <c r="H30" s="8">
        <v>60000</v>
      </c>
      <c r="I30" s="8">
        <v>2425000</v>
      </c>
    </row>
    <row r="31" spans="1:9" x14ac:dyDescent="0.3">
      <c r="A31" s="4">
        <v>30</v>
      </c>
      <c r="B31" s="5">
        <v>45254</v>
      </c>
      <c r="C31" s="6" t="s">
        <v>8</v>
      </c>
      <c r="D31" s="6" t="s">
        <v>9</v>
      </c>
      <c r="E31" s="7">
        <v>1806</v>
      </c>
      <c r="F31" s="8">
        <v>1599</v>
      </c>
      <c r="G31" s="9">
        <v>55.03</v>
      </c>
      <c r="H31" s="8">
        <v>88000</v>
      </c>
      <c r="I31" s="8">
        <v>2513000</v>
      </c>
    </row>
    <row r="32" spans="1:9" x14ac:dyDescent="0.3">
      <c r="A32" s="4">
        <v>31</v>
      </c>
      <c r="B32" s="6"/>
      <c r="C32" s="6" t="s">
        <v>16</v>
      </c>
      <c r="D32" s="6" t="s">
        <v>9</v>
      </c>
      <c r="E32" s="7" t="s">
        <v>11</v>
      </c>
      <c r="F32" s="9"/>
      <c r="G32" s="9">
        <v>354.38</v>
      </c>
      <c r="H32" s="8">
        <v>593000</v>
      </c>
      <c r="I32" s="9">
        <v>0</v>
      </c>
    </row>
    <row r="33" spans="1:9" x14ac:dyDescent="0.3">
      <c r="A33" s="4">
        <v>32</v>
      </c>
      <c r="B33" s="5">
        <v>45231</v>
      </c>
      <c r="C33" s="6" t="s">
        <v>8</v>
      </c>
      <c r="D33" s="6" t="s">
        <v>9</v>
      </c>
      <c r="E33" s="7">
        <v>2998</v>
      </c>
      <c r="F33" s="8">
        <v>1699</v>
      </c>
      <c r="G33" s="9">
        <v>29.43</v>
      </c>
      <c r="H33" s="8">
        <v>50000</v>
      </c>
      <c r="I33" s="8">
        <v>2563000</v>
      </c>
    </row>
    <row r="34" spans="1:9" x14ac:dyDescent="0.3">
      <c r="A34" s="4">
        <v>33</v>
      </c>
      <c r="B34" s="5">
        <v>45240</v>
      </c>
      <c r="C34" s="6" t="s">
        <v>8</v>
      </c>
      <c r="D34" s="6" t="s">
        <v>9</v>
      </c>
      <c r="E34" s="7">
        <v>2998</v>
      </c>
      <c r="F34" s="8">
        <v>1699</v>
      </c>
      <c r="G34" s="9">
        <v>29.43</v>
      </c>
      <c r="H34" s="8">
        <v>50000</v>
      </c>
      <c r="I34" s="8">
        <v>2613000</v>
      </c>
    </row>
    <row r="35" spans="1:9" x14ac:dyDescent="0.3">
      <c r="A35" s="4">
        <v>34</v>
      </c>
      <c r="B35" s="5">
        <v>45243</v>
      </c>
      <c r="C35" s="6" t="s">
        <v>8</v>
      </c>
      <c r="D35" s="6" t="s">
        <v>9</v>
      </c>
      <c r="E35" s="7">
        <v>2998</v>
      </c>
      <c r="F35" s="8">
        <v>1678</v>
      </c>
      <c r="G35" s="9">
        <v>29.8</v>
      </c>
      <c r="H35" s="8">
        <v>50000</v>
      </c>
      <c r="I35" s="8">
        <v>2663000</v>
      </c>
    </row>
    <row r="36" spans="1:9" x14ac:dyDescent="0.3">
      <c r="A36" s="4">
        <v>35</v>
      </c>
      <c r="B36" s="5">
        <v>45251</v>
      </c>
      <c r="C36" s="6" t="s">
        <v>8</v>
      </c>
      <c r="D36" s="6" t="s">
        <v>9</v>
      </c>
      <c r="E36" s="7">
        <v>2998</v>
      </c>
      <c r="F36" s="8">
        <v>1658</v>
      </c>
      <c r="G36" s="9">
        <v>30.16</v>
      </c>
      <c r="H36" s="8">
        <v>50000</v>
      </c>
      <c r="I36" s="8">
        <v>2713000</v>
      </c>
    </row>
    <row r="37" spans="1:9" x14ac:dyDescent="0.3">
      <c r="A37" s="4">
        <v>36</v>
      </c>
      <c r="B37" s="6"/>
      <c r="C37" s="6" t="s">
        <v>17</v>
      </c>
      <c r="D37" s="6" t="s">
        <v>9</v>
      </c>
      <c r="E37" s="7" t="s">
        <v>11</v>
      </c>
      <c r="F37" s="9"/>
      <c r="G37" s="9">
        <v>118.81</v>
      </c>
      <c r="H37" s="8">
        <v>200000</v>
      </c>
      <c r="I37" s="9">
        <v>0</v>
      </c>
    </row>
    <row r="38" spans="1:9" x14ac:dyDescent="0.3">
      <c r="A38" s="4">
        <v>37</v>
      </c>
      <c r="B38" s="5">
        <v>45236</v>
      </c>
      <c r="C38" s="6" t="s">
        <v>8</v>
      </c>
      <c r="D38" s="6" t="s">
        <v>9</v>
      </c>
      <c r="E38" s="7">
        <v>4096</v>
      </c>
      <c r="F38" s="8">
        <v>1699</v>
      </c>
      <c r="G38" s="9">
        <v>48.26</v>
      </c>
      <c r="H38" s="8">
        <v>82000</v>
      </c>
      <c r="I38" s="8">
        <v>2795000</v>
      </c>
    </row>
    <row r="39" spans="1:9" x14ac:dyDescent="0.3">
      <c r="A39" s="4">
        <v>38</v>
      </c>
      <c r="B39" s="5">
        <v>45246</v>
      </c>
      <c r="C39" s="6" t="s">
        <v>8</v>
      </c>
      <c r="D39" s="6" t="s">
        <v>9</v>
      </c>
      <c r="E39" s="7">
        <v>4096</v>
      </c>
      <c r="F39" s="8">
        <v>1678</v>
      </c>
      <c r="G39" s="9">
        <v>29.8</v>
      </c>
      <c r="H39" s="8">
        <v>50000</v>
      </c>
      <c r="I39" s="8">
        <v>2845000</v>
      </c>
    </row>
    <row r="40" spans="1:9" x14ac:dyDescent="0.3">
      <c r="A40" s="4">
        <v>39</v>
      </c>
      <c r="B40" s="6"/>
      <c r="C40" s="6" t="s">
        <v>12</v>
      </c>
      <c r="D40" s="6" t="s">
        <v>9</v>
      </c>
      <c r="E40" s="7" t="s">
        <v>11</v>
      </c>
      <c r="F40" s="9"/>
      <c r="G40" s="9">
        <v>78.06</v>
      </c>
      <c r="H40" s="8">
        <v>132000</v>
      </c>
      <c r="I40" s="9">
        <v>0</v>
      </c>
    </row>
    <row r="41" spans="1:9" x14ac:dyDescent="0.3">
      <c r="A41" s="4">
        <v>40</v>
      </c>
      <c r="B41" s="5">
        <v>45225</v>
      </c>
      <c r="C41" s="6" t="s">
        <v>8</v>
      </c>
      <c r="D41" s="6" t="s">
        <v>9</v>
      </c>
      <c r="E41" s="7">
        <v>4138</v>
      </c>
      <c r="F41" s="8">
        <v>1699</v>
      </c>
      <c r="G41" s="9">
        <v>236.02</v>
      </c>
      <c r="H41" s="8">
        <v>401000</v>
      </c>
      <c r="I41" s="8">
        <v>3246000</v>
      </c>
    </row>
    <row r="42" spans="1:9" x14ac:dyDescent="0.3">
      <c r="A42" s="4">
        <v>41</v>
      </c>
      <c r="B42" s="5">
        <v>45232</v>
      </c>
      <c r="C42" s="6" t="s">
        <v>8</v>
      </c>
      <c r="D42" s="6" t="s">
        <v>9</v>
      </c>
      <c r="E42" s="7">
        <v>4138</v>
      </c>
      <c r="F42" s="8">
        <v>1699</v>
      </c>
      <c r="G42" s="9">
        <v>184.23</v>
      </c>
      <c r="H42" s="8">
        <v>313000</v>
      </c>
      <c r="I42" s="8">
        <v>3559000</v>
      </c>
    </row>
    <row r="43" spans="1:9" x14ac:dyDescent="0.3">
      <c r="A43" s="4">
        <v>42</v>
      </c>
      <c r="B43" s="5">
        <v>45236</v>
      </c>
      <c r="C43" s="6" t="s">
        <v>8</v>
      </c>
      <c r="D43" s="6" t="s">
        <v>9</v>
      </c>
      <c r="E43" s="7">
        <v>4138</v>
      </c>
      <c r="F43" s="8">
        <v>1699</v>
      </c>
      <c r="G43" s="9">
        <v>235.43</v>
      </c>
      <c r="H43" s="8">
        <v>400000</v>
      </c>
      <c r="I43" s="8">
        <v>3959000</v>
      </c>
    </row>
    <row r="44" spans="1:9" x14ac:dyDescent="0.3">
      <c r="A44" s="4">
        <v>43</v>
      </c>
      <c r="B44" s="5">
        <v>45243</v>
      </c>
      <c r="C44" s="6" t="s">
        <v>8</v>
      </c>
      <c r="D44" s="6" t="s">
        <v>9</v>
      </c>
      <c r="E44" s="7">
        <v>4138</v>
      </c>
      <c r="F44" s="8">
        <v>1679</v>
      </c>
      <c r="G44" s="9">
        <v>284.10000000000002</v>
      </c>
      <c r="H44" s="8">
        <v>477000</v>
      </c>
      <c r="I44" s="8">
        <v>4436000</v>
      </c>
    </row>
    <row r="45" spans="1:9" x14ac:dyDescent="0.3">
      <c r="A45" s="4">
        <v>44</v>
      </c>
      <c r="B45" s="5">
        <v>45248</v>
      </c>
      <c r="C45" s="6" t="s">
        <v>8</v>
      </c>
      <c r="D45" s="6" t="s">
        <v>9</v>
      </c>
      <c r="E45" s="7">
        <v>4138</v>
      </c>
      <c r="F45" s="8">
        <v>1658</v>
      </c>
      <c r="G45" s="9">
        <v>193.61</v>
      </c>
      <c r="H45" s="8">
        <v>321000</v>
      </c>
      <c r="I45" s="8">
        <v>4757000</v>
      </c>
    </row>
    <row r="46" spans="1:9" x14ac:dyDescent="0.3">
      <c r="A46" s="4">
        <v>45</v>
      </c>
      <c r="B46" s="5">
        <v>45255</v>
      </c>
      <c r="C46" s="6" t="s">
        <v>8</v>
      </c>
      <c r="D46" s="6" t="s">
        <v>9</v>
      </c>
      <c r="E46" s="7">
        <v>4138</v>
      </c>
      <c r="F46" s="8">
        <v>1599</v>
      </c>
      <c r="G46" s="9">
        <v>263.29000000000002</v>
      </c>
      <c r="H46" s="8">
        <v>421000</v>
      </c>
      <c r="I46" s="8">
        <v>5178000</v>
      </c>
    </row>
    <row r="47" spans="1:9" x14ac:dyDescent="0.3">
      <c r="A47" s="4">
        <v>46</v>
      </c>
      <c r="B47" s="6"/>
      <c r="C47" s="6" t="s">
        <v>15</v>
      </c>
      <c r="D47" s="6" t="s">
        <v>9</v>
      </c>
      <c r="E47" s="7" t="s">
        <v>11</v>
      </c>
      <c r="F47" s="9"/>
      <c r="G47" s="10">
        <v>1396.67</v>
      </c>
      <c r="H47" s="8">
        <v>2333000</v>
      </c>
      <c r="I47" s="9">
        <v>0</v>
      </c>
    </row>
    <row r="48" spans="1:9" x14ac:dyDescent="0.3">
      <c r="A48" s="4">
        <v>47</v>
      </c>
      <c r="B48" s="5">
        <v>45231</v>
      </c>
      <c r="C48" s="6" t="s">
        <v>8</v>
      </c>
      <c r="D48" s="6" t="s">
        <v>9</v>
      </c>
      <c r="E48" s="7">
        <v>4989</v>
      </c>
      <c r="F48" s="8">
        <v>1699</v>
      </c>
      <c r="G48" s="9">
        <v>45.91</v>
      </c>
      <c r="H48" s="8">
        <v>78000</v>
      </c>
      <c r="I48" s="8">
        <v>5256000</v>
      </c>
    </row>
    <row r="49" spans="1:9" x14ac:dyDescent="0.3">
      <c r="A49" s="4">
        <v>48</v>
      </c>
      <c r="B49" s="5">
        <v>45236</v>
      </c>
      <c r="C49" s="6" t="s">
        <v>8</v>
      </c>
      <c r="D49" s="6" t="s">
        <v>9</v>
      </c>
      <c r="E49" s="7">
        <v>4989</v>
      </c>
      <c r="F49" s="8">
        <v>1699</v>
      </c>
      <c r="G49" s="9">
        <v>41.2</v>
      </c>
      <c r="H49" s="8">
        <v>70000</v>
      </c>
      <c r="I49" s="8">
        <v>5326000</v>
      </c>
    </row>
    <row r="50" spans="1:9" x14ac:dyDescent="0.3">
      <c r="A50" s="4">
        <v>49</v>
      </c>
      <c r="B50" s="5">
        <v>45241</v>
      </c>
      <c r="C50" s="6" t="s">
        <v>8</v>
      </c>
      <c r="D50" s="6" t="s">
        <v>9</v>
      </c>
      <c r="E50" s="7">
        <v>4989</v>
      </c>
      <c r="F50" s="8">
        <v>1699</v>
      </c>
      <c r="G50" s="9">
        <v>50.03</v>
      </c>
      <c r="H50" s="8">
        <v>85000</v>
      </c>
      <c r="I50" s="8">
        <v>5411000</v>
      </c>
    </row>
    <row r="51" spans="1:9" x14ac:dyDescent="0.3">
      <c r="A51" s="4">
        <v>50</v>
      </c>
      <c r="B51" s="6"/>
      <c r="C51" s="6" t="s">
        <v>18</v>
      </c>
      <c r="D51" s="6" t="s">
        <v>9</v>
      </c>
      <c r="E51" s="7" t="s">
        <v>11</v>
      </c>
      <c r="F51" s="9"/>
      <c r="G51" s="9">
        <v>137.13999999999999</v>
      </c>
      <c r="H51" s="8">
        <v>233000</v>
      </c>
      <c r="I51" s="9">
        <v>0</v>
      </c>
    </row>
    <row r="52" spans="1:9" x14ac:dyDescent="0.3">
      <c r="A52" s="4">
        <v>51</v>
      </c>
      <c r="B52" s="5">
        <v>45240</v>
      </c>
      <c r="C52" s="6" t="s">
        <v>13</v>
      </c>
      <c r="D52" s="6" t="s">
        <v>9</v>
      </c>
      <c r="E52" s="7">
        <v>5340</v>
      </c>
      <c r="F52" s="8">
        <v>1759</v>
      </c>
      <c r="G52" s="9">
        <v>52.87</v>
      </c>
      <c r="H52" s="8">
        <v>93000</v>
      </c>
      <c r="I52" s="8">
        <v>5504000</v>
      </c>
    </row>
    <row r="53" spans="1:9" x14ac:dyDescent="0.3">
      <c r="A53" s="4">
        <v>52</v>
      </c>
      <c r="B53" s="6"/>
      <c r="C53" s="6" t="s">
        <v>14</v>
      </c>
      <c r="D53" s="6" t="s">
        <v>9</v>
      </c>
      <c r="E53" s="7" t="s">
        <v>11</v>
      </c>
      <c r="F53" s="9"/>
      <c r="G53" s="9">
        <v>52.87</v>
      </c>
      <c r="H53" s="8">
        <v>93000</v>
      </c>
      <c r="I53" s="9">
        <v>0</v>
      </c>
    </row>
    <row r="54" spans="1:9" x14ac:dyDescent="0.3">
      <c r="A54" s="4">
        <v>53</v>
      </c>
      <c r="B54" s="5">
        <v>45230</v>
      </c>
      <c r="C54" s="6" t="s">
        <v>8</v>
      </c>
      <c r="D54" s="6" t="s">
        <v>9</v>
      </c>
      <c r="E54" s="7">
        <v>6364</v>
      </c>
      <c r="F54" s="8">
        <v>1699</v>
      </c>
      <c r="G54" s="9">
        <v>124.19</v>
      </c>
      <c r="H54" s="8">
        <v>211000</v>
      </c>
      <c r="I54" s="8">
        <v>5715000</v>
      </c>
    </row>
    <row r="55" spans="1:9" x14ac:dyDescent="0.3">
      <c r="A55" s="4">
        <v>54</v>
      </c>
      <c r="B55" s="5">
        <v>45238</v>
      </c>
      <c r="C55" s="6" t="s">
        <v>8</v>
      </c>
      <c r="D55" s="6" t="s">
        <v>9</v>
      </c>
      <c r="E55" s="7">
        <v>6364</v>
      </c>
      <c r="F55" s="8">
        <v>1699</v>
      </c>
      <c r="G55" s="9">
        <v>146.56</v>
      </c>
      <c r="H55" s="8">
        <v>249000</v>
      </c>
      <c r="I55" s="8">
        <v>5964000</v>
      </c>
    </row>
    <row r="56" spans="1:9" x14ac:dyDescent="0.3">
      <c r="A56" s="4">
        <v>55</v>
      </c>
      <c r="B56" s="5">
        <v>45245</v>
      </c>
      <c r="C56" s="6" t="s">
        <v>8</v>
      </c>
      <c r="D56" s="6" t="s">
        <v>9</v>
      </c>
      <c r="E56" s="7">
        <v>6364</v>
      </c>
      <c r="F56" s="8">
        <v>1678</v>
      </c>
      <c r="G56" s="9">
        <v>131.69999999999999</v>
      </c>
      <c r="H56" s="8">
        <v>221000</v>
      </c>
      <c r="I56" s="8">
        <v>6185000</v>
      </c>
    </row>
    <row r="57" spans="1:9" x14ac:dyDescent="0.3">
      <c r="A57" s="4">
        <v>56</v>
      </c>
      <c r="B57" s="5">
        <v>45250</v>
      </c>
      <c r="C57" s="6" t="s">
        <v>8</v>
      </c>
      <c r="D57" s="6" t="s">
        <v>9</v>
      </c>
      <c r="E57" s="7">
        <v>6364</v>
      </c>
      <c r="F57" s="8">
        <v>1658</v>
      </c>
      <c r="G57" s="9">
        <v>126.06</v>
      </c>
      <c r="H57" s="8">
        <v>209000</v>
      </c>
      <c r="I57" s="8">
        <v>6394000</v>
      </c>
    </row>
    <row r="58" spans="1:9" x14ac:dyDescent="0.3">
      <c r="A58" s="4">
        <v>57</v>
      </c>
      <c r="B58" s="6"/>
      <c r="C58" s="6" t="s">
        <v>17</v>
      </c>
      <c r="D58" s="6" t="s">
        <v>9</v>
      </c>
      <c r="E58" s="7" t="s">
        <v>11</v>
      </c>
      <c r="F58" s="9"/>
      <c r="G58" s="9">
        <v>528.51</v>
      </c>
      <c r="H58" s="8">
        <v>890000</v>
      </c>
      <c r="I58" s="9">
        <v>0</v>
      </c>
    </row>
    <row r="59" spans="1:9" x14ac:dyDescent="0.3">
      <c r="A59" s="4">
        <v>58</v>
      </c>
      <c r="B59" s="5">
        <v>45229</v>
      </c>
      <c r="C59" s="6" t="s">
        <v>8</v>
      </c>
      <c r="D59" s="6" t="s">
        <v>9</v>
      </c>
      <c r="E59" s="7">
        <v>6579</v>
      </c>
      <c r="F59" s="8">
        <v>1699</v>
      </c>
      <c r="G59" s="9">
        <v>23.54</v>
      </c>
      <c r="H59" s="8">
        <v>40000</v>
      </c>
      <c r="I59" s="8">
        <v>6434000</v>
      </c>
    </row>
    <row r="60" spans="1:9" x14ac:dyDescent="0.3">
      <c r="A60" s="4">
        <v>59</v>
      </c>
      <c r="B60" s="6"/>
      <c r="C60" s="6" t="s">
        <v>14</v>
      </c>
      <c r="D60" s="6" t="s">
        <v>9</v>
      </c>
      <c r="E60" s="7" t="s">
        <v>11</v>
      </c>
      <c r="F60" s="9"/>
      <c r="G60" s="9">
        <v>23.54</v>
      </c>
      <c r="H60" s="8">
        <v>40000</v>
      </c>
      <c r="I60" s="9">
        <v>0</v>
      </c>
    </row>
    <row r="61" spans="1:9" x14ac:dyDescent="0.3">
      <c r="A61" s="4">
        <v>60</v>
      </c>
      <c r="B61" s="5">
        <v>45230</v>
      </c>
      <c r="C61" s="6" t="s">
        <v>8</v>
      </c>
      <c r="D61" s="6" t="s">
        <v>9</v>
      </c>
      <c r="E61" s="7" t="s">
        <v>19</v>
      </c>
      <c r="F61" s="8">
        <v>1699</v>
      </c>
      <c r="G61" s="9">
        <v>55.92</v>
      </c>
      <c r="H61" s="8">
        <v>95000</v>
      </c>
      <c r="I61" s="8">
        <v>6529000</v>
      </c>
    </row>
    <row r="62" spans="1:9" x14ac:dyDescent="0.3">
      <c r="A62" s="4">
        <v>61</v>
      </c>
      <c r="B62" s="5">
        <v>45235</v>
      </c>
      <c r="C62" s="6" t="s">
        <v>8</v>
      </c>
      <c r="D62" s="6" t="s">
        <v>9</v>
      </c>
      <c r="E62" s="7" t="s">
        <v>19</v>
      </c>
      <c r="F62" s="8">
        <v>1699</v>
      </c>
      <c r="G62" s="9">
        <v>48.85</v>
      </c>
      <c r="H62" s="8">
        <v>83000</v>
      </c>
      <c r="I62" s="8">
        <v>6612000</v>
      </c>
    </row>
    <row r="63" spans="1:9" x14ac:dyDescent="0.3">
      <c r="A63" s="4">
        <v>62</v>
      </c>
      <c r="B63" s="5">
        <v>45238</v>
      </c>
      <c r="C63" s="6" t="s">
        <v>8</v>
      </c>
      <c r="D63" s="6" t="s">
        <v>9</v>
      </c>
      <c r="E63" s="7" t="s">
        <v>19</v>
      </c>
      <c r="F63" s="8">
        <v>1699</v>
      </c>
      <c r="G63" s="9">
        <v>56.5</v>
      </c>
      <c r="H63" s="8">
        <v>96000</v>
      </c>
      <c r="I63" s="8">
        <v>6708000</v>
      </c>
    </row>
    <row r="64" spans="1:9" x14ac:dyDescent="0.3">
      <c r="A64" s="4">
        <v>63</v>
      </c>
      <c r="B64" s="5">
        <v>45245</v>
      </c>
      <c r="C64" s="6" t="s">
        <v>8</v>
      </c>
      <c r="D64" s="6" t="s">
        <v>9</v>
      </c>
      <c r="E64" s="7" t="s">
        <v>19</v>
      </c>
      <c r="F64" s="8">
        <v>1678</v>
      </c>
      <c r="G64" s="9">
        <v>57.21</v>
      </c>
      <c r="H64" s="8">
        <v>96000</v>
      </c>
      <c r="I64" s="8">
        <v>6804000</v>
      </c>
    </row>
    <row r="65" spans="1:9" x14ac:dyDescent="0.3">
      <c r="A65" s="4">
        <v>64</v>
      </c>
      <c r="B65" s="5">
        <v>45256</v>
      </c>
      <c r="C65" s="6" t="s">
        <v>8</v>
      </c>
      <c r="D65" s="6" t="s">
        <v>9</v>
      </c>
      <c r="E65" s="7" t="s">
        <v>19</v>
      </c>
      <c r="F65" s="8">
        <v>1599</v>
      </c>
      <c r="G65" s="9">
        <v>55.66</v>
      </c>
      <c r="H65" s="8">
        <v>89000</v>
      </c>
      <c r="I65" s="8">
        <v>6893000</v>
      </c>
    </row>
    <row r="66" spans="1:9" x14ac:dyDescent="0.3">
      <c r="A66" s="4">
        <v>65</v>
      </c>
      <c r="B66" s="6"/>
      <c r="C66" s="6" t="s">
        <v>20</v>
      </c>
      <c r="D66" s="6" t="s">
        <v>9</v>
      </c>
      <c r="E66" s="7" t="s">
        <v>11</v>
      </c>
      <c r="F66" s="9"/>
      <c r="G66" s="9">
        <v>274.14</v>
      </c>
      <c r="H66" s="8">
        <v>459000</v>
      </c>
      <c r="I66" s="9">
        <v>0</v>
      </c>
    </row>
    <row r="67" spans="1:9" x14ac:dyDescent="0.3">
      <c r="A67" s="4">
        <v>66</v>
      </c>
      <c r="B67" s="5">
        <v>45225</v>
      </c>
      <c r="C67" s="6" t="s">
        <v>8</v>
      </c>
      <c r="D67" s="6" t="s">
        <v>9</v>
      </c>
      <c r="E67" s="7">
        <v>8220</v>
      </c>
      <c r="F67" s="8">
        <v>1699</v>
      </c>
      <c r="G67" s="9">
        <v>34.729999999999997</v>
      </c>
      <c r="H67" s="8">
        <v>59000</v>
      </c>
      <c r="I67" s="8">
        <v>6952000</v>
      </c>
    </row>
    <row r="68" spans="1:9" x14ac:dyDescent="0.3">
      <c r="A68" s="4">
        <v>67</v>
      </c>
      <c r="B68" s="5">
        <v>45227</v>
      </c>
      <c r="C68" s="6" t="s">
        <v>8</v>
      </c>
      <c r="D68" s="6" t="s">
        <v>9</v>
      </c>
      <c r="E68" s="7">
        <v>8220</v>
      </c>
      <c r="F68" s="8">
        <v>1699</v>
      </c>
      <c r="G68" s="9">
        <v>40.020000000000003</v>
      </c>
      <c r="H68" s="8">
        <v>68000</v>
      </c>
      <c r="I68" s="8">
        <v>7020000</v>
      </c>
    </row>
    <row r="69" spans="1:9" x14ac:dyDescent="0.3">
      <c r="A69" s="4">
        <v>68</v>
      </c>
      <c r="B69" s="5">
        <v>45233</v>
      </c>
      <c r="C69" s="6" t="s">
        <v>8</v>
      </c>
      <c r="D69" s="6" t="s">
        <v>9</v>
      </c>
      <c r="E69" s="7">
        <v>8220</v>
      </c>
      <c r="F69" s="8">
        <v>1699</v>
      </c>
      <c r="G69" s="9">
        <v>41.79</v>
      </c>
      <c r="H69" s="8">
        <v>71000</v>
      </c>
      <c r="I69" s="8">
        <v>7091000</v>
      </c>
    </row>
    <row r="70" spans="1:9" x14ac:dyDescent="0.3">
      <c r="A70" s="4">
        <v>69</v>
      </c>
      <c r="B70" s="5">
        <v>45236</v>
      </c>
      <c r="C70" s="6" t="s">
        <v>8</v>
      </c>
      <c r="D70" s="6" t="s">
        <v>9</v>
      </c>
      <c r="E70" s="7">
        <v>8220</v>
      </c>
      <c r="F70" s="8">
        <v>1699</v>
      </c>
      <c r="G70" s="9">
        <v>44.14</v>
      </c>
      <c r="H70" s="8">
        <v>75000</v>
      </c>
      <c r="I70" s="8">
        <v>7166000</v>
      </c>
    </row>
    <row r="71" spans="1:9" x14ac:dyDescent="0.3">
      <c r="A71" s="4">
        <v>70</v>
      </c>
      <c r="B71" s="5">
        <v>45240</v>
      </c>
      <c r="C71" s="6" t="s">
        <v>8</v>
      </c>
      <c r="D71" s="6" t="s">
        <v>9</v>
      </c>
      <c r="E71" s="7">
        <v>8220</v>
      </c>
      <c r="F71" s="8">
        <v>1699</v>
      </c>
      <c r="G71" s="9">
        <v>42.97</v>
      </c>
      <c r="H71" s="8">
        <v>73000</v>
      </c>
      <c r="I71" s="8">
        <v>7239000</v>
      </c>
    </row>
    <row r="72" spans="1:9" x14ac:dyDescent="0.3">
      <c r="A72" s="4">
        <v>71</v>
      </c>
      <c r="B72" s="5">
        <v>45246</v>
      </c>
      <c r="C72" s="6" t="s">
        <v>8</v>
      </c>
      <c r="D72" s="6" t="s">
        <v>9</v>
      </c>
      <c r="E72" s="7">
        <v>8220</v>
      </c>
      <c r="F72" s="8">
        <v>1678</v>
      </c>
      <c r="G72" s="9">
        <v>45.89</v>
      </c>
      <c r="H72" s="8">
        <v>77000</v>
      </c>
      <c r="I72" s="8">
        <v>7316000</v>
      </c>
    </row>
    <row r="73" spans="1:9" x14ac:dyDescent="0.3">
      <c r="A73" s="4">
        <v>72</v>
      </c>
      <c r="B73" s="5">
        <v>45251</v>
      </c>
      <c r="C73" s="6" t="s">
        <v>8</v>
      </c>
      <c r="D73" s="6" t="s">
        <v>9</v>
      </c>
      <c r="E73" s="7">
        <v>8220</v>
      </c>
      <c r="F73" s="8">
        <v>1658</v>
      </c>
      <c r="G73" s="9">
        <v>56.09</v>
      </c>
      <c r="H73" s="8">
        <v>93000</v>
      </c>
      <c r="I73" s="8">
        <v>7409000</v>
      </c>
    </row>
    <row r="74" spans="1:9" x14ac:dyDescent="0.3">
      <c r="A74" s="4">
        <v>73</v>
      </c>
      <c r="B74" s="5">
        <v>45255</v>
      </c>
      <c r="C74" s="6" t="s">
        <v>8</v>
      </c>
      <c r="D74" s="6" t="s">
        <v>9</v>
      </c>
      <c r="E74" s="7">
        <v>8220</v>
      </c>
      <c r="F74" s="8">
        <v>1599</v>
      </c>
      <c r="G74" s="9">
        <v>51.91</v>
      </c>
      <c r="H74" s="8">
        <v>83000</v>
      </c>
      <c r="I74" s="8">
        <v>7492000</v>
      </c>
    </row>
    <row r="75" spans="1:9" x14ac:dyDescent="0.3">
      <c r="A75" s="4">
        <v>74</v>
      </c>
      <c r="B75" s="6"/>
      <c r="C75" s="6" t="s">
        <v>16</v>
      </c>
      <c r="D75" s="6" t="s">
        <v>9</v>
      </c>
      <c r="E75" s="7" t="s">
        <v>11</v>
      </c>
      <c r="F75" s="9"/>
      <c r="G75" s="9">
        <v>357.53</v>
      </c>
      <c r="H75" s="8">
        <v>599000</v>
      </c>
      <c r="I75" s="9">
        <v>0</v>
      </c>
    </row>
    <row r="76" spans="1:9" x14ac:dyDescent="0.3">
      <c r="A76" s="4">
        <v>75</v>
      </c>
      <c r="B76" s="5">
        <v>45230</v>
      </c>
      <c r="C76" s="6" t="s">
        <v>8</v>
      </c>
      <c r="D76" s="6" t="s">
        <v>9</v>
      </c>
      <c r="E76" s="7">
        <v>8465</v>
      </c>
      <c r="F76" s="8">
        <v>1699</v>
      </c>
      <c r="G76" s="9">
        <v>48.85</v>
      </c>
      <c r="H76" s="8">
        <v>83000</v>
      </c>
      <c r="I76" s="8">
        <v>7575000</v>
      </c>
    </row>
    <row r="77" spans="1:9" x14ac:dyDescent="0.3">
      <c r="A77" s="4">
        <v>76</v>
      </c>
      <c r="B77" s="5">
        <v>45238</v>
      </c>
      <c r="C77" s="6" t="s">
        <v>8</v>
      </c>
      <c r="D77" s="6" t="s">
        <v>9</v>
      </c>
      <c r="E77" s="7">
        <v>8465</v>
      </c>
      <c r="F77" s="8">
        <v>1699</v>
      </c>
      <c r="G77" s="9">
        <v>45.32</v>
      </c>
      <c r="H77" s="8">
        <v>77000</v>
      </c>
      <c r="I77" s="8">
        <v>7652000</v>
      </c>
    </row>
    <row r="78" spans="1:9" x14ac:dyDescent="0.3">
      <c r="A78" s="4">
        <v>77</v>
      </c>
      <c r="B78" s="5">
        <v>45244</v>
      </c>
      <c r="C78" s="6" t="s">
        <v>8</v>
      </c>
      <c r="D78" s="6" t="s">
        <v>9</v>
      </c>
      <c r="E78" s="7">
        <v>8465</v>
      </c>
      <c r="F78" s="8">
        <v>1678</v>
      </c>
      <c r="G78" s="9">
        <v>47.68</v>
      </c>
      <c r="H78" s="8">
        <v>80000</v>
      </c>
      <c r="I78" s="8">
        <v>7732000</v>
      </c>
    </row>
    <row r="79" spans="1:9" x14ac:dyDescent="0.3">
      <c r="A79" s="4">
        <v>78</v>
      </c>
      <c r="B79" s="5">
        <v>45250</v>
      </c>
      <c r="C79" s="6" t="s">
        <v>8</v>
      </c>
      <c r="D79" s="6" t="s">
        <v>9</v>
      </c>
      <c r="E79" s="7">
        <v>8465</v>
      </c>
      <c r="F79" s="8">
        <v>1658</v>
      </c>
      <c r="G79" s="9">
        <v>48.25</v>
      </c>
      <c r="H79" s="8">
        <v>80000</v>
      </c>
      <c r="I79" s="8">
        <v>7812000</v>
      </c>
    </row>
    <row r="80" spans="1:9" x14ac:dyDescent="0.3">
      <c r="A80" s="4">
        <v>79</v>
      </c>
      <c r="B80" s="6"/>
      <c r="C80" s="6" t="s">
        <v>17</v>
      </c>
      <c r="D80" s="6" t="s">
        <v>9</v>
      </c>
      <c r="E80" s="7" t="s">
        <v>11</v>
      </c>
      <c r="F80" s="9"/>
      <c r="G80" s="9">
        <v>190.1</v>
      </c>
      <c r="H80" s="8">
        <v>320000</v>
      </c>
      <c r="I80" s="9">
        <v>0</v>
      </c>
    </row>
    <row r="81" spans="1:9" x14ac:dyDescent="0.3">
      <c r="A81" s="4">
        <v>80</v>
      </c>
      <c r="B81" s="5">
        <v>45232</v>
      </c>
      <c r="C81" s="6" t="s">
        <v>8</v>
      </c>
      <c r="D81" s="6" t="s">
        <v>9</v>
      </c>
      <c r="E81" s="7">
        <v>9149</v>
      </c>
      <c r="F81" s="8">
        <v>1699</v>
      </c>
      <c r="G81" s="9">
        <v>56.5</v>
      </c>
      <c r="H81" s="8">
        <v>96000</v>
      </c>
      <c r="I81" s="8">
        <v>7908000</v>
      </c>
    </row>
    <row r="82" spans="1:9" x14ac:dyDescent="0.3">
      <c r="A82" s="4">
        <v>81</v>
      </c>
      <c r="B82" s="5">
        <v>45241</v>
      </c>
      <c r="C82" s="6" t="s">
        <v>8</v>
      </c>
      <c r="D82" s="6" t="s">
        <v>9</v>
      </c>
      <c r="E82" s="7">
        <v>9149</v>
      </c>
      <c r="F82" s="8">
        <v>1699</v>
      </c>
      <c r="G82" s="9">
        <v>55.33</v>
      </c>
      <c r="H82" s="8">
        <v>94000</v>
      </c>
      <c r="I82" s="8">
        <v>8002000</v>
      </c>
    </row>
    <row r="83" spans="1:9" x14ac:dyDescent="0.3">
      <c r="A83" s="4">
        <v>82</v>
      </c>
      <c r="B83" s="5">
        <v>45250</v>
      </c>
      <c r="C83" s="6" t="s">
        <v>8</v>
      </c>
      <c r="D83" s="6" t="s">
        <v>9</v>
      </c>
      <c r="E83" s="7">
        <v>9149</v>
      </c>
      <c r="F83" s="8">
        <v>1658</v>
      </c>
      <c r="G83" s="9">
        <v>54.28</v>
      </c>
      <c r="H83" s="8">
        <v>90000</v>
      </c>
      <c r="I83" s="8">
        <v>8092000</v>
      </c>
    </row>
    <row r="84" spans="1:9" x14ac:dyDescent="0.3">
      <c r="A84" s="4">
        <v>83</v>
      </c>
      <c r="B84" s="6"/>
      <c r="C84" s="6" t="s">
        <v>18</v>
      </c>
      <c r="D84" s="6" t="s">
        <v>9</v>
      </c>
      <c r="E84" s="7" t="s">
        <v>11</v>
      </c>
      <c r="F84" s="9"/>
      <c r="G84" s="9">
        <v>166.11</v>
      </c>
      <c r="H84" s="8">
        <v>280000</v>
      </c>
      <c r="I84" s="9">
        <v>0</v>
      </c>
    </row>
    <row r="85" spans="1:9" x14ac:dyDescent="0.3">
      <c r="A85" s="4">
        <v>84</v>
      </c>
      <c r="B85" s="5">
        <v>45231</v>
      </c>
      <c r="C85" s="6" t="s">
        <v>8</v>
      </c>
      <c r="D85" s="6" t="s">
        <v>9</v>
      </c>
      <c r="E85" s="7">
        <v>9180</v>
      </c>
      <c r="F85" s="8">
        <v>1699</v>
      </c>
      <c r="G85" s="9">
        <v>58.27</v>
      </c>
      <c r="H85" s="8">
        <v>99000</v>
      </c>
      <c r="I85" s="8">
        <v>8191000</v>
      </c>
    </row>
    <row r="86" spans="1:9" x14ac:dyDescent="0.3">
      <c r="A86" s="4">
        <v>85</v>
      </c>
      <c r="B86" s="5">
        <v>45234</v>
      </c>
      <c r="C86" s="6" t="s">
        <v>8</v>
      </c>
      <c r="D86" s="6" t="s">
        <v>9</v>
      </c>
      <c r="E86" s="7">
        <v>9180</v>
      </c>
      <c r="F86" s="8">
        <v>1699</v>
      </c>
      <c r="G86" s="9">
        <v>55.33</v>
      </c>
      <c r="H86" s="8">
        <v>94000</v>
      </c>
      <c r="I86" s="8">
        <v>8285000</v>
      </c>
    </row>
    <row r="87" spans="1:9" x14ac:dyDescent="0.3">
      <c r="A87" s="4">
        <v>86</v>
      </c>
      <c r="B87" s="5">
        <v>45238</v>
      </c>
      <c r="C87" s="6" t="s">
        <v>8</v>
      </c>
      <c r="D87" s="6" t="s">
        <v>9</v>
      </c>
      <c r="E87" s="7">
        <v>9180</v>
      </c>
      <c r="F87" s="8">
        <v>1699</v>
      </c>
      <c r="G87" s="9">
        <v>57.68</v>
      </c>
      <c r="H87" s="8">
        <v>98000</v>
      </c>
      <c r="I87" s="8">
        <v>8383000</v>
      </c>
    </row>
    <row r="88" spans="1:9" x14ac:dyDescent="0.3">
      <c r="A88" s="4">
        <v>87</v>
      </c>
      <c r="B88" s="5">
        <v>45243</v>
      </c>
      <c r="C88" s="6" t="s">
        <v>8</v>
      </c>
      <c r="D88" s="6" t="s">
        <v>9</v>
      </c>
      <c r="E88" s="7">
        <v>9180</v>
      </c>
      <c r="F88" s="8">
        <v>1678</v>
      </c>
      <c r="G88" s="9">
        <v>29.8</v>
      </c>
      <c r="H88" s="8">
        <v>50000</v>
      </c>
      <c r="I88" s="8">
        <v>8433000</v>
      </c>
    </row>
    <row r="89" spans="1:9" x14ac:dyDescent="0.3">
      <c r="A89" s="4">
        <v>88</v>
      </c>
      <c r="B89" s="5">
        <v>45246</v>
      </c>
      <c r="C89" s="6" t="s">
        <v>8</v>
      </c>
      <c r="D89" s="6" t="s">
        <v>9</v>
      </c>
      <c r="E89" s="7">
        <v>9180</v>
      </c>
      <c r="F89" s="8">
        <v>1678</v>
      </c>
      <c r="G89" s="9">
        <v>29.8</v>
      </c>
      <c r="H89" s="8">
        <v>50000</v>
      </c>
      <c r="I89" s="8">
        <v>8483000</v>
      </c>
    </row>
    <row r="90" spans="1:9" x14ac:dyDescent="0.3">
      <c r="A90" s="4">
        <v>89</v>
      </c>
      <c r="B90" s="5">
        <v>45251</v>
      </c>
      <c r="C90" s="6" t="s">
        <v>8</v>
      </c>
      <c r="D90" s="6" t="s">
        <v>9</v>
      </c>
      <c r="E90" s="7">
        <v>9180</v>
      </c>
      <c r="F90" s="8">
        <v>1658</v>
      </c>
      <c r="G90" s="9">
        <v>30.16</v>
      </c>
      <c r="H90" s="8">
        <v>50000</v>
      </c>
      <c r="I90" s="8">
        <v>8533000</v>
      </c>
    </row>
    <row r="91" spans="1:9" x14ac:dyDescent="0.3">
      <c r="A91" s="4">
        <v>90</v>
      </c>
      <c r="B91" s="6"/>
      <c r="C91" s="6" t="s">
        <v>15</v>
      </c>
      <c r="D91" s="6" t="s">
        <v>9</v>
      </c>
      <c r="E91" s="7" t="s">
        <v>11</v>
      </c>
      <c r="F91" s="9"/>
      <c r="G91" s="9">
        <v>261.02</v>
      </c>
      <c r="H91" s="8">
        <v>441000</v>
      </c>
      <c r="I91" s="9">
        <v>0</v>
      </c>
    </row>
    <row r="92" spans="1:9" x14ac:dyDescent="0.3">
      <c r="A92" s="4">
        <v>91</v>
      </c>
      <c r="B92" s="5">
        <v>45226</v>
      </c>
      <c r="C92" s="6" t="s">
        <v>13</v>
      </c>
      <c r="D92" s="6" t="s">
        <v>9</v>
      </c>
      <c r="E92" s="7">
        <v>9193</v>
      </c>
      <c r="F92" s="8">
        <v>1819</v>
      </c>
      <c r="G92" s="9">
        <v>27.49</v>
      </c>
      <c r="H92" s="8">
        <v>50000</v>
      </c>
      <c r="I92" s="8">
        <v>8583000</v>
      </c>
    </row>
    <row r="93" spans="1:9" x14ac:dyDescent="0.3">
      <c r="A93" s="4">
        <v>92</v>
      </c>
      <c r="B93" s="5">
        <v>45230</v>
      </c>
      <c r="C93" s="6" t="s">
        <v>8</v>
      </c>
      <c r="D93" s="6" t="s">
        <v>9</v>
      </c>
      <c r="E93" s="7">
        <v>9193</v>
      </c>
      <c r="F93" s="8">
        <v>1699</v>
      </c>
      <c r="G93" s="9">
        <v>52.97</v>
      </c>
      <c r="H93" s="8">
        <v>90000</v>
      </c>
      <c r="I93" s="8">
        <v>8673000</v>
      </c>
    </row>
    <row r="94" spans="1:9" x14ac:dyDescent="0.3">
      <c r="A94" s="4">
        <v>93</v>
      </c>
      <c r="B94" s="5">
        <v>45240</v>
      </c>
      <c r="C94" s="6" t="s">
        <v>8</v>
      </c>
      <c r="D94" s="6" t="s">
        <v>9</v>
      </c>
      <c r="E94" s="7">
        <v>9193</v>
      </c>
      <c r="F94" s="8">
        <v>1699</v>
      </c>
      <c r="G94" s="9">
        <v>56.5</v>
      </c>
      <c r="H94" s="8">
        <v>96000</v>
      </c>
      <c r="I94" s="8">
        <v>8769000</v>
      </c>
    </row>
    <row r="95" spans="1:9" x14ac:dyDescent="0.3">
      <c r="A95" s="4">
        <v>94</v>
      </c>
      <c r="B95" s="5">
        <v>45249</v>
      </c>
      <c r="C95" s="6" t="s">
        <v>8</v>
      </c>
      <c r="D95" s="6" t="s">
        <v>9</v>
      </c>
      <c r="E95" s="7">
        <v>9193</v>
      </c>
      <c r="F95" s="8">
        <v>1658</v>
      </c>
      <c r="G95" s="9">
        <v>57.3</v>
      </c>
      <c r="H95" s="8">
        <v>95000</v>
      </c>
      <c r="I95" s="8">
        <v>8864000</v>
      </c>
    </row>
    <row r="96" spans="1:9" x14ac:dyDescent="0.3">
      <c r="A96" s="4">
        <v>95</v>
      </c>
      <c r="B96" s="6"/>
      <c r="C96" s="6" t="s">
        <v>17</v>
      </c>
      <c r="D96" s="6" t="s">
        <v>9</v>
      </c>
      <c r="E96" s="7" t="s">
        <v>11</v>
      </c>
      <c r="F96" s="9"/>
      <c r="G96" s="9">
        <v>194.26</v>
      </c>
      <c r="H96" s="8">
        <v>331000</v>
      </c>
      <c r="I96" s="9">
        <v>0</v>
      </c>
    </row>
    <row r="97" spans="1:9" x14ac:dyDescent="0.3">
      <c r="A97" s="4">
        <v>96</v>
      </c>
      <c r="B97" s="5">
        <v>45232</v>
      </c>
      <c r="C97" s="6" t="s">
        <v>8</v>
      </c>
      <c r="D97" s="6" t="s">
        <v>9</v>
      </c>
      <c r="E97" s="7">
        <v>9273</v>
      </c>
      <c r="F97" s="8">
        <v>1699</v>
      </c>
      <c r="G97" s="9">
        <v>54.74</v>
      </c>
      <c r="H97" s="8">
        <v>93000</v>
      </c>
      <c r="I97" s="8">
        <v>8957000</v>
      </c>
    </row>
    <row r="98" spans="1:9" x14ac:dyDescent="0.3">
      <c r="A98" s="4">
        <v>97</v>
      </c>
      <c r="B98" s="5">
        <v>45236</v>
      </c>
      <c r="C98" s="6" t="s">
        <v>8</v>
      </c>
      <c r="D98" s="6" t="s">
        <v>9</v>
      </c>
      <c r="E98" s="7">
        <v>9273</v>
      </c>
      <c r="F98" s="8">
        <v>1699</v>
      </c>
      <c r="G98" s="9">
        <v>52.97</v>
      </c>
      <c r="H98" s="8">
        <v>90000</v>
      </c>
      <c r="I98" s="8">
        <v>9047000</v>
      </c>
    </row>
    <row r="99" spans="1:9" x14ac:dyDescent="0.3">
      <c r="A99" s="4">
        <v>98</v>
      </c>
      <c r="B99" s="5">
        <v>45240</v>
      </c>
      <c r="C99" s="6" t="s">
        <v>8</v>
      </c>
      <c r="D99" s="6" t="s">
        <v>9</v>
      </c>
      <c r="E99" s="7">
        <v>9273</v>
      </c>
      <c r="F99" s="8">
        <v>1699</v>
      </c>
      <c r="G99" s="9">
        <v>50.03</v>
      </c>
      <c r="H99" s="8">
        <v>85000</v>
      </c>
      <c r="I99" s="8">
        <v>9132000</v>
      </c>
    </row>
    <row r="100" spans="1:9" x14ac:dyDescent="0.3">
      <c r="A100" s="4">
        <v>99</v>
      </c>
      <c r="B100" s="5">
        <v>45244</v>
      </c>
      <c r="C100" s="6" t="s">
        <v>8</v>
      </c>
      <c r="D100" s="6" t="s">
        <v>9</v>
      </c>
      <c r="E100" s="7">
        <v>9273</v>
      </c>
      <c r="F100" s="8">
        <v>1678</v>
      </c>
      <c r="G100" s="9">
        <v>55.42</v>
      </c>
      <c r="H100" s="8">
        <v>93000</v>
      </c>
      <c r="I100" s="8">
        <v>9225000</v>
      </c>
    </row>
    <row r="101" spans="1:9" x14ac:dyDescent="0.3">
      <c r="A101" s="4">
        <v>100</v>
      </c>
      <c r="B101" s="5">
        <v>45248</v>
      </c>
      <c r="C101" s="6" t="s">
        <v>8</v>
      </c>
      <c r="D101" s="6" t="s">
        <v>9</v>
      </c>
      <c r="E101" s="7">
        <v>9273</v>
      </c>
      <c r="F101" s="8">
        <v>1658</v>
      </c>
      <c r="G101" s="9">
        <v>56.69</v>
      </c>
      <c r="H101" s="8">
        <v>94000</v>
      </c>
      <c r="I101" s="8">
        <v>9319000</v>
      </c>
    </row>
    <row r="102" spans="1:9" x14ac:dyDescent="0.3">
      <c r="A102" s="4">
        <v>101</v>
      </c>
      <c r="B102" s="5">
        <v>45252</v>
      </c>
      <c r="C102" s="6" t="s">
        <v>8</v>
      </c>
      <c r="D102" s="6" t="s">
        <v>9</v>
      </c>
      <c r="E102" s="7">
        <v>9273</v>
      </c>
      <c r="F102" s="8">
        <v>1658</v>
      </c>
      <c r="G102" s="9">
        <v>56.09</v>
      </c>
      <c r="H102" s="8">
        <v>93000</v>
      </c>
      <c r="I102" s="8">
        <v>9412000</v>
      </c>
    </row>
    <row r="103" spans="1:9" x14ac:dyDescent="0.3">
      <c r="A103" s="4">
        <v>102</v>
      </c>
      <c r="B103" s="6"/>
      <c r="C103" s="6" t="s">
        <v>15</v>
      </c>
      <c r="D103" s="6" t="s">
        <v>9</v>
      </c>
      <c r="E103" s="7" t="s">
        <v>11</v>
      </c>
      <c r="F103" s="9"/>
      <c r="G103" s="9">
        <v>325.95</v>
      </c>
      <c r="H103" s="8">
        <v>548000</v>
      </c>
      <c r="I103" s="9">
        <v>0</v>
      </c>
    </row>
    <row r="104" spans="1:9" x14ac:dyDescent="0.3">
      <c r="A104" s="4">
        <v>103</v>
      </c>
      <c r="B104" s="6"/>
      <c r="C104" s="6"/>
      <c r="D104" s="6" t="s">
        <v>9</v>
      </c>
      <c r="E104" s="7" t="s">
        <v>21</v>
      </c>
      <c r="F104" s="9"/>
      <c r="G104" s="10">
        <v>5598.54</v>
      </c>
      <c r="H104" s="8">
        <v>9412000</v>
      </c>
      <c r="I104" s="9">
        <v>0</v>
      </c>
    </row>
    <row r="105" spans="1:9" x14ac:dyDescent="0.3">
      <c r="A105" s="4">
        <v>1</v>
      </c>
      <c r="B105" s="5">
        <v>45258</v>
      </c>
      <c r="C105" s="7" t="s">
        <v>8</v>
      </c>
      <c r="D105" s="6" t="s">
        <v>9</v>
      </c>
      <c r="E105" s="7">
        <v>439</v>
      </c>
      <c r="F105" s="8">
        <v>1599</v>
      </c>
      <c r="G105" s="9">
        <v>31.27</v>
      </c>
      <c r="H105" s="8">
        <v>50000</v>
      </c>
      <c r="I105" s="8">
        <v>50000</v>
      </c>
    </row>
    <row r="106" spans="1:9" x14ac:dyDescent="0.3">
      <c r="A106" s="4">
        <v>2</v>
      </c>
      <c r="B106" s="6"/>
      <c r="C106" s="7" t="s">
        <v>14</v>
      </c>
      <c r="D106" s="6" t="s">
        <v>9</v>
      </c>
      <c r="E106" s="7" t="s">
        <v>11</v>
      </c>
      <c r="F106" s="9"/>
      <c r="G106" s="17">
        <v>31.27</v>
      </c>
      <c r="H106" s="8">
        <v>50000</v>
      </c>
      <c r="I106" s="9">
        <v>0</v>
      </c>
    </row>
    <row r="107" spans="1:9" x14ac:dyDescent="0.3">
      <c r="A107" s="4">
        <v>3</v>
      </c>
      <c r="B107" s="5">
        <v>45260</v>
      </c>
      <c r="C107" s="7" t="s">
        <v>8</v>
      </c>
      <c r="D107" s="6" t="s">
        <v>9</v>
      </c>
      <c r="E107" s="7">
        <v>641</v>
      </c>
      <c r="F107" s="8">
        <v>1599</v>
      </c>
      <c r="G107" s="9">
        <v>61.29</v>
      </c>
      <c r="H107" s="8">
        <v>98000</v>
      </c>
      <c r="I107" s="8">
        <f>+H107+I105</f>
        <v>148000</v>
      </c>
    </row>
    <row r="108" spans="1:9" x14ac:dyDescent="0.3">
      <c r="A108" s="4">
        <v>4</v>
      </c>
      <c r="B108" s="6"/>
      <c r="C108" s="7" t="s">
        <v>14</v>
      </c>
      <c r="D108" s="6" t="s">
        <v>9</v>
      </c>
      <c r="E108" s="7" t="s">
        <v>11</v>
      </c>
      <c r="F108" s="9"/>
      <c r="G108" s="17">
        <v>61.29</v>
      </c>
      <c r="H108" s="8">
        <v>98000</v>
      </c>
      <c r="I108" s="9">
        <v>0</v>
      </c>
    </row>
    <row r="109" spans="1:9" x14ac:dyDescent="0.3">
      <c r="A109" s="4">
        <v>5</v>
      </c>
      <c r="B109" s="5">
        <v>45259</v>
      </c>
      <c r="C109" s="7" t="s">
        <v>8</v>
      </c>
      <c r="D109" s="6" t="s">
        <v>9</v>
      </c>
      <c r="E109" s="7">
        <v>1266</v>
      </c>
      <c r="F109" s="8">
        <v>1599</v>
      </c>
      <c r="G109" s="9">
        <v>140.71</v>
      </c>
      <c r="H109" s="8">
        <v>225000</v>
      </c>
      <c r="I109" s="8">
        <f>+H109+I107</f>
        <v>373000</v>
      </c>
    </row>
    <row r="110" spans="1:9" x14ac:dyDescent="0.3">
      <c r="A110" s="4">
        <v>6</v>
      </c>
      <c r="B110" s="6"/>
      <c r="C110" s="7" t="s">
        <v>14</v>
      </c>
      <c r="D110" s="6" t="s">
        <v>9</v>
      </c>
      <c r="E110" s="7" t="s">
        <v>11</v>
      </c>
      <c r="F110" s="9"/>
      <c r="G110" s="17">
        <v>140.71</v>
      </c>
      <c r="H110" s="8">
        <v>225000</v>
      </c>
      <c r="I110" s="9">
        <v>0</v>
      </c>
    </row>
    <row r="111" spans="1:9" x14ac:dyDescent="0.3">
      <c r="A111" s="4">
        <v>7</v>
      </c>
      <c r="B111" s="5">
        <v>45257</v>
      </c>
      <c r="C111" s="7" t="s">
        <v>8</v>
      </c>
      <c r="D111" s="6" t="s">
        <v>9</v>
      </c>
      <c r="E111" s="7">
        <v>1806</v>
      </c>
      <c r="F111" s="8">
        <v>1599</v>
      </c>
      <c r="G111" s="9">
        <v>42.53</v>
      </c>
      <c r="H111" s="8">
        <v>68000</v>
      </c>
      <c r="I111" s="8">
        <f>+H111+I109</f>
        <v>441000</v>
      </c>
    </row>
    <row r="112" spans="1:9" x14ac:dyDescent="0.3">
      <c r="A112" s="4">
        <v>8</v>
      </c>
      <c r="B112" s="5">
        <v>45260</v>
      </c>
      <c r="C112" s="7" t="s">
        <v>8</v>
      </c>
      <c r="D112" s="6" t="s">
        <v>9</v>
      </c>
      <c r="E112" s="7">
        <v>1806</v>
      </c>
      <c r="F112" s="8">
        <v>1599</v>
      </c>
      <c r="G112" s="9">
        <v>18.760000000000002</v>
      </c>
      <c r="H112" s="8">
        <v>30000</v>
      </c>
      <c r="I112" s="8">
        <f>+H112+I111</f>
        <v>471000</v>
      </c>
    </row>
    <row r="113" spans="1:9" x14ac:dyDescent="0.3">
      <c r="A113" s="4">
        <v>9</v>
      </c>
      <c r="B113" s="6"/>
      <c r="C113" s="7" t="s">
        <v>12</v>
      </c>
      <c r="D113" s="6" t="s">
        <v>9</v>
      </c>
      <c r="E113" s="7" t="s">
        <v>11</v>
      </c>
      <c r="F113" s="9"/>
      <c r="G113" s="17">
        <v>61.29</v>
      </c>
      <c r="H113" s="8">
        <v>98000</v>
      </c>
      <c r="I113" s="9">
        <v>0</v>
      </c>
    </row>
    <row r="114" spans="1:9" x14ac:dyDescent="0.3">
      <c r="A114" s="4">
        <v>10</v>
      </c>
      <c r="B114" s="5">
        <v>45258</v>
      </c>
      <c r="C114" s="7" t="s">
        <v>8</v>
      </c>
      <c r="D114" s="6" t="s">
        <v>9</v>
      </c>
      <c r="E114" s="7">
        <v>2998</v>
      </c>
      <c r="F114" s="8">
        <v>1599</v>
      </c>
      <c r="G114" s="9">
        <v>31.27</v>
      </c>
      <c r="H114" s="8">
        <v>50000</v>
      </c>
      <c r="I114" s="8">
        <f>+H114+I112</f>
        <v>521000</v>
      </c>
    </row>
    <row r="115" spans="1:9" x14ac:dyDescent="0.3">
      <c r="A115" s="4">
        <v>11</v>
      </c>
      <c r="B115" s="6"/>
      <c r="C115" s="7" t="s">
        <v>14</v>
      </c>
      <c r="D115" s="6" t="s">
        <v>9</v>
      </c>
      <c r="E115" s="7" t="s">
        <v>11</v>
      </c>
      <c r="F115" s="9"/>
      <c r="G115" s="17">
        <v>31.27</v>
      </c>
      <c r="H115" s="8">
        <v>50000</v>
      </c>
      <c r="I115" s="9">
        <v>0</v>
      </c>
    </row>
    <row r="116" spans="1:9" x14ac:dyDescent="0.3">
      <c r="A116" s="4">
        <v>12</v>
      </c>
      <c r="B116" s="5">
        <v>45260</v>
      </c>
      <c r="C116" s="7" t="s">
        <v>8</v>
      </c>
      <c r="D116" s="6" t="s">
        <v>9</v>
      </c>
      <c r="E116" s="7">
        <v>4989</v>
      </c>
      <c r="F116" s="8">
        <v>1599</v>
      </c>
      <c r="G116" s="9">
        <v>44.4</v>
      </c>
      <c r="H116" s="8">
        <v>71000</v>
      </c>
      <c r="I116" s="8">
        <f>+H116+I114</f>
        <v>592000</v>
      </c>
    </row>
    <row r="117" spans="1:9" x14ac:dyDescent="0.3">
      <c r="A117" s="4">
        <v>13</v>
      </c>
      <c r="B117" s="6"/>
      <c r="C117" s="7" t="s">
        <v>14</v>
      </c>
      <c r="D117" s="6" t="s">
        <v>9</v>
      </c>
      <c r="E117" s="7" t="s">
        <v>11</v>
      </c>
      <c r="F117" s="9"/>
      <c r="G117" s="17">
        <v>44.4</v>
      </c>
      <c r="H117" s="8">
        <v>71000</v>
      </c>
      <c r="I117" s="9">
        <v>0</v>
      </c>
    </row>
    <row r="118" spans="1:9" x14ac:dyDescent="0.3">
      <c r="A118" s="4">
        <v>14</v>
      </c>
      <c r="B118" s="5">
        <v>45258</v>
      </c>
      <c r="C118" s="7" t="s">
        <v>8</v>
      </c>
      <c r="D118" s="6" t="s">
        <v>9</v>
      </c>
      <c r="E118" s="7">
        <v>6364</v>
      </c>
      <c r="F118" s="8">
        <v>1599</v>
      </c>
      <c r="G118" s="9">
        <v>156.35</v>
      </c>
      <c r="H118" s="8">
        <v>250000</v>
      </c>
      <c r="I118" s="8">
        <f>+H118+I116</f>
        <v>842000</v>
      </c>
    </row>
    <row r="119" spans="1:9" x14ac:dyDescent="0.3">
      <c r="A119" s="4">
        <v>15</v>
      </c>
      <c r="B119" s="6"/>
      <c r="C119" s="7" t="s">
        <v>14</v>
      </c>
      <c r="D119" s="6" t="s">
        <v>9</v>
      </c>
      <c r="E119" s="7" t="s">
        <v>11</v>
      </c>
      <c r="F119" s="9"/>
      <c r="G119" s="17">
        <v>156.35</v>
      </c>
      <c r="H119" s="8">
        <v>250000</v>
      </c>
      <c r="I119" s="9">
        <v>0</v>
      </c>
    </row>
    <row r="120" spans="1:9" x14ac:dyDescent="0.3">
      <c r="A120" s="4">
        <v>16</v>
      </c>
      <c r="B120" s="5">
        <v>45259</v>
      </c>
      <c r="C120" s="7" t="s">
        <v>8</v>
      </c>
      <c r="D120" s="6" t="s">
        <v>9</v>
      </c>
      <c r="E120" s="7">
        <v>8220</v>
      </c>
      <c r="F120" s="8">
        <v>1599</v>
      </c>
      <c r="G120" s="9">
        <v>51.91</v>
      </c>
      <c r="H120" s="8">
        <v>83000</v>
      </c>
      <c r="I120" s="8">
        <f>+H120+I118</f>
        <v>925000</v>
      </c>
    </row>
    <row r="121" spans="1:9" x14ac:dyDescent="0.3">
      <c r="A121" s="4">
        <v>17</v>
      </c>
      <c r="B121" s="6"/>
      <c r="C121" s="7" t="s">
        <v>14</v>
      </c>
      <c r="D121" s="6" t="s">
        <v>9</v>
      </c>
      <c r="E121" s="7" t="s">
        <v>11</v>
      </c>
      <c r="F121" s="9"/>
      <c r="G121" s="17">
        <v>51.91</v>
      </c>
      <c r="H121" s="8">
        <v>83000</v>
      </c>
      <c r="I121" s="9">
        <v>0</v>
      </c>
    </row>
    <row r="122" spans="1:9" x14ac:dyDescent="0.3">
      <c r="A122" s="4">
        <v>18</v>
      </c>
      <c r="B122" s="5">
        <v>45257</v>
      </c>
      <c r="C122" s="7" t="s">
        <v>8</v>
      </c>
      <c r="D122" s="6" t="s">
        <v>9</v>
      </c>
      <c r="E122" s="7">
        <v>8465</v>
      </c>
      <c r="F122" s="8">
        <v>1599</v>
      </c>
      <c r="G122" s="9">
        <v>46.9</v>
      </c>
      <c r="H122" s="8">
        <v>75000</v>
      </c>
      <c r="I122" s="8">
        <f>+H122+I120</f>
        <v>1000000</v>
      </c>
    </row>
    <row r="123" spans="1:9" x14ac:dyDescent="0.3">
      <c r="A123" s="4">
        <v>19</v>
      </c>
      <c r="B123" s="6"/>
      <c r="C123" s="7" t="s">
        <v>14</v>
      </c>
      <c r="D123" s="6" t="s">
        <v>9</v>
      </c>
      <c r="E123" s="7" t="s">
        <v>11</v>
      </c>
      <c r="F123" s="9"/>
      <c r="G123" s="17">
        <v>46.9</v>
      </c>
      <c r="H123" s="8">
        <v>75000</v>
      </c>
      <c r="I123" s="9">
        <v>0</v>
      </c>
    </row>
    <row r="124" spans="1:9" x14ac:dyDescent="0.3">
      <c r="A124" s="4">
        <v>20</v>
      </c>
      <c r="B124" s="5">
        <v>45257</v>
      </c>
      <c r="C124" s="7" t="s">
        <v>8</v>
      </c>
      <c r="D124" s="6" t="s">
        <v>9</v>
      </c>
      <c r="E124" s="7">
        <v>9149</v>
      </c>
      <c r="F124" s="8">
        <v>1599</v>
      </c>
      <c r="G124" s="9">
        <v>31.27</v>
      </c>
      <c r="H124" s="8">
        <v>50000</v>
      </c>
      <c r="I124" s="8">
        <f>+H124+I122</f>
        <v>1050000</v>
      </c>
    </row>
    <row r="125" spans="1:9" x14ac:dyDescent="0.3">
      <c r="A125" s="4">
        <v>21</v>
      </c>
      <c r="B125" s="6"/>
      <c r="C125" s="7" t="s">
        <v>14</v>
      </c>
      <c r="D125" s="6" t="s">
        <v>9</v>
      </c>
      <c r="E125" s="7" t="s">
        <v>11</v>
      </c>
      <c r="F125" s="9"/>
      <c r="G125" s="17">
        <v>31.27</v>
      </c>
      <c r="H125" s="8">
        <v>50000</v>
      </c>
      <c r="I125" s="9">
        <v>0</v>
      </c>
    </row>
    <row r="126" spans="1:9" x14ac:dyDescent="0.3">
      <c r="A126" s="4">
        <v>22</v>
      </c>
      <c r="B126" s="5">
        <v>45258</v>
      </c>
      <c r="C126" s="7" t="s">
        <v>8</v>
      </c>
      <c r="D126" s="6" t="s">
        <v>9</v>
      </c>
      <c r="E126" s="7">
        <v>9193</v>
      </c>
      <c r="F126" s="8">
        <v>1599</v>
      </c>
      <c r="G126" s="9">
        <v>53.16</v>
      </c>
      <c r="H126" s="8">
        <v>85000</v>
      </c>
      <c r="I126" s="8">
        <f>+H126+I124</f>
        <v>1135000</v>
      </c>
    </row>
    <row r="127" spans="1:9" x14ac:dyDescent="0.3">
      <c r="A127" s="4">
        <v>23</v>
      </c>
      <c r="B127" s="6"/>
      <c r="C127" s="7" t="s">
        <v>14</v>
      </c>
      <c r="D127" s="6" t="s">
        <v>9</v>
      </c>
      <c r="E127" s="7" t="s">
        <v>11</v>
      </c>
      <c r="F127" s="9"/>
      <c r="G127" s="17">
        <v>53.16</v>
      </c>
      <c r="H127" s="8">
        <v>85000</v>
      </c>
      <c r="I127" s="9">
        <v>0</v>
      </c>
    </row>
    <row r="128" spans="1:9" x14ac:dyDescent="0.3">
      <c r="A128" s="4">
        <v>24</v>
      </c>
      <c r="B128" s="5">
        <v>45257</v>
      </c>
      <c r="C128" s="7" t="s">
        <v>8</v>
      </c>
      <c r="D128" s="6" t="s">
        <v>9</v>
      </c>
      <c r="E128" s="7">
        <v>9273</v>
      </c>
      <c r="F128" s="8">
        <v>1599</v>
      </c>
      <c r="G128" s="9">
        <v>55.03</v>
      </c>
      <c r="H128" s="8">
        <v>88000</v>
      </c>
      <c r="I128" s="8">
        <f>+H128+I126</f>
        <v>1223000</v>
      </c>
    </row>
    <row r="129" spans="1:9" x14ac:dyDescent="0.3">
      <c r="A129" s="4">
        <v>25</v>
      </c>
      <c r="B129" s="6"/>
      <c r="C129" s="7" t="s">
        <v>14</v>
      </c>
      <c r="D129" s="6" t="s">
        <v>9</v>
      </c>
      <c r="E129" s="7" t="s">
        <v>11</v>
      </c>
      <c r="F129" s="9"/>
      <c r="G129" s="17">
        <v>55.03</v>
      </c>
      <c r="H129" s="8">
        <v>88000</v>
      </c>
      <c r="I129" s="9">
        <v>0</v>
      </c>
    </row>
    <row r="130" spans="1:9" x14ac:dyDescent="0.3">
      <c r="A130" s="4">
        <v>26</v>
      </c>
      <c r="B130" s="6"/>
      <c r="C130" s="7"/>
      <c r="D130" s="6" t="s">
        <v>9</v>
      </c>
      <c r="E130" s="7" t="s">
        <v>21</v>
      </c>
      <c r="F130" s="9"/>
      <c r="G130" s="9">
        <v>764.85</v>
      </c>
      <c r="H130" s="8">
        <f>SUM(H129,H127,H125,H123,H121,H119,H117,H115,H113,H110,H108,H106)</f>
        <v>1223000</v>
      </c>
      <c r="I130" s="9">
        <v>0</v>
      </c>
    </row>
    <row r="131" spans="1:9" x14ac:dyDescent="0.3">
      <c r="A131" s="4">
        <v>27</v>
      </c>
      <c r="B131" s="6"/>
      <c r="C131" s="7" t="s">
        <v>504</v>
      </c>
      <c r="D131" s="6" t="s">
        <v>505</v>
      </c>
      <c r="E131" s="7"/>
      <c r="F131" s="9"/>
      <c r="G131" s="9">
        <v>764.85</v>
      </c>
      <c r="H131" s="8">
        <f>H130</f>
        <v>1223000</v>
      </c>
      <c r="I131" s="8">
        <f>+I128</f>
        <v>1223000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97"/>
  <sheetViews>
    <sheetView showGridLines="0" tabSelected="1" workbookViewId="0">
      <selection activeCell="K93" sqref="K93"/>
    </sheetView>
  </sheetViews>
  <sheetFormatPr defaultRowHeight="13.5" x14ac:dyDescent="0.25"/>
  <cols>
    <col min="1" max="1" width="4.875" style="14" bestFit="1" customWidth="1"/>
    <col min="2" max="2" width="9.75" style="14" bestFit="1" customWidth="1"/>
    <col min="3" max="3" width="6.75" style="14" bestFit="1" customWidth="1"/>
    <col min="4" max="4" width="10" style="14" bestFit="1" customWidth="1"/>
    <col min="5" max="5" width="6.75" style="14" bestFit="1" customWidth="1"/>
    <col min="6" max="6" width="7.125" style="14" bestFit="1" customWidth="1"/>
    <col min="7" max="8" width="8.375" style="14" bestFit="1" customWidth="1"/>
    <col min="9" max="9" width="6.75" style="14" bestFit="1" customWidth="1"/>
    <col min="10" max="16384" width="9" style="14"/>
  </cols>
  <sheetData>
    <row r="1" spans="1:9" x14ac:dyDescent="0.25">
      <c r="A1" s="14" t="s">
        <v>509</v>
      </c>
      <c r="B1" s="14" t="s">
        <v>22</v>
      </c>
      <c r="C1" s="14" t="s">
        <v>23</v>
      </c>
      <c r="D1" s="14" t="s">
        <v>3</v>
      </c>
      <c r="E1" s="14" t="s">
        <v>24</v>
      </c>
      <c r="F1" s="14" t="s">
        <v>25</v>
      </c>
      <c r="G1" s="14" t="s">
        <v>510</v>
      </c>
      <c r="H1" s="14" t="s">
        <v>511</v>
      </c>
      <c r="I1" s="14" t="s">
        <v>486</v>
      </c>
    </row>
    <row r="2" spans="1:9" x14ac:dyDescent="0.25">
      <c r="A2" s="14">
        <f t="shared" ref="A2:A33" si="0">ROW()-1</f>
        <v>1</v>
      </c>
      <c r="B2" s="13">
        <v>45225</v>
      </c>
      <c r="C2" s="14" t="s">
        <v>26</v>
      </c>
      <c r="D2" s="15" t="s">
        <v>27</v>
      </c>
      <c r="E2" s="18">
        <v>23.54</v>
      </c>
      <c r="F2" s="16">
        <v>40000</v>
      </c>
    </row>
    <row r="3" spans="1:9" x14ac:dyDescent="0.25">
      <c r="A3" s="14">
        <f t="shared" si="0"/>
        <v>2</v>
      </c>
      <c r="B3" s="13">
        <v>45229</v>
      </c>
      <c r="C3" s="14" t="s">
        <v>26</v>
      </c>
      <c r="D3" s="15" t="s">
        <v>27</v>
      </c>
      <c r="E3" s="18">
        <v>23.54</v>
      </c>
      <c r="F3" s="16">
        <v>40000</v>
      </c>
    </row>
    <row r="4" spans="1:9" x14ac:dyDescent="0.25">
      <c r="A4" s="14">
        <f t="shared" si="0"/>
        <v>3</v>
      </c>
      <c r="B4" s="13">
        <v>45233</v>
      </c>
      <c r="C4" s="14" t="s">
        <v>26</v>
      </c>
      <c r="D4" s="15" t="s">
        <v>27</v>
      </c>
      <c r="E4" s="18">
        <v>23.54</v>
      </c>
      <c r="F4" s="16">
        <v>40000</v>
      </c>
    </row>
    <row r="5" spans="1:9" x14ac:dyDescent="0.25">
      <c r="A5" s="14">
        <f t="shared" si="0"/>
        <v>4</v>
      </c>
      <c r="B5" s="13">
        <v>45236</v>
      </c>
      <c r="C5" s="14" t="s">
        <v>26</v>
      </c>
      <c r="D5" s="15" t="s">
        <v>27</v>
      </c>
      <c r="E5" s="18">
        <v>29.43</v>
      </c>
      <c r="F5" s="16">
        <v>50000</v>
      </c>
    </row>
    <row r="6" spans="1:9" x14ac:dyDescent="0.25">
      <c r="A6" s="14">
        <f t="shared" si="0"/>
        <v>5</v>
      </c>
      <c r="B6" s="13">
        <v>45240</v>
      </c>
      <c r="C6" s="14" t="s">
        <v>26</v>
      </c>
      <c r="D6" s="15" t="s">
        <v>27</v>
      </c>
      <c r="E6" s="18">
        <v>29.43</v>
      </c>
      <c r="F6" s="16">
        <v>50000</v>
      </c>
    </row>
    <row r="7" spans="1:9" x14ac:dyDescent="0.25">
      <c r="A7" s="14">
        <f t="shared" si="0"/>
        <v>6</v>
      </c>
      <c r="B7" s="13">
        <v>45243</v>
      </c>
      <c r="C7" s="14" t="s">
        <v>26</v>
      </c>
      <c r="D7" s="15" t="s">
        <v>27</v>
      </c>
      <c r="E7" s="18">
        <v>29.8</v>
      </c>
      <c r="F7" s="16">
        <v>50000</v>
      </c>
    </row>
    <row r="8" spans="1:9" x14ac:dyDescent="0.25">
      <c r="A8" s="14">
        <f t="shared" si="0"/>
        <v>7</v>
      </c>
      <c r="B8" s="13">
        <v>45247</v>
      </c>
      <c r="C8" s="14" t="s">
        <v>26</v>
      </c>
      <c r="D8" s="15" t="s">
        <v>27</v>
      </c>
      <c r="E8" s="18">
        <v>24.13</v>
      </c>
      <c r="F8" s="16">
        <v>40000</v>
      </c>
    </row>
    <row r="9" spans="1:9" x14ac:dyDescent="0.25">
      <c r="A9" s="14">
        <f t="shared" si="0"/>
        <v>8</v>
      </c>
      <c r="B9" s="13">
        <v>45253</v>
      </c>
      <c r="C9" s="14" t="s">
        <v>26</v>
      </c>
      <c r="D9" s="15" t="s">
        <v>27</v>
      </c>
      <c r="E9" s="18">
        <v>30.16</v>
      </c>
      <c r="F9" s="16">
        <v>50000</v>
      </c>
    </row>
    <row r="10" spans="1:9" x14ac:dyDescent="0.25">
      <c r="A10" s="14">
        <f t="shared" si="0"/>
        <v>9</v>
      </c>
      <c r="B10" s="13">
        <v>45256</v>
      </c>
      <c r="C10" s="14" t="s">
        <v>26</v>
      </c>
      <c r="D10" s="15" t="s">
        <v>27</v>
      </c>
      <c r="E10" s="18">
        <v>25.02</v>
      </c>
      <c r="F10" s="16">
        <v>40000</v>
      </c>
    </row>
    <row r="11" spans="1:9" x14ac:dyDescent="0.25">
      <c r="A11" s="14">
        <f t="shared" si="0"/>
        <v>10</v>
      </c>
      <c r="B11" s="13">
        <v>45231</v>
      </c>
      <c r="C11" s="14" t="s">
        <v>26</v>
      </c>
      <c r="D11" s="15" t="s">
        <v>28</v>
      </c>
      <c r="E11" s="18">
        <v>67.69</v>
      </c>
      <c r="F11" s="16">
        <v>115000</v>
      </c>
    </row>
    <row r="12" spans="1:9" x14ac:dyDescent="0.25">
      <c r="A12" s="14">
        <f t="shared" si="0"/>
        <v>11</v>
      </c>
      <c r="B12" s="13">
        <v>45239</v>
      </c>
      <c r="C12" s="14" t="s">
        <v>26</v>
      </c>
      <c r="D12" s="15" t="s">
        <v>28</v>
      </c>
      <c r="E12" s="18">
        <v>61.8</v>
      </c>
      <c r="F12" s="16">
        <v>105000</v>
      </c>
    </row>
    <row r="13" spans="1:9" x14ac:dyDescent="0.25">
      <c r="A13" s="14">
        <f t="shared" si="0"/>
        <v>12</v>
      </c>
      <c r="B13" s="13">
        <v>45254</v>
      </c>
      <c r="C13" s="14" t="s">
        <v>13</v>
      </c>
      <c r="D13" s="15" t="s">
        <v>29</v>
      </c>
      <c r="E13" s="18">
        <v>30.43</v>
      </c>
      <c r="F13" s="16">
        <v>50000</v>
      </c>
    </row>
    <row r="14" spans="1:9" x14ac:dyDescent="0.25">
      <c r="A14" s="14">
        <f t="shared" si="0"/>
        <v>13</v>
      </c>
      <c r="B14" s="13">
        <v>45227</v>
      </c>
      <c r="C14" s="14" t="s">
        <v>26</v>
      </c>
      <c r="D14" s="15" t="s">
        <v>30</v>
      </c>
      <c r="E14" s="18">
        <v>150.09</v>
      </c>
      <c r="F14" s="16">
        <v>255000</v>
      </c>
    </row>
    <row r="15" spans="1:9" x14ac:dyDescent="0.25">
      <c r="A15" s="14">
        <f t="shared" si="0"/>
        <v>14</v>
      </c>
      <c r="B15" s="13">
        <v>45232</v>
      </c>
      <c r="C15" s="14" t="s">
        <v>26</v>
      </c>
      <c r="D15" s="15" t="s">
        <v>30</v>
      </c>
      <c r="E15" s="18">
        <v>80.64</v>
      </c>
      <c r="F15" s="16">
        <v>137000</v>
      </c>
    </row>
    <row r="16" spans="1:9" x14ac:dyDescent="0.25">
      <c r="A16" s="14">
        <f t="shared" si="0"/>
        <v>15</v>
      </c>
      <c r="B16" s="13">
        <v>45238</v>
      </c>
      <c r="C16" s="14" t="s">
        <v>26</v>
      </c>
      <c r="D16" s="15" t="s">
        <v>30</v>
      </c>
      <c r="E16" s="18">
        <v>144.19999999999999</v>
      </c>
      <c r="F16" s="16">
        <v>245000</v>
      </c>
    </row>
    <row r="17" spans="1:6" x14ac:dyDescent="0.25">
      <c r="A17" s="14">
        <f t="shared" si="0"/>
        <v>16</v>
      </c>
      <c r="B17" s="13">
        <v>45241</v>
      </c>
      <c r="C17" s="14" t="s">
        <v>26</v>
      </c>
      <c r="D17" s="15" t="s">
        <v>30</v>
      </c>
      <c r="E17" s="18">
        <v>77.099999999999994</v>
      </c>
      <c r="F17" s="16">
        <v>131000</v>
      </c>
    </row>
    <row r="18" spans="1:6" x14ac:dyDescent="0.25">
      <c r="A18" s="14">
        <f t="shared" si="0"/>
        <v>17</v>
      </c>
      <c r="B18" s="13">
        <v>45246</v>
      </c>
      <c r="C18" s="14" t="s">
        <v>26</v>
      </c>
      <c r="D18" s="15" t="s">
        <v>30</v>
      </c>
      <c r="E18" s="18">
        <v>147.79</v>
      </c>
      <c r="F18" s="16">
        <v>248000</v>
      </c>
    </row>
    <row r="19" spans="1:6" x14ac:dyDescent="0.25">
      <c r="A19" s="14">
        <f t="shared" si="0"/>
        <v>18</v>
      </c>
      <c r="B19" s="13">
        <v>45253</v>
      </c>
      <c r="C19" s="14" t="s">
        <v>26</v>
      </c>
      <c r="D19" s="15" t="s">
        <v>30</v>
      </c>
      <c r="E19" s="18">
        <v>141.13</v>
      </c>
      <c r="F19" s="16">
        <v>234000</v>
      </c>
    </row>
    <row r="20" spans="1:6" x14ac:dyDescent="0.25">
      <c r="A20" s="14">
        <f t="shared" si="0"/>
        <v>19</v>
      </c>
      <c r="B20" s="13">
        <v>45229</v>
      </c>
      <c r="C20" s="14" t="s">
        <v>26</v>
      </c>
      <c r="D20" s="15" t="s">
        <v>31</v>
      </c>
      <c r="E20" s="18">
        <v>36.49</v>
      </c>
      <c r="F20" s="16">
        <v>62000</v>
      </c>
    </row>
    <row r="21" spans="1:6" x14ac:dyDescent="0.25">
      <c r="A21" s="14">
        <f t="shared" si="0"/>
        <v>20</v>
      </c>
      <c r="B21" s="13">
        <v>45233</v>
      </c>
      <c r="C21" s="14" t="s">
        <v>26</v>
      </c>
      <c r="D21" s="15" t="s">
        <v>31</v>
      </c>
      <c r="E21" s="18">
        <v>44.73</v>
      </c>
      <c r="F21" s="16">
        <v>76000</v>
      </c>
    </row>
    <row r="22" spans="1:6" x14ac:dyDescent="0.25">
      <c r="A22" s="14">
        <f t="shared" si="0"/>
        <v>21</v>
      </c>
      <c r="B22" s="13">
        <v>45236</v>
      </c>
      <c r="C22" s="14" t="s">
        <v>26</v>
      </c>
      <c r="D22" s="15" t="s">
        <v>31</v>
      </c>
      <c r="E22" s="18">
        <v>41.2</v>
      </c>
      <c r="F22" s="16">
        <v>70000</v>
      </c>
    </row>
    <row r="23" spans="1:6" x14ac:dyDescent="0.25">
      <c r="A23" s="14">
        <f t="shared" si="0"/>
        <v>22</v>
      </c>
      <c r="B23" s="13">
        <v>45239</v>
      </c>
      <c r="C23" s="14" t="s">
        <v>26</v>
      </c>
      <c r="D23" s="15" t="s">
        <v>31</v>
      </c>
      <c r="E23" s="18">
        <v>40.61</v>
      </c>
      <c r="F23" s="16">
        <v>69000</v>
      </c>
    </row>
    <row r="24" spans="1:6" x14ac:dyDescent="0.25">
      <c r="A24" s="14">
        <f t="shared" si="0"/>
        <v>23</v>
      </c>
      <c r="B24" s="13">
        <v>45243</v>
      </c>
      <c r="C24" s="14" t="s">
        <v>26</v>
      </c>
      <c r="D24" s="15" t="s">
        <v>31</v>
      </c>
      <c r="E24" s="18">
        <v>57.21</v>
      </c>
      <c r="F24" s="16">
        <v>96000</v>
      </c>
    </row>
    <row r="25" spans="1:6" x14ac:dyDescent="0.25">
      <c r="A25" s="14">
        <f t="shared" si="0"/>
        <v>24</v>
      </c>
      <c r="B25" s="13">
        <v>45246</v>
      </c>
      <c r="C25" s="14" t="s">
        <v>26</v>
      </c>
      <c r="D25" s="15" t="s">
        <v>31</v>
      </c>
      <c r="E25" s="18">
        <v>42.91</v>
      </c>
      <c r="F25" s="16">
        <v>72000</v>
      </c>
    </row>
    <row r="26" spans="1:6" x14ac:dyDescent="0.25">
      <c r="A26" s="14">
        <f t="shared" si="0"/>
        <v>25</v>
      </c>
      <c r="B26" s="13">
        <v>45250</v>
      </c>
      <c r="C26" s="14" t="s">
        <v>26</v>
      </c>
      <c r="D26" s="15" t="s">
        <v>31</v>
      </c>
      <c r="E26" s="18">
        <v>36.19</v>
      </c>
      <c r="F26" s="16">
        <v>60000</v>
      </c>
    </row>
    <row r="27" spans="1:6" x14ac:dyDescent="0.25">
      <c r="A27" s="14">
        <f t="shared" si="0"/>
        <v>26</v>
      </c>
      <c r="B27" s="13">
        <v>45254</v>
      </c>
      <c r="C27" s="14" t="s">
        <v>26</v>
      </c>
      <c r="D27" s="15" t="s">
        <v>31</v>
      </c>
      <c r="E27" s="18">
        <v>55.03</v>
      </c>
      <c r="F27" s="16">
        <v>88000</v>
      </c>
    </row>
    <row r="28" spans="1:6" x14ac:dyDescent="0.25">
      <c r="A28" s="14">
        <f t="shared" si="0"/>
        <v>27</v>
      </c>
      <c r="B28" s="13">
        <v>45231</v>
      </c>
      <c r="C28" s="14" t="s">
        <v>26</v>
      </c>
      <c r="D28" s="15" t="s">
        <v>32</v>
      </c>
      <c r="E28" s="18">
        <v>29.43</v>
      </c>
      <c r="F28" s="16">
        <v>50000</v>
      </c>
    </row>
    <row r="29" spans="1:6" x14ac:dyDescent="0.25">
      <c r="A29" s="14">
        <f t="shared" si="0"/>
        <v>28</v>
      </c>
      <c r="B29" s="13">
        <v>45240</v>
      </c>
      <c r="C29" s="14" t="s">
        <v>26</v>
      </c>
      <c r="D29" s="15" t="s">
        <v>32</v>
      </c>
      <c r="E29" s="18">
        <v>29.43</v>
      </c>
      <c r="F29" s="16">
        <v>50000</v>
      </c>
    </row>
    <row r="30" spans="1:6" x14ac:dyDescent="0.25">
      <c r="A30" s="14">
        <f t="shared" si="0"/>
        <v>29</v>
      </c>
      <c r="B30" s="13">
        <v>45243</v>
      </c>
      <c r="C30" s="14" t="s">
        <v>26</v>
      </c>
      <c r="D30" s="15" t="s">
        <v>32</v>
      </c>
      <c r="E30" s="18">
        <v>29.8</v>
      </c>
      <c r="F30" s="16">
        <v>50000</v>
      </c>
    </row>
    <row r="31" spans="1:6" x14ac:dyDescent="0.25">
      <c r="A31" s="14">
        <f t="shared" si="0"/>
        <v>30</v>
      </c>
      <c r="B31" s="13">
        <v>45251</v>
      </c>
      <c r="C31" s="14" t="s">
        <v>26</v>
      </c>
      <c r="D31" s="15" t="s">
        <v>32</v>
      </c>
      <c r="E31" s="18">
        <v>30.16</v>
      </c>
      <c r="F31" s="16">
        <v>50000</v>
      </c>
    </row>
    <row r="32" spans="1:6" x14ac:dyDescent="0.25">
      <c r="A32" s="14">
        <f t="shared" si="0"/>
        <v>31</v>
      </c>
      <c r="B32" s="13">
        <v>45236</v>
      </c>
      <c r="C32" s="14" t="s">
        <v>26</v>
      </c>
      <c r="D32" s="15" t="s">
        <v>33</v>
      </c>
      <c r="E32" s="18">
        <v>48.26</v>
      </c>
      <c r="F32" s="16">
        <v>82000</v>
      </c>
    </row>
    <row r="33" spans="1:6" x14ac:dyDescent="0.25">
      <c r="A33" s="14">
        <f t="shared" si="0"/>
        <v>32</v>
      </c>
      <c r="B33" s="13">
        <v>45246</v>
      </c>
      <c r="C33" s="14" t="s">
        <v>26</v>
      </c>
      <c r="D33" s="15" t="s">
        <v>33</v>
      </c>
      <c r="E33" s="18">
        <v>29.8</v>
      </c>
      <c r="F33" s="16">
        <v>50000</v>
      </c>
    </row>
    <row r="34" spans="1:6" x14ac:dyDescent="0.25">
      <c r="A34" s="14">
        <f t="shared" ref="A34:A65" si="1">ROW()-1</f>
        <v>33</v>
      </c>
      <c r="B34" s="13">
        <v>45225</v>
      </c>
      <c r="C34" s="14" t="s">
        <v>26</v>
      </c>
      <c r="D34" s="15" t="s">
        <v>34</v>
      </c>
      <c r="E34" s="18">
        <v>236.02</v>
      </c>
      <c r="F34" s="16">
        <v>401000</v>
      </c>
    </row>
    <row r="35" spans="1:6" x14ac:dyDescent="0.25">
      <c r="A35" s="14">
        <f t="shared" si="1"/>
        <v>34</v>
      </c>
      <c r="B35" s="13">
        <v>45232</v>
      </c>
      <c r="C35" s="14" t="s">
        <v>26</v>
      </c>
      <c r="D35" s="15" t="s">
        <v>34</v>
      </c>
      <c r="E35" s="18">
        <v>184.23</v>
      </c>
      <c r="F35" s="16">
        <v>313000</v>
      </c>
    </row>
    <row r="36" spans="1:6" x14ac:dyDescent="0.25">
      <c r="A36" s="14">
        <f t="shared" si="1"/>
        <v>35</v>
      </c>
      <c r="B36" s="13">
        <v>45236</v>
      </c>
      <c r="C36" s="14" t="s">
        <v>26</v>
      </c>
      <c r="D36" s="15" t="s">
        <v>34</v>
      </c>
      <c r="E36" s="18">
        <v>235.43</v>
      </c>
      <c r="F36" s="16">
        <v>400000</v>
      </c>
    </row>
    <row r="37" spans="1:6" x14ac:dyDescent="0.25">
      <c r="A37" s="14">
        <f t="shared" si="1"/>
        <v>36</v>
      </c>
      <c r="B37" s="13">
        <v>45243</v>
      </c>
      <c r="C37" s="14" t="s">
        <v>26</v>
      </c>
      <c r="D37" s="15" t="s">
        <v>34</v>
      </c>
      <c r="E37" s="18">
        <v>284.10000000000002</v>
      </c>
      <c r="F37" s="16">
        <v>477000</v>
      </c>
    </row>
    <row r="38" spans="1:6" x14ac:dyDescent="0.25">
      <c r="A38" s="14">
        <f t="shared" si="1"/>
        <v>37</v>
      </c>
      <c r="B38" s="13">
        <v>45248</v>
      </c>
      <c r="C38" s="14" t="s">
        <v>26</v>
      </c>
      <c r="D38" s="15" t="s">
        <v>34</v>
      </c>
      <c r="E38" s="18">
        <v>193.61</v>
      </c>
      <c r="F38" s="16">
        <v>321000</v>
      </c>
    </row>
    <row r="39" spans="1:6" x14ac:dyDescent="0.25">
      <c r="A39" s="14">
        <f t="shared" si="1"/>
        <v>38</v>
      </c>
      <c r="B39" s="13">
        <v>45255</v>
      </c>
      <c r="C39" s="14" t="s">
        <v>26</v>
      </c>
      <c r="D39" s="15" t="s">
        <v>34</v>
      </c>
      <c r="E39" s="18">
        <v>263.29000000000002</v>
      </c>
      <c r="F39" s="16">
        <v>421000</v>
      </c>
    </row>
    <row r="40" spans="1:6" x14ac:dyDescent="0.25">
      <c r="A40" s="14">
        <f t="shared" si="1"/>
        <v>39</v>
      </c>
      <c r="B40" s="13">
        <v>45231</v>
      </c>
      <c r="C40" s="14" t="s">
        <v>26</v>
      </c>
      <c r="D40" s="15" t="s">
        <v>35</v>
      </c>
      <c r="E40" s="18">
        <v>45.91</v>
      </c>
      <c r="F40" s="16">
        <v>78000</v>
      </c>
    </row>
    <row r="41" spans="1:6" x14ac:dyDescent="0.25">
      <c r="A41" s="14">
        <f t="shared" si="1"/>
        <v>40</v>
      </c>
      <c r="B41" s="13">
        <v>45236</v>
      </c>
      <c r="C41" s="14" t="s">
        <v>26</v>
      </c>
      <c r="D41" s="15" t="s">
        <v>35</v>
      </c>
      <c r="E41" s="18">
        <v>41.2</v>
      </c>
      <c r="F41" s="16">
        <v>70000</v>
      </c>
    </row>
    <row r="42" spans="1:6" x14ac:dyDescent="0.25">
      <c r="A42" s="14">
        <f t="shared" si="1"/>
        <v>41</v>
      </c>
      <c r="B42" s="13">
        <v>45241</v>
      </c>
      <c r="C42" s="14" t="s">
        <v>26</v>
      </c>
      <c r="D42" s="15" t="s">
        <v>35</v>
      </c>
      <c r="E42" s="18">
        <v>50.03</v>
      </c>
      <c r="F42" s="16">
        <v>85000</v>
      </c>
    </row>
    <row r="43" spans="1:6" x14ac:dyDescent="0.25">
      <c r="A43" s="14">
        <f t="shared" si="1"/>
        <v>42</v>
      </c>
      <c r="B43" s="13">
        <v>45240</v>
      </c>
      <c r="C43" s="14" t="s">
        <v>13</v>
      </c>
      <c r="D43" s="15" t="s">
        <v>36</v>
      </c>
      <c r="E43" s="18">
        <v>52.87</v>
      </c>
      <c r="F43" s="16">
        <v>93000</v>
      </c>
    </row>
    <row r="44" spans="1:6" x14ac:dyDescent="0.25">
      <c r="A44" s="14">
        <f t="shared" si="1"/>
        <v>43</v>
      </c>
      <c r="B44" s="13">
        <v>45230</v>
      </c>
      <c r="C44" s="14" t="s">
        <v>26</v>
      </c>
      <c r="D44" s="15" t="s">
        <v>37</v>
      </c>
      <c r="E44" s="18">
        <v>124.19</v>
      </c>
      <c r="F44" s="16">
        <v>211000</v>
      </c>
    </row>
    <row r="45" spans="1:6" x14ac:dyDescent="0.25">
      <c r="A45" s="14">
        <f t="shared" si="1"/>
        <v>44</v>
      </c>
      <c r="B45" s="13">
        <v>45238</v>
      </c>
      <c r="C45" s="14" t="s">
        <v>26</v>
      </c>
      <c r="D45" s="15" t="s">
        <v>37</v>
      </c>
      <c r="E45" s="18">
        <v>146.56</v>
      </c>
      <c r="F45" s="16">
        <v>249000</v>
      </c>
    </row>
    <row r="46" spans="1:6" x14ac:dyDescent="0.25">
      <c r="A46" s="14">
        <f t="shared" si="1"/>
        <v>45</v>
      </c>
      <c r="B46" s="13">
        <v>45245</v>
      </c>
      <c r="C46" s="14" t="s">
        <v>26</v>
      </c>
      <c r="D46" s="15" t="s">
        <v>37</v>
      </c>
      <c r="E46" s="18">
        <v>131.69999999999999</v>
      </c>
      <c r="F46" s="16">
        <v>221000</v>
      </c>
    </row>
    <row r="47" spans="1:6" x14ac:dyDescent="0.25">
      <c r="A47" s="14">
        <f t="shared" si="1"/>
        <v>46</v>
      </c>
      <c r="B47" s="13">
        <v>45250</v>
      </c>
      <c r="C47" s="14" t="s">
        <v>26</v>
      </c>
      <c r="D47" s="15" t="s">
        <v>37</v>
      </c>
      <c r="E47" s="18">
        <v>126.06</v>
      </c>
      <c r="F47" s="16">
        <v>209000</v>
      </c>
    </row>
    <row r="48" spans="1:6" x14ac:dyDescent="0.25">
      <c r="A48" s="14">
        <f t="shared" si="1"/>
        <v>47</v>
      </c>
      <c r="B48" s="13">
        <v>45229</v>
      </c>
      <c r="C48" s="14" t="s">
        <v>26</v>
      </c>
      <c r="D48" s="15" t="s">
        <v>38</v>
      </c>
      <c r="E48" s="18">
        <v>23.54</v>
      </c>
      <c r="F48" s="16">
        <v>40000</v>
      </c>
    </row>
    <row r="49" spans="1:6" x14ac:dyDescent="0.25">
      <c r="A49" s="14">
        <f t="shared" si="1"/>
        <v>48</v>
      </c>
      <c r="B49" s="13">
        <v>45230</v>
      </c>
      <c r="C49" s="14" t="s">
        <v>26</v>
      </c>
      <c r="D49" s="15" t="s">
        <v>39</v>
      </c>
      <c r="E49" s="18">
        <v>55.92</v>
      </c>
      <c r="F49" s="16">
        <v>95000</v>
      </c>
    </row>
    <row r="50" spans="1:6" x14ac:dyDescent="0.25">
      <c r="A50" s="14">
        <f t="shared" si="1"/>
        <v>49</v>
      </c>
      <c r="B50" s="13">
        <v>45235</v>
      </c>
      <c r="C50" s="14" t="s">
        <v>26</v>
      </c>
      <c r="D50" s="15" t="s">
        <v>39</v>
      </c>
      <c r="E50" s="18">
        <v>48.85</v>
      </c>
      <c r="F50" s="16">
        <v>83000</v>
      </c>
    </row>
    <row r="51" spans="1:6" x14ac:dyDescent="0.25">
      <c r="A51" s="14">
        <f t="shared" si="1"/>
        <v>50</v>
      </c>
      <c r="B51" s="13">
        <v>45238</v>
      </c>
      <c r="C51" s="14" t="s">
        <v>26</v>
      </c>
      <c r="D51" s="15" t="s">
        <v>39</v>
      </c>
      <c r="E51" s="18">
        <v>56.5</v>
      </c>
      <c r="F51" s="16">
        <v>96000</v>
      </c>
    </row>
    <row r="52" spans="1:6" x14ac:dyDescent="0.25">
      <c r="A52" s="14">
        <f t="shared" si="1"/>
        <v>51</v>
      </c>
      <c r="B52" s="13">
        <v>45245</v>
      </c>
      <c r="C52" s="14" t="s">
        <v>26</v>
      </c>
      <c r="D52" s="15" t="s">
        <v>39</v>
      </c>
      <c r="E52" s="18">
        <v>57.21</v>
      </c>
      <c r="F52" s="16">
        <v>96000</v>
      </c>
    </row>
    <row r="53" spans="1:6" x14ac:dyDescent="0.25">
      <c r="A53" s="14">
        <f t="shared" si="1"/>
        <v>52</v>
      </c>
      <c r="B53" s="13">
        <v>45256</v>
      </c>
      <c r="C53" s="14" t="s">
        <v>26</v>
      </c>
      <c r="D53" s="15" t="s">
        <v>39</v>
      </c>
      <c r="E53" s="18">
        <v>55.66</v>
      </c>
      <c r="F53" s="16">
        <v>89000</v>
      </c>
    </row>
    <row r="54" spans="1:6" x14ac:dyDescent="0.25">
      <c r="A54" s="14">
        <f t="shared" si="1"/>
        <v>53</v>
      </c>
      <c r="B54" s="13">
        <v>45225</v>
      </c>
      <c r="C54" s="14" t="s">
        <v>26</v>
      </c>
      <c r="D54" s="15" t="s">
        <v>40</v>
      </c>
      <c r="E54" s="18">
        <v>34.729999999999997</v>
      </c>
      <c r="F54" s="16">
        <v>59000</v>
      </c>
    </row>
    <row r="55" spans="1:6" x14ac:dyDescent="0.25">
      <c r="A55" s="14">
        <f t="shared" si="1"/>
        <v>54</v>
      </c>
      <c r="B55" s="13">
        <v>45227</v>
      </c>
      <c r="C55" s="14" t="s">
        <v>26</v>
      </c>
      <c r="D55" s="15" t="s">
        <v>40</v>
      </c>
      <c r="E55" s="18">
        <v>40.020000000000003</v>
      </c>
      <c r="F55" s="16">
        <v>68000</v>
      </c>
    </row>
    <row r="56" spans="1:6" x14ac:dyDescent="0.25">
      <c r="A56" s="14">
        <f t="shared" si="1"/>
        <v>55</v>
      </c>
      <c r="B56" s="13">
        <v>45233</v>
      </c>
      <c r="C56" s="14" t="s">
        <v>26</v>
      </c>
      <c r="D56" s="15" t="s">
        <v>40</v>
      </c>
      <c r="E56" s="18">
        <v>41.79</v>
      </c>
      <c r="F56" s="16">
        <v>71000</v>
      </c>
    </row>
    <row r="57" spans="1:6" x14ac:dyDescent="0.25">
      <c r="A57" s="14">
        <f t="shared" si="1"/>
        <v>56</v>
      </c>
      <c r="B57" s="13">
        <v>45236</v>
      </c>
      <c r="C57" s="14" t="s">
        <v>26</v>
      </c>
      <c r="D57" s="15" t="s">
        <v>40</v>
      </c>
      <c r="E57" s="18">
        <v>44.14</v>
      </c>
      <c r="F57" s="16">
        <v>75000</v>
      </c>
    </row>
    <row r="58" spans="1:6" x14ac:dyDescent="0.25">
      <c r="A58" s="14">
        <f t="shared" si="1"/>
        <v>57</v>
      </c>
      <c r="B58" s="13">
        <v>45240</v>
      </c>
      <c r="C58" s="14" t="s">
        <v>26</v>
      </c>
      <c r="D58" s="15" t="s">
        <v>40</v>
      </c>
      <c r="E58" s="18">
        <v>42.97</v>
      </c>
      <c r="F58" s="16">
        <v>73000</v>
      </c>
    </row>
    <row r="59" spans="1:6" x14ac:dyDescent="0.25">
      <c r="A59" s="14">
        <f t="shared" si="1"/>
        <v>58</v>
      </c>
      <c r="B59" s="13">
        <v>45246</v>
      </c>
      <c r="C59" s="14" t="s">
        <v>26</v>
      </c>
      <c r="D59" s="15" t="s">
        <v>40</v>
      </c>
      <c r="E59" s="18">
        <v>45.89</v>
      </c>
      <c r="F59" s="16">
        <v>77000</v>
      </c>
    </row>
    <row r="60" spans="1:6" x14ac:dyDescent="0.25">
      <c r="A60" s="14">
        <f t="shared" si="1"/>
        <v>59</v>
      </c>
      <c r="B60" s="13">
        <v>45251</v>
      </c>
      <c r="C60" s="14" t="s">
        <v>26</v>
      </c>
      <c r="D60" s="15" t="s">
        <v>40</v>
      </c>
      <c r="E60" s="18">
        <v>56.09</v>
      </c>
      <c r="F60" s="16">
        <v>93000</v>
      </c>
    </row>
    <row r="61" spans="1:6" x14ac:dyDescent="0.25">
      <c r="A61" s="14">
        <f t="shared" si="1"/>
        <v>60</v>
      </c>
      <c r="B61" s="13">
        <v>45255</v>
      </c>
      <c r="C61" s="14" t="s">
        <v>26</v>
      </c>
      <c r="D61" s="15" t="s">
        <v>40</v>
      </c>
      <c r="E61" s="18">
        <v>51.91</v>
      </c>
      <c r="F61" s="16">
        <v>83000</v>
      </c>
    </row>
    <row r="62" spans="1:6" x14ac:dyDescent="0.25">
      <c r="A62" s="14">
        <f t="shared" si="1"/>
        <v>61</v>
      </c>
      <c r="B62" s="13">
        <v>45230</v>
      </c>
      <c r="C62" s="14" t="s">
        <v>26</v>
      </c>
      <c r="D62" s="15" t="s">
        <v>41</v>
      </c>
      <c r="E62" s="18">
        <v>48.85</v>
      </c>
      <c r="F62" s="16">
        <v>83000</v>
      </c>
    </row>
    <row r="63" spans="1:6" x14ac:dyDescent="0.25">
      <c r="A63" s="14">
        <f t="shared" si="1"/>
        <v>62</v>
      </c>
      <c r="B63" s="13">
        <v>45238</v>
      </c>
      <c r="C63" s="14" t="s">
        <v>26</v>
      </c>
      <c r="D63" s="15" t="s">
        <v>41</v>
      </c>
      <c r="E63" s="18">
        <v>45.32</v>
      </c>
      <c r="F63" s="16">
        <v>77000</v>
      </c>
    </row>
    <row r="64" spans="1:6" x14ac:dyDescent="0.25">
      <c r="A64" s="14">
        <f t="shared" si="1"/>
        <v>63</v>
      </c>
      <c r="B64" s="13">
        <v>45244</v>
      </c>
      <c r="C64" s="14" t="s">
        <v>26</v>
      </c>
      <c r="D64" s="15" t="s">
        <v>41</v>
      </c>
      <c r="E64" s="18">
        <v>47.68</v>
      </c>
      <c r="F64" s="16">
        <v>80000</v>
      </c>
    </row>
    <row r="65" spans="1:6" x14ac:dyDescent="0.25">
      <c r="A65" s="14">
        <f t="shared" si="1"/>
        <v>64</v>
      </c>
      <c r="B65" s="13">
        <v>45250</v>
      </c>
      <c r="C65" s="14" t="s">
        <v>26</v>
      </c>
      <c r="D65" s="15" t="s">
        <v>41</v>
      </c>
      <c r="E65" s="18">
        <v>48.25</v>
      </c>
      <c r="F65" s="16">
        <v>80000</v>
      </c>
    </row>
    <row r="66" spans="1:6" x14ac:dyDescent="0.25">
      <c r="A66" s="14">
        <f t="shared" ref="A66:A97" si="2">ROW()-1</f>
        <v>65</v>
      </c>
      <c r="B66" s="13">
        <v>45232</v>
      </c>
      <c r="C66" s="14" t="s">
        <v>26</v>
      </c>
      <c r="D66" s="15" t="s">
        <v>42</v>
      </c>
      <c r="E66" s="18">
        <v>56.5</v>
      </c>
      <c r="F66" s="16">
        <v>96000</v>
      </c>
    </row>
    <row r="67" spans="1:6" x14ac:dyDescent="0.25">
      <c r="A67" s="14">
        <f t="shared" si="2"/>
        <v>66</v>
      </c>
      <c r="B67" s="13">
        <v>45241</v>
      </c>
      <c r="C67" s="14" t="s">
        <v>26</v>
      </c>
      <c r="D67" s="15" t="s">
        <v>42</v>
      </c>
      <c r="E67" s="18">
        <v>55.33</v>
      </c>
      <c r="F67" s="16">
        <v>94000</v>
      </c>
    </row>
    <row r="68" spans="1:6" x14ac:dyDescent="0.25">
      <c r="A68" s="14">
        <f t="shared" si="2"/>
        <v>67</v>
      </c>
      <c r="B68" s="13">
        <v>45250</v>
      </c>
      <c r="C68" s="14" t="s">
        <v>26</v>
      </c>
      <c r="D68" s="15" t="s">
        <v>42</v>
      </c>
      <c r="E68" s="18">
        <v>54.28</v>
      </c>
      <c r="F68" s="16">
        <v>90000</v>
      </c>
    </row>
    <row r="69" spans="1:6" x14ac:dyDescent="0.25">
      <c r="A69" s="14">
        <f t="shared" si="2"/>
        <v>68</v>
      </c>
      <c r="B69" s="13">
        <v>45231</v>
      </c>
      <c r="C69" s="14" t="s">
        <v>26</v>
      </c>
      <c r="D69" s="15" t="s">
        <v>43</v>
      </c>
      <c r="E69" s="18">
        <v>58.27</v>
      </c>
      <c r="F69" s="16">
        <v>99000</v>
      </c>
    </row>
    <row r="70" spans="1:6" x14ac:dyDescent="0.25">
      <c r="A70" s="14">
        <f t="shared" si="2"/>
        <v>69</v>
      </c>
      <c r="B70" s="13">
        <v>45234</v>
      </c>
      <c r="C70" s="14" t="s">
        <v>26</v>
      </c>
      <c r="D70" s="15" t="s">
        <v>43</v>
      </c>
      <c r="E70" s="18">
        <v>55.33</v>
      </c>
      <c r="F70" s="16">
        <v>94000</v>
      </c>
    </row>
    <row r="71" spans="1:6" x14ac:dyDescent="0.25">
      <c r="A71" s="14">
        <f t="shared" si="2"/>
        <v>70</v>
      </c>
      <c r="B71" s="13">
        <v>45238</v>
      </c>
      <c r="C71" s="14" t="s">
        <v>26</v>
      </c>
      <c r="D71" s="15" t="s">
        <v>43</v>
      </c>
      <c r="E71" s="18">
        <v>57.68</v>
      </c>
      <c r="F71" s="16">
        <v>98000</v>
      </c>
    </row>
    <row r="72" spans="1:6" x14ac:dyDescent="0.25">
      <c r="A72" s="14">
        <f t="shared" si="2"/>
        <v>71</v>
      </c>
      <c r="B72" s="13">
        <v>45243</v>
      </c>
      <c r="C72" s="14" t="s">
        <v>26</v>
      </c>
      <c r="D72" s="15" t="s">
        <v>43</v>
      </c>
      <c r="E72" s="18">
        <v>29.8</v>
      </c>
      <c r="F72" s="16">
        <v>50000</v>
      </c>
    </row>
    <row r="73" spans="1:6" x14ac:dyDescent="0.25">
      <c r="A73" s="14">
        <f t="shared" si="2"/>
        <v>72</v>
      </c>
      <c r="B73" s="13">
        <v>45246</v>
      </c>
      <c r="C73" s="14" t="s">
        <v>26</v>
      </c>
      <c r="D73" s="15" t="s">
        <v>43</v>
      </c>
      <c r="E73" s="18">
        <v>29.8</v>
      </c>
      <c r="F73" s="16">
        <v>50000</v>
      </c>
    </row>
    <row r="74" spans="1:6" x14ac:dyDescent="0.25">
      <c r="A74" s="14">
        <f t="shared" si="2"/>
        <v>73</v>
      </c>
      <c r="B74" s="13">
        <v>45251</v>
      </c>
      <c r="C74" s="14" t="s">
        <v>26</v>
      </c>
      <c r="D74" s="15" t="s">
        <v>43</v>
      </c>
      <c r="E74" s="18">
        <v>30.16</v>
      </c>
      <c r="F74" s="16">
        <v>50000</v>
      </c>
    </row>
    <row r="75" spans="1:6" x14ac:dyDescent="0.25">
      <c r="A75" s="14">
        <f t="shared" si="2"/>
        <v>74</v>
      </c>
      <c r="B75" s="13">
        <v>45226</v>
      </c>
      <c r="C75" s="14" t="s">
        <v>13</v>
      </c>
      <c r="D75" s="15" t="s">
        <v>44</v>
      </c>
      <c r="E75" s="18">
        <v>27.49</v>
      </c>
      <c r="F75" s="16">
        <v>50000</v>
      </c>
    </row>
    <row r="76" spans="1:6" x14ac:dyDescent="0.25">
      <c r="A76" s="14">
        <f t="shared" si="2"/>
        <v>75</v>
      </c>
      <c r="B76" s="13">
        <v>45230</v>
      </c>
      <c r="C76" s="14" t="s">
        <v>26</v>
      </c>
      <c r="D76" s="15" t="s">
        <v>44</v>
      </c>
      <c r="E76" s="18">
        <v>52.97</v>
      </c>
      <c r="F76" s="16">
        <v>90000</v>
      </c>
    </row>
    <row r="77" spans="1:6" x14ac:dyDescent="0.25">
      <c r="A77" s="14">
        <f t="shared" si="2"/>
        <v>76</v>
      </c>
      <c r="B77" s="13">
        <v>45240</v>
      </c>
      <c r="C77" s="14" t="s">
        <v>26</v>
      </c>
      <c r="D77" s="15" t="s">
        <v>44</v>
      </c>
      <c r="E77" s="18">
        <v>56.5</v>
      </c>
      <c r="F77" s="16">
        <v>96000</v>
      </c>
    </row>
    <row r="78" spans="1:6" x14ac:dyDescent="0.25">
      <c r="A78" s="14">
        <f t="shared" si="2"/>
        <v>77</v>
      </c>
      <c r="B78" s="13">
        <v>45249</v>
      </c>
      <c r="C78" s="14" t="s">
        <v>26</v>
      </c>
      <c r="D78" s="15" t="s">
        <v>44</v>
      </c>
      <c r="E78" s="18">
        <v>57.3</v>
      </c>
      <c r="F78" s="16">
        <v>95000</v>
      </c>
    </row>
    <row r="79" spans="1:6" x14ac:dyDescent="0.25">
      <c r="A79" s="14">
        <f t="shared" si="2"/>
        <v>78</v>
      </c>
      <c r="B79" s="13">
        <v>45232</v>
      </c>
      <c r="C79" s="14" t="s">
        <v>26</v>
      </c>
      <c r="D79" s="15" t="s">
        <v>45</v>
      </c>
      <c r="E79" s="18">
        <v>54.74</v>
      </c>
      <c r="F79" s="16">
        <v>93000</v>
      </c>
    </row>
    <row r="80" spans="1:6" x14ac:dyDescent="0.25">
      <c r="A80" s="14">
        <f t="shared" si="2"/>
        <v>79</v>
      </c>
      <c r="B80" s="13">
        <v>45236</v>
      </c>
      <c r="C80" s="14" t="s">
        <v>26</v>
      </c>
      <c r="D80" s="15" t="s">
        <v>45</v>
      </c>
      <c r="E80" s="18">
        <v>52.97</v>
      </c>
      <c r="F80" s="16">
        <v>90000</v>
      </c>
    </row>
    <row r="81" spans="1:6" x14ac:dyDescent="0.25">
      <c r="A81" s="14">
        <f t="shared" si="2"/>
        <v>80</v>
      </c>
      <c r="B81" s="13">
        <v>45240</v>
      </c>
      <c r="C81" s="14" t="s">
        <v>26</v>
      </c>
      <c r="D81" s="15" t="s">
        <v>45</v>
      </c>
      <c r="E81" s="18">
        <v>50.03</v>
      </c>
      <c r="F81" s="16">
        <v>85000</v>
      </c>
    </row>
    <row r="82" spans="1:6" x14ac:dyDescent="0.25">
      <c r="A82" s="14">
        <f t="shared" si="2"/>
        <v>81</v>
      </c>
      <c r="B82" s="13">
        <v>45244</v>
      </c>
      <c r="C82" s="14" t="s">
        <v>26</v>
      </c>
      <c r="D82" s="15" t="s">
        <v>45</v>
      </c>
      <c r="E82" s="18">
        <v>55.42</v>
      </c>
      <c r="F82" s="16">
        <v>93000</v>
      </c>
    </row>
    <row r="83" spans="1:6" x14ac:dyDescent="0.25">
      <c r="A83" s="14">
        <f t="shared" si="2"/>
        <v>82</v>
      </c>
      <c r="B83" s="13">
        <v>45248</v>
      </c>
      <c r="C83" s="14" t="s">
        <v>26</v>
      </c>
      <c r="D83" s="15" t="s">
        <v>45</v>
      </c>
      <c r="E83" s="18">
        <v>56.69</v>
      </c>
      <c r="F83" s="16">
        <v>94000</v>
      </c>
    </row>
    <row r="84" spans="1:6" x14ac:dyDescent="0.25">
      <c r="A84" s="14">
        <f t="shared" si="2"/>
        <v>83</v>
      </c>
      <c r="B84" s="13">
        <v>45252</v>
      </c>
      <c r="C84" s="14" t="s">
        <v>26</v>
      </c>
      <c r="D84" s="15" t="s">
        <v>45</v>
      </c>
      <c r="E84" s="18">
        <v>56.09</v>
      </c>
      <c r="F84" s="16">
        <v>93000</v>
      </c>
    </row>
    <row r="85" spans="1:6" x14ac:dyDescent="0.25">
      <c r="A85" s="14">
        <f t="shared" si="2"/>
        <v>84</v>
      </c>
      <c r="B85" s="13">
        <v>45258</v>
      </c>
      <c r="C85" s="14" t="s">
        <v>26</v>
      </c>
      <c r="D85" s="15" t="s">
        <v>27</v>
      </c>
      <c r="E85" s="18">
        <v>31.27</v>
      </c>
      <c r="F85" s="16">
        <v>50000</v>
      </c>
    </row>
    <row r="86" spans="1:6" x14ac:dyDescent="0.25">
      <c r="A86" s="14">
        <f t="shared" si="2"/>
        <v>85</v>
      </c>
      <c r="B86" s="13">
        <v>45260</v>
      </c>
      <c r="C86" s="14" t="s">
        <v>26</v>
      </c>
      <c r="D86" s="15" t="s">
        <v>28</v>
      </c>
      <c r="E86" s="18">
        <v>61.29</v>
      </c>
      <c r="F86" s="16">
        <v>98000</v>
      </c>
    </row>
    <row r="87" spans="1:6" x14ac:dyDescent="0.25">
      <c r="A87" s="14">
        <f t="shared" si="2"/>
        <v>86</v>
      </c>
      <c r="B87" s="13">
        <v>45259</v>
      </c>
      <c r="C87" s="14" t="s">
        <v>26</v>
      </c>
      <c r="D87" s="15" t="s">
        <v>30</v>
      </c>
      <c r="E87" s="18">
        <v>140.71</v>
      </c>
      <c r="F87" s="16">
        <v>225000</v>
      </c>
    </row>
    <row r="88" spans="1:6" x14ac:dyDescent="0.25">
      <c r="A88" s="14">
        <f t="shared" si="2"/>
        <v>87</v>
      </c>
      <c r="B88" s="13">
        <v>45257</v>
      </c>
      <c r="C88" s="14" t="s">
        <v>26</v>
      </c>
      <c r="D88" s="15" t="s">
        <v>31</v>
      </c>
      <c r="E88" s="18">
        <v>42.53</v>
      </c>
      <c r="F88" s="16">
        <v>68000</v>
      </c>
    </row>
    <row r="89" spans="1:6" x14ac:dyDescent="0.25">
      <c r="A89" s="14">
        <f t="shared" si="2"/>
        <v>88</v>
      </c>
      <c r="B89" s="13">
        <v>45260</v>
      </c>
      <c r="C89" s="14" t="s">
        <v>26</v>
      </c>
      <c r="D89" s="15" t="s">
        <v>31</v>
      </c>
      <c r="E89" s="18">
        <v>18.760000000000002</v>
      </c>
      <c r="F89" s="16">
        <v>30000</v>
      </c>
    </row>
    <row r="90" spans="1:6" x14ac:dyDescent="0.25">
      <c r="A90" s="14">
        <f t="shared" si="2"/>
        <v>89</v>
      </c>
      <c r="B90" s="13">
        <v>45258</v>
      </c>
      <c r="C90" s="14" t="s">
        <v>26</v>
      </c>
      <c r="D90" s="15" t="s">
        <v>32</v>
      </c>
      <c r="E90" s="18">
        <v>31.27</v>
      </c>
      <c r="F90" s="16">
        <v>50000</v>
      </c>
    </row>
    <row r="91" spans="1:6" x14ac:dyDescent="0.25">
      <c r="A91" s="14">
        <f t="shared" si="2"/>
        <v>90</v>
      </c>
      <c r="B91" s="13">
        <v>45260</v>
      </c>
      <c r="C91" s="14" t="s">
        <v>26</v>
      </c>
      <c r="D91" s="15" t="s">
        <v>35</v>
      </c>
      <c r="E91" s="18">
        <v>44.4</v>
      </c>
      <c r="F91" s="16">
        <v>71000</v>
      </c>
    </row>
    <row r="92" spans="1:6" x14ac:dyDescent="0.25">
      <c r="A92" s="14">
        <f t="shared" si="2"/>
        <v>91</v>
      </c>
      <c r="B92" s="13">
        <v>45258</v>
      </c>
      <c r="C92" s="14" t="s">
        <v>26</v>
      </c>
      <c r="D92" s="15" t="s">
        <v>37</v>
      </c>
      <c r="E92" s="18">
        <v>156.35</v>
      </c>
      <c r="F92" s="16">
        <v>250000</v>
      </c>
    </row>
    <row r="93" spans="1:6" x14ac:dyDescent="0.25">
      <c r="A93" s="14">
        <f t="shared" si="2"/>
        <v>92</v>
      </c>
      <c r="B93" s="13">
        <v>45259</v>
      </c>
      <c r="C93" s="14" t="s">
        <v>26</v>
      </c>
      <c r="D93" s="15" t="s">
        <v>40</v>
      </c>
      <c r="E93" s="18">
        <v>51.91</v>
      </c>
      <c r="F93" s="16">
        <v>83000</v>
      </c>
    </row>
    <row r="94" spans="1:6" x14ac:dyDescent="0.25">
      <c r="A94" s="14">
        <f t="shared" si="2"/>
        <v>93</v>
      </c>
      <c r="B94" s="13">
        <v>45257</v>
      </c>
      <c r="C94" s="14" t="s">
        <v>26</v>
      </c>
      <c r="D94" s="15" t="s">
        <v>41</v>
      </c>
      <c r="E94" s="18">
        <v>46.9</v>
      </c>
      <c r="F94" s="16">
        <v>75000</v>
      </c>
    </row>
    <row r="95" spans="1:6" x14ac:dyDescent="0.25">
      <c r="A95" s="14">
        <f t="shared" si="2"/>
        <v>94</v>
      </c>
      <c r="B95" s="13">
        <v>45257</v>
      </c>
      <c r="C95" s="14" t="s">
        <v>26</v>
      </c>
      <c r="D95" s="15" t="s">
        <v>42</v>
      </c>
      <c r="E95" s="18">
        <v>31.27</v>
      </c>
      <c r="F95" s="16">
        <v>50000</v>
      </c>
    </row>
    <row r="96" spans="1:6" x14ac:dyDescent="0.25">
      <c r="A96" s="14">
        <f t="shared" si="2"/>
        <v>95</v>
      </c>
      <c r="B96" s="13">
        <v>45258</v>
      </c>
      <c r="C96" s="14" t="s">
        <v>26</v>
      </c>
      <c r="D96" s="15" t="s">
        <v>44</v>
      </c>
      <c r="E96" s="18">
        <v>53.16</v>
      </c>
      <c r="F96" s="16">
        <v>85000</v>
      </c>
    </row>
    <row r="97" spans="1:6" x14ac:dyDescent="0.25">
      <c r="A97" s="14">
        <f t="shared" si="2"/>
        <v>96</v>
      </c>
      <c r="B97" s="13">
        <v>45257</v>
      </c>
      <c r="C97" s="14" t="s">
        <v>26</v>
      </c>
      <c r="D97" s="15" t="s">
        <v>45</v>
      </c>
      <c r="E97" s="18">
        <v>55.03</v>
      </c>
      <c r="F97" s="16">
        <v>88000</v>
      </c>
    </row>
  </sheetData>
  <autoFilter ref="A1:I9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ansformData2">
                <anchor>
                  <from>
                    <xdr:col>9</xdr:col>
                    <xdr:colOff>180975</xdr:colOff>
                    <xdr:row>0</xdr:row>
                    <xdr:rowOff>104775</xdr:rowOff>
                  </from>
                  <to>
                    <xdr:col>10</xdr:col>
                    <xdr:colOff>180975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DT">
                <anchor>
                  <from>
                    <xdr:col>10</xdr:col>
                    <xdr:colOff>590550</xdr:colOff>
                    <xdr:row>0</xdr:row>
                    <xdr:rowOff>114300</xdr:rowOff>
                  </from>
                  <to>
                    <xdr:col>11</xdr:col>
                    <xdr:colOff>590550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7"/>
  <sheetViews>
    <sheetView workbookViewId="0">
      <selection activeCell="H10" sqref="H10"/>
    </sheetView>
  </sheetViews>
  <sheetFormatPr defaultRowHeight="16.5" x14ac:dyDescent="0.3"/>
  <cols>
    <col min="2" max="2" width="9.75" style="14" bestFit="1" customWidth="1"/>
    <col min="3" max="3" width="6.75" style="14" bestFit="1" customWidth="1"/>
    <col min="4" max="4" width="10" style="14" bestFit="1" customWidth="1"/>
    <col min="5" max="5" width="6.75" style="14" bestFit="1" customWidth="1"/>
    <col min="6" max="6" width="7.125" style="14" bestFit="1" customWidth="1"/>
    <col min="7" max="8" width="7.125" style="14" customWidth="1"/>
    <col min="9" max="9" width="6.75" style="14" bestFit="1" customWidth="1"/>
  </cols>
  <sheetData>
    <row r="1" spans="1:9" x14ac:dyDescent="0.3">
      <c r="A1" t="s">
        <v>508</v>
      </c>
      <c r="B1" s="14" t="s">
        <v>22</v>
      </c>
      <c r="C1" s="14" t="s">
        <v>23</v>
      </c>
      <c r="D1" s="14" t="s">
        <v>3</v>
      </c>
      <c r="E1" s="14" t="s">
        <v>24</v>
      </c>
      <c r="F1" s="14" t="s">
        <v>25</v>
      </c>
      <c r="G1" s="14" t="s">
        <v>506</v>
      </c>
      <c r="H1" s="14" t="s">
        <v>507</v>
      </c>
      <c r="I1" s="14" t="s">
        <v>486</v>
      </c>
    </row>
    <row r="2" spans="1:9" x14ac:dyDescent="0.3">
      <c r="A2">
        <f>ROW()-1</f>
        <v>1</v>
      </c>
      <c r="B2" s="13">
        <v>45225</v>
      </c>
      <c r="C2" s="14" t="s">
        <v>26</v>
      </c>
      <c r="D2" s="15" t="s">
        <v>27</v>
      </c>
      <c r="E2" s="14">
        <v>23.54</v>
      </c>
      <c r="F2" s="16">
        <v>40000</v>
      </c>
      <c r="G2" s="16"/>
      <c r="H2" s="16"/>
    </row>
    <row r="3" spans="1:9" x14ac:dyDescent="0.3">
      <c r="A3">
        <f t="shared" ref="A3:A66" si="0">ROW()-1</f>
        <v>2</v>
      </c>
      <c r="B3" s="13">
        <v>45229</v>
      </c>
      <c r="C3" s="14" t="s">
        <v>26</v>
      </c>
      <c r="D3" s="15" t="s">
        <v>27</v>
      </c>
      <c r="E3" s="14">
        <v>23.54</v>
      </c>
      <c r="F3" s="16">
        <v>40000</v>
      </c>
      <c r="G3" s="16"/>
      <c r="H3" s="16"/>
    </row>
    <row r="4" spans="1:9" x14ac:dyDescent="0.3">
      <c r="A4">
        <f t="shared" si="0"/>
        <v>3</v>
      </c>
      <c r="B4" s="13">
        <v>45233</v>
      </c>
      <c r="C4" s="14" t="s">
        <v>26</v>
      </c>
      <c r="D4" s="15" t="s">
        <v>27</v>
      </c>
      <c r="E4" s="14">
        <v>23.54</v>
      </c>
      <c r="F4" s="16">
        <v>40000</v>
      </c>
      <c r="G4" s="16"/>
      <c r="H4" s="16"/>
    </row>
    <row r="5" spans="1:9" x14ac:dyDescent="0.3">
      <c r="A5">
        <f t="shared" si="0"/>
        <v>4</v>
      </c>
      <c r="B5" s="13">
        <v>45236</v>
      </c>
      <c r="C5" s="14" t="s">
        <v>26</v>
      </c>
      <c r="D5" s="15" t="s">
        <v>27</v>
      </c>
      <c r="E5" s="14">
        <v>29.43</v>
      </c>
      <c r="F5" s="16">
        <v>50000</v>
      </c>
      <c r="G5" s="16"/>
      <c r="H5" s="16"/>
    </row>
    <row r="6" spans="1:9" x14ac:dyDescent="0.3">
      <c r="A6">
        <f t="shared" si="0"/>
        <v>5</v>
      </c>
      <c r="B6" s="13">
        <v>45240</v>
      </c>
      <c r="C6" s="14" t="s">
        <v>26</v>
      </c>
      <c r="D6" s="15" t="s">
        <v>27</v>
      </c>
      <c r="E6" s="14">
        <v>29.43</v>
      </c>
      <c r="F6" s="16">
        <v>50000</v>
      </c>
      <c r="G6" s="16"/>
      <c r="H6" s="16"/>
    </row>
    <row r="7" spans="1:9" x14ac:dyDescent="0.3">
      <c r="A7">
        <f t="shared" si="0"/>
        <v>6</v>
      </c>
      <c r="B7" s="13">
        <v>45243</v>
      </c>
      <c r="C7" s="14" t="s">
        <v>26</v>
      </c>
      <c r="D7" s="15" t="s">
        <v>27</v>
      </c>
      <c r="E7" s="14">
        <v>29.8</v>
      </c>
      <c r="F7" s="16">
        <v>50000</v>
      </c>
      <c r="G7" s="16"/>
      <c r="H7" s="16"/>
    </row>
    <row r="8" spans="1:9" x14ac:dyDescent="0.3">
      <c r="A8">
        <f t="shared" si="0"/>
        <v>7</v>
      </c>
      <c r="B8" s="13">
        <v>45247</v>
      </c>
      <c r="C8" s="14" t="s">
        <v>26</v>
      </c>
      <c r="D8" s="15" t="s">
        <v>27</v>
      </c>
      <c r="E8" s="14">
        <v>24.13</v>
      </c>
      <c r="F8" s="16">
        <v>40000</v>
      </c>
      <c r="G8" s="16"/>
      <c r="H8" s="16"/>
    </row>
    <row r="9" spans="1:9" x14ac:dyDescent="0.3">
      <c r="A9">
        <f t="shared" si="0"/>
        <v>8</v>
      </c>
      <c r="B9" s="13">
        <v>45253</v>
      </c>
      <c r="C9" s="14" t="s">
        <v>26</v>
      </c>
      <c r="D9" s="15" t="s">
        <v>27</v>
      </c>
      <c r="E9" s="14">
        <v>30.16</v>
      </c>
      <c r="F9" s="16">
        <v>50000</v>
      </c>
      <c r="G9" s="16"/>
      <c r="H9" s="16"/>
    </row>
    <row r="10" spans="1:9" x14ac:dyDescent="0.3">
      <c r="A10">
        <f t="shared" si="0"/>
        <v>9</v>
      </c>
      <c r="B10" s="13">
        <v>45256</v>
      </c>
      <c r="C10" s="14" t="s">
        <v>26</v>
      </c>
      <c r="D10" s="15" t="s">
        <v>27</v>
      </c>
      <c r="E10" s="14">
        <v>25.02</v>
      </c>
      <c r="F10" s="16">
        <v>40000</v>
      </c>
      <c r="G10" s="16"/>
      <c r="H10" s="16"/>
    </row>
    <row r="11" spans="1:9" x14ac:dyDescent="0.3">
      <c r="A11">
        <f t="shared" si="0"/>
        <v>10</v>
      </c>
      <c r="B11" s="13">
        <v>45231</v>
      </c>
      <c r="C11" s="14" t="s">
        <v>26</v>
      </c>
      <c r="D11" s="15" t="s">
        <v>28</v>
      </c>
      <c r="E11" s="14">
        <v>67.69</v>
      </c>
      <c r="F11" s="16">
        <v>115000</v>
      </c>
      <c r="G11" s="16"/>
      <c r="H11" s="16"/>
    </row>
    <row r="12" spans="1:9" x14ac:dyDescent="0.3">
      <c r="A12">
        <f t="shared" si="0"/>
        <v>11</v>
      </c>
      <c r="B12" s="13">
        <v>45239</v>
      </c>
      <c r="C12" s="14" t="s">
        <v>26</v>
      </c>
      <c r="D12" s="15" t="s">
        <v>28</v>
      </c>
      <c r="E12" s="14">
        <v>61.8</v>
      </c>
      <c r="F12" s="16">
        <v>105000</v>
      </c>
      <c r="G12" s="16"/>
      <c r="H12" s="16"/>
    </row>
    <row r="13" spans="1:9" x14ac:dyDescent="0.3">
      <c r="A13">
        <f t="shared" si="0"/>
        <v>12</v>
      </c>
      <c r="B13" s="13">
        <v>45254</v>
      </c>
      <c r="C13" s="14" t="s">
        <v>13</v>
      </c>
      <c r="D13" s="15" t="s">
        <v>29</v>
      </c>
      <c r="E13" s="14">
        <v>30.43</v>
      </c>
      <c r="F13" s="16">
        <v>50000</v>
      </c>
      <c r="G13" s="16"/>
      <c r="H13" s="16"/>
    </row>
    <row r="14" spans="1:9" x14ac:dyDescent="0.3">
      <c r="A14">
        <f t="shared" si="0"/>
        <v>13</v>
      </c>
      <c r="B14" s="13">
        <v>45227</v>
      </c>
      <c r="C14" s="14" t="s">
        <v>26</v>
      </c>
      <c r="D14" s="15" t="s">
        <v>30</v>
      </c>
      <c r="E14" s="14">
        <v>150.09</v>
      </c>
      <c r="F14" s="16">
        <v>255000</v>
      </c>
      <c r="G14" s="16"/>
      <c r="H14" s="16"/>
    </row>
    <row r="15" spans="1:9" x14ac:dyDescent="0.3">
      <c r="A15">
        <f t="shared" si="0"/>
        <v>14</v>
      </c>
      <c r="B15" s="13">
        <v>45232</v>
      </c>
      <c r="C15" s="14" t="s">
        <v>26</v>
      </c>
      <c r="D15" s="15" t="s">
        <v>30</v>
      </c>
      <c r="E15" s="14">
        <v>80.64</v>
      </c>
      <c r="F15" s="16">
        <v>137000</v>
      </c>
      <c r="G15" s="16"/>
      <c r="H15" s="16"/>
    </row>
    <row r="16" spans="1:9" x14ac:dyDescent="0.3">
      <c r="A16">
        <f t="shared" si="0"/>
        <v>15</v>
      </c>
      <c r="B16" s="13">
        <v>45238</v>
      </c>
      <c r="C16" s="14" t="s">
        <v>26</v>
      </c>
      <c r="D16" s="15" t="s">
        <v>30</v>
      </c>
      <c r="E16" s="14">
        <v>144.19999999999999</v>
      </c>
      <c r="F16" s="16">
        <v>245000</v>
      </c>
      <c r="G16" s="16"/>
      <c r="H16" s="16"/>
    </row>
    <row r="17" spans="1:8" x14ac:dyDescent="0.3">
      <c r="A17">
        <f t="shared" si="0"/>
        <v>16</v>
      </c>
      <c r="B17" s="13">
        <v>45241</v>
      </c>
      <c r="C17" s="14" t="s">
        <v>26</v>
      </c>
      <c r="D17" s="15" t="s">
        <v>30</v>
      </c>
      <c r="E17" s="14">
        <v>77.099999999999994</v>
      </c>
      <c r="F17" s="16">
        <v>131000</v>
      </c>
      <c r="G17" s="16"/>
      <c r="H17" s="16"/>
    </row>
    <row r="18" spans="1:8" x14ac:dyDescent="0.3">
      <c r="A18">
        <f t="shared" si="0"/>
        <v>17</v>
      </c>
      <c r="B18" s="13">
        <v>45246</v>
      </c>
      <c r="C18" s="14" t="s">
        <v>26</v>
      </c>
      <c r="D18" s="15" t="s">
        <v>30</v>
      </c>
      <c r="E18" s="14">
        <v>147.79</v>
      </c>
      <c r="F18" s="16">
        <v>248000</v>
      </c>
      <c r="G18" s="16"/>
      <c r="H18" s="16"/>
    </row>
    <row r="19" spans="1:8" x14ac:dyDescent="0.3">
      <c r="A19">
        <f t="shared" si="0"/>
        <v>18</v>
      </c>
      <c r="B19" s="13">
        <v>45253</v>
      </c>
      <c r="C19" s="14" t="s">
        <v>26</v>
      </c>
      <c r="D19" s="15" t="s">
        <v>30</v>
      </c>
      <c r="E19" s="14">
        <v>141.13</v>
      </c>
      <c r="F19" s="16">
        <v>234000</v>
      </c>
      <c r="G19" s="16"/>
      <c r="H19" s="16"/>
    </row>
    <row r="20" spans="1:8" x14ac:dyDescent="0.3">
      <c r="A20">
        <f t="shared" si="0"/>
        <v>19</v>
      </c>
      <c r="B20" s="13">
        <v>45229</v>
      </c>
      <c r="C20" s="14" t="s">
        <v>26</v>
      </c>
      <c r="D20" s="15" t="s">
        <v>31</v>
      </c>
      <c r="E20" s="14">
        <v>36.49</v>
      </c>
      <c r="F20" s="16">
        <v>62000</v>
      </c>
      <c r="G20" s="16"/>
      <c r="H20" s="16"/>
    </row>
    <row r="21" spans="1:8" x14ac:dyDescent="0.3">
      <c r="A21">
        <f t="shared" si="0"/>
        <v>20</v>
      </c>
      <c r="B21" s="13">
        <v>45233</v>
      </c>
      <c r="C21" s="14" t="s">
        <v>26</v>
      </c>
      <c r="D21" s="15" t="s">
        <v>31</v>
      </c>
      <c r="E21" s="14">
        <v>44.73</v>
      </c>
      <c r="F21" s="16">
        <v>76000</v>
      </c>
      <c r="G21" s="16"/>
      <c r="H21" s="16"/>
    </row>
    <row r="22" spans="1:8" x14ac:dyDescent="0.3">
      <c r="A22">
        <f t="shared" si="0"/>
        <v>21</v>
      </c>
      <c r="B22" s="13">
        <v>45236</v>
      </c>
      <c r="C22" s="14" t="s">
        <v>26</v>
      </c>
      <c r="D22" s="15" t="s">
        <v>31</v>
      </c>
      <c r="E22" s="14">
        <v>41.2</v>
      </c>
      <c r="F22" s="16">
        <v>70000</v>
      </c>
      <c r="G22" s="16"/>
      <c r="H22" s="16"/>
    </row>
    <row r="23" spans="1:8" x14ac:dyDescent="0.3">
      <c r="A23">
        <f t="shared" si="0"/>
        <v>22</v>
      </c>
      <c r="B23" s="13">
        <v>45239</v>
      </c>
      <c r="C23" s="14" t="s">
        <v>26</v>
      </c>
      <c r="D23" s="15" t="s">
        <v>31</v>
      </c>
      <c r="E23" s="14">
        <v>40.61</v>
      </c>
      <c r="F23" s="16">
        <v>69000</v>
      </c>
      <c r="G23" s="16"/>
      <c r="H23" s="16"/>
    </row>
    <row r="24" spans="1:8" x14ac:dyDescent="0.3">
      <c r="A24">
        <f t="shared" si="0"/>
        <v>23</v>
      </c>
      <c r="B24" s="13">
        <v>45243</v>
      </c>
      <c r="C24" s="14" t="s">
        <v>26</v>
      </c>
      <c r="D24" s="15" t="s">
        <v>31</v>
      </c>
      <c r="E24" s="14">
        <v>57.21</v>
      </c>
      <c r="F24" s="16">
        <v>96000</v>
      </c>
      <c r="G24" s="16"/>
      <c r="H24" s="16"/>
    </row>
    <row r="25" spans="1:8" x14ac:dyDescent="0.3">
      <c r="A25">
        <f t="shared" si="0"/>
        <v>24</v>
      </c>
      <c r="B25" s="13">
        <v>45246</v>
      </c>
      <c r="C25" s="14" t="s">
        <v>26</v>
      </c>
      <c r="D25" s="15" t="s">
        <v>31</v>
      </c>
      <c r="E25" s="14">
        <v>42.91</v>
      </c>
      <c r="F25" s="16">
        <v>72000</v>
      </c>
      <c r="G25" s="16"/>
      <c r="H25" s="16"/>
    </row>
    <row r="26" spans="1:8" x14ac:dyDescent="0.3">
      <c r="A26">
        <f t="shared" si="0"/>
        <v>25</v>
      </c>
      <c r="B26" s="13">
        <v>45250</v>
      </c>
      <c r="C26" s="14" t="s">
        <v>26</v>
      </c>
      <c r="D26" s="15" t="s">
        <v>31</v>
      </c>
      <c r="E26" s="14">
        <v>36.19</v>
      </c>
      <c r="F26" s="16">
        <v>60000</v>
      </c>
      <c r="G26" s="16"/>
      <c r="H26" s="16"/>
    </row>
    <row r="27" spans="1:8" x14ac:dyDescent="0.3">
      <c r="A27">
        <f t="shared" si="0"/>
        <v>26</v>
      </c>
      <c r="B27" s="13">
        <v>45254</v>
      </c>
      <c r="C27" s="14" t="s">
        <v>26</v>
      </c>
      <c r="D27" s="15" t="s">
        <v>31</v>
      </c>
      <c r="E27" s="14">
        <v>55.03</v>
      </c>
      <c r="F27" s="16">
        <v>88000</v>
      </c>
      <c r="G27" s="16"/>
      <c r="H27" s="16"/>
    </row>
    <row r="28" spans="1:8" x14ac:dyDescent="0.3">
      <c r="A28">
        <f t="shared" si="0"/>
        <v>27</v>
      </c>
      <c r="B28" s="13">
        <v>45231</v>
      </c>
      <c r="C28" s="14" t="s">
        <v>26</v>
      </c>
      <c r="D28" s="15" t="s">
        <v>32</v>
      </c>
      <c r="E28" s="14">
        <v>29.43</v>
      </c>
      <c r="F28" s="16">
        <v>50000</v>
      </c>
      <c r="G28" s="16"/>
      <c r="H28" s="16"/>
    </row>
    <row r="29" spans="1:8" x14ac:dyDescent="0.3">
      <c r="A29">
        <f t="shared" si="0"/>
        <v>28</v>
      </c>
      <c r="B29" s="13">
        <v>45240</v>
      </c>
      <c r="C29" s="14" t="s">
        <v>26</v>
      </c>
      <c r="D29" s="15" t="s">
        <v>32</v>
      </c>
      <c r="E29" s="14">
        <v>29.43</v>
      </c>
      <c r="F29" s="16">
        <v>50000</v>
      </c>
      <c r="G29" s="16"/>
      <c r="H29" s="16"/>
    </row>
    <row r="30" spans="1:8" x14ac:dyDescent="0.3">
      <c r="A30">
        <f t="shared" si="0"/>
        <v>29</v>
      </c>
      <c r="B30" s="13">
        <v>45243</v>
      </c>
      <c r="C30" s="14" t="s">
        <v>26</v>
      </c>
      <c r="D30" s="15" t="s">
        <v>32</v>
      </c>
      <c r="E30" s="14">
        <v>29.8</v>
      </c>
      <c r="F30" s="16">
        <v>50000</v>
      </c>
      <c r="G30" s="16"/>
      <c r="H30" s="16"/>
    </row>
    <row r="31" spans="1:8" x14ac:dyDescent="0.3">
      <c r="A31">
        <f t="shared" si="0"/>
        <v>30</v>
      </c>
      <c r="B31" s="13">
        <v>45251</v>
      </c>
      <c r="C31" s="14" t="s">
        <v>26</v>
      </c>
      <c r="D31" s="15" t="s">
        <v>32</v>
      </c>
      <c r="E31" s="14">
        <v>30.16</v>
      </c>
      <c r="F31" s="16">
        <v>50000</v>
      </c>
      <c r="G31" s="16"/>
      <c r="H31" s="16"/>
    </row>
    <row r="32" spans="1:8" x14ac:dyDescent="0.3">
      <c r="A32">
        <f t="shared" si="0"/>
        <v>31</v>
      </c>
      <c r="B32" s="13">
        <v>45236</v>
      </c>
      <c r="C32" s="14" t="s">
        <v>26</v>
      </c>
      <c r="D32" s="15" t="s">
        <v>33</v>
      </c>
      <c r="E32" s="14">
        <v>48.26</v>
      </c>
      <c r="F32" s="16">
        <v>82000</v>
      </c>
      <c r="G32" s="16"/>
      <c r="H32" s="16"/>
    </row>
    <row r="33" spans="1:8" x14ac:dyDescent="0.3">
      <c r="A33">
        <f t="shared" si="0"/>
        <v>32</v>
      </c>
      <c r="B33" s="13">
        <v>45246</v>
      </c>
      <c r="C33" s="14" t="s">
        <v>26</v>
      </c>
      <c r="D33" s="15" t="s">
        <v>33</v>
      </c>
      <c r="E33" s="14">
        <v>29.8</v>
      </c>
      <c r="F33" s="16">
        <v>50000</v>
      </c>
      <c r="G33" s="16"/>
      <c r="H33" s="16"/>
    </row>
    <row r="34" spans="1:8" x14ac:dyDescent="0.3">
      <c r="A34">
        <f t="shared" si="0"/>
        <v>33</v>
      </c>
      <c r="B34" s="13">
        <v>45225</v>
      </c>
      <c r="C34" s="14" t="s">
        <v>26</v>
      </c>
      <c r="D34" s="15" t="s">
        <v>34</v>
      </c>
      <c r="E34" s="14">
        <v>236.02</v>
      </c>
      <c r="F34" s="16">
        <v>401000</v>
      </c>
      <c r="G34" s="16"/>
      <c r="H34" s="16"/>
    </row>
    <row r="35" spans="1:8" x14ac:dyDescent="0.3">
      <c r="A35">
        <f t="shared" si="0"/>
        <v>34</v>
      </c>
      <c r="B35" s="13">
        <v>45232</v>
      </c>
      <c r="C35" s="14" t="s">
        <v>26</v>
      </c>
      <c r="D35" s="15" t="s">
        <v>34</v>
      </c>
      <c r="E35" s="14">
        <v>184.23</v>
      </c>
      <c r="F35" s="16">
        <v>313000</v>
      </c>
      <c r="G35" s="16"/>
      <c r="H35" s="16"/>
    </row>
    <row r="36" spans="1:8" x14ac:dyDescent="0.3">
      <c r="A36">
        <f t="shared" si="0"/>
        <v>35</v>
      </c>
      <c r="B36" s="13">
        <v>45236</v>
      </c>
      <c r="C36" s="14" t="s">
        <v>26</v>
      </c>
      <c r="D36" s="15" t="s">
        <v>34</v>
      </c>
      <c r="E36" s="14">
        <v>235.43</v>
      </c>
      <c r="F36" s="16">
        <v>400000</v>
      </c>
      <c r="G36" s="16"/>
      <c r="H36" s="16"/>
    </row>
    <row r="37" spans="1:8" x14ac:dyDescent="0.3">
      <c r="A37">
        <f t="shared" si="0"/>
        <v>36</v>
      </c>
      <c r="B37" s="13">
        <v>45243</v>
      </c>
      <c r="C37" s="14" t="s">
        <v>26</v>
      </c>
      <c r="D37" s="15" t="s">
        <v>34</v>
      </c>
      <c r="E37" s="14">
        <v>284.10000000000002</v>
      </c>
      <c r="F37" s="16">
        <v>477000</v>
      </c>
      <c r="G37" s="16"/>
      <c r="H37" s="16"/>
    </row>
    <row r="38" spans="1:8" x14ac:dyDescent="0.3">
      <c r="A38">
        <f t="shared" si="0"/>
        <v>37</v>
      </c>
      <c r="B38" s="13">
        <v>45248</v>
      </c>
      <c r="C38" s="14" t="s">
        <v>26</v>
      </c>
      <c r="D38" s="15" t="s">
        <v>34</v>
      </c>
      <c r="E38" s="14">
        <v>193.61</v>
      </c>
      <c r="F38" s="16">
        <v>321000</v>
      </c>
      <c r="G38" s="16"/>
      <c r="H38" s="16"/>
    </row>
    <row r="39" spans="1:8" x14ac:dyDescent="0.3">
      <c r="A39">
        <f t="shared" si="0"/>
        <v>38</v>
      </c>
      <c r="B39" s="13">
        <v>45255</v>
      </c>
      <c r="C39" s="14" t="s">
        <v>26</v>
      </c>
      <c r="D39" s="15" t="s">
        <v>34</v>
      </c>
      <c r="E39" s="14">
        <v>263.29000000000002</v>
      </c>
      <c r="F39" s="16">
        <v>421000</v>
      </c>
      <c r="G39" s="16"/>
      <c r="H39" s="16"/>
    </row>
    <row r="40" spans="1:8" x14ac:dyDescent="0.3">
      <c r="A40">
        <f t="shared" si="0"/>
        <v>39</v>
      </c>
      <c r="B40" s="13">
        <v>45231</v>
      </c>
      <c r="C40" s="14" t="s">
        <v>26</v>
      </c>
      <c r="D40" s="15" t="s">
        <v>35</v>
      </c>
      <c r="E40" s="14">
        <v>45.91</v>
      </c>
      <c r="F40" s="16">
        <v>78000</v>
      </c>
      <c r="G40" s="16"/>
      <c r="H40" s="16"/>
    </row>
    <row r="41" spans="1:8" x14ac:dyDescent="0.3">
      <c r="A41">
        <f t="shared" si="0"/>
        <v>40</v>
      </c>
      <c r="B41" s="13">
        <v>45236</v>
      </c>
      <c r="C41" s="14" t="s">
        <v>26</v>
      </c>
      <c r="D41" s="15" t="s">
        <v>35</v>
      </c>
      <c r="E41" s="14">
        <v>41.2</v>
      </c>
      <c r="F41" s="16">
        <v>70000</v>
      </c>
      <c r="G41" s="16"/>
      <c r="H41" s="16"/>
    </row>
    <row r="42" spans="1:8" x14ac:dyDescent="0.3">
      <c r="A42">
        <f t="shared" si="0"/>
        <v>41</v>
      </c>
      <c r="B42" s="13">
        <v>45241</v>
      </c>
      <c r="C42" s="14" t="s">
        <v>26</v>
      </c>
      <c r="D42" s="15" t="s">
        <v>35</v>
      </c>
      <c r="E42" s="14">
        <v>50.03</v>
      </c>
      <c r="F42" s="16">
        <v>85000</v>
      </c>
      <c r="G42" s="16"/>
      <c r="H42" s="16"/>
    </row>
    <row r="43" spans="1:8" x14ac:dyDescent="0.3">
      <c r="A43">
        <f t="shared" si="0"/>
        <v>42</v>
      </c>
      <c r="B43" s="13">
        <v>45240</v>
      </c>
      <c r="C43" s="14" t="s">
        <v>13</v>
      </c>
      <c r="D43" s="15" t="s">
        <v>36</v>
      </c>
      <c r="E43" s="14">
        <v>52.87</v>
      </c>
      <c r="F43" s="16">
        <v>93000</v>
      </c>
      <c r="G43" s="16"/>
      <c r="H43" s="16"/>
    </row>
    <row r="44" spans="1:8" x14ac:dyDescent="0.3">
      <c r="A44">
        <f t="shared" si="0"/>
        <v>43</v>
      </c>
      <c r="B44" s="13">
        <v>45230</v>
      </c>
      <c r="C44" s="14" t="s">
        <v>26</v>
      </c>
      <c r="D44" s="15" t="s">
        <v>37</v>
      </c>
      <c r="E44" s="14">
        <v>124.19</v>
      </c>
      <c r="F44" s="16">
        <v>211000</v>
      </c>
      <c r="G44" s="16"/>
      <c r="H44" s="16"/>
    </row>
    <row r="45" spans="1:8" x14ac:dyDescent="0.3">
      <c r="A45">
        <f t="shared" si="0"/>
        <v>44</v>
      </c>
      <c r="B45" s="13">
        <v>45238</v>
      </c>
      <c r="C45" s="14" t="s">
        <v>26</v>
      </c>
      <c r="D45" s="15" t="s">
        <v>37</v>
      </c>
      <c r="E45" s="14">
        <v>146.56</v>
      </c>
      <c r="F45" s="16">
        <v>249000</v>
      </c>
      <c r="G45" s="16"/>
      <c r="H45" s="16"/>
    </row>
    <row r="46" spans="1:8" x14ac:dyDescent="0.3">
      <c r="A46">
        <f t="shared" si="0"/>
        <v>45</v>
      </c>
      <c r="B46" s="13">
        <v>45245</v>
      </c>
      <c r="C46" s="14" t="s">
        <v>26</v>
      </c>
      <c r="D46" s="15" t="s">
        <v>37</v>
      </c>
      <c r="E46" s="14">
        <v>131.69999999999999</v>
      </c>
      <c r="F46" s="16">
        <v>221000</v>
      </c>
      <c r="G46" s="16"/>
      <c r="H46" s="16"/>
    </row>
    <row r="47" spans="1:8" x14ac:dyDescent="0.3">
      <c r="A47">
        <f t="shared" si="0"/>
        <v>46</v>
      </c>
      <c r="B47" s="13">
        <v>45250</v>
      </c>
      <c r="C47" s="14" t="s">
        <v>26</v>
      </c>
      <c r="D47" s="15" t="s">
        <v>37</v>
      </c>
      <c r="E47" s="14">
        <v>126.06</v>
      </c>
      <c r="F47" s="16">
        <v>209000</v>
      </c>
      <c r="G47" s="16"/>
      <c r="H47" s="16"/>
    </row>
    <row r="48" spans="1:8" x14ac:dyDescent="0.3">
      <c r="A48">
        <f t="shared" si="0"/>
        <v>47</v>
      </c>
      <c r="B48" s="13">
        <v>45229</v>
      </c>
      <c r="C48" s="14" t="s">
        <v>26</v>
      </c>
      <c r="D48" s="15" t="s">
        <v>38</v>
      </c>
      <c r="E48" s="14">
        <v>23.54</v>
      </c>
      <c r="F48" s="16">
        <v>40000</v>
      </c>
      <c r="G48" s="16"/>
      <c r="H48" s="16"/>
    </row>
    <row r="49" spans="1:8" x14ac:dyDescent="0.3">
      <c r="A49">
        <f t="shared" si="0"/>
        <v>48</v>
      </c>
      <c r="B49" s="13">
        <v>45230</v>
      </c>
      <c r="C49" s="14" t="s">
        <v>26</v>
      </c>
      <c r="D49" s="15" t="s">
        <v>39</v>
      </c>
      <c r="E49" s="14">
        <v>55.92</v>
      </c>
      <c r="F49" s="16">
        <v>95000</v>
      </c>
      <c r="G49" s="16"/>
      <c r="H49" s="16"/>
    </row>
    <row r="50" spans="1:8" x14ac:dyDescent="0.3">
      <c r="A50">
        <f t="shared" si="0"/>
        <v>49</v>
      </c>
      <c r="B50" s="13">
        <v>45235</v>
      </c>
      <c r="C50" s="14" t="s">
        <v>26</v>
      </c>
      <c r="D50" s="15" t="s">
        <v>39</v>
      </c>
      <c r="E50" s="14">
        <v>48.85</v>
      </c>
      <c r="F50" s="16">
        <v>83000</v>
      </c>
      <c r="G50" s="16"/>
      <c r="H50" s="16"/>
    </row>
    <row r="51" spans="1:8" x14ac:dyDescent="0.3">
      <c r="A51">
        <f t="shared" si="0"/>
        <v>50</v>
      </c>
      <c r="B51" s="13">
        <v>45238</v>
      </c>
      <c r="C51" s="14" t="s">
        <v>26</v>
      </c>
      <c r="D51" s="15" t="s">
        <v>39</v>
      </c>
      <c r="E51" s="14">
        <v>56.5</v>
      </c>
      <c r="F51" s="16">
        <v>96000</v>
      </c>
      <c r="G51" s="16"/>
      <c r="H51" s="16"/>
    </row>
    <row r="52" spans="1:8" x14ac:dyDescent="0.3">
      <c r="A52">
        <f t="shared" si="0"/>
        <v>51</v>
      </c>
      <c r="B52" s="13">
        <v>45245</v>
      </c>
      <c r="C52" s="14" t="s">
        <v>26</v>
      </c>
      <c r="D52" s="15" t="s">
        <v>39</v>
      </c>
      <c r="E52" s="14">
        <v>57.21</v>
      </c>
      <c r="F52" s="16">
        <v>96000</v>
      </c>
      <c r="G52" s="16"/>
      <c r="H52" s="16"/>
    </row>
    <row r="53" spans="1:8" x14ac:dyDescent="0.3">
      <c r="A53">
        <f t="shared" si="0"/>
        <v>52</v>
      </c>
      <c r="B53" s="13">
        <v>45256</v>
      </c>
      <c r="C53" s="14" t="s">
        <v>26</v>
      </c>
      <c r="D53" s="15" t="s">
        <v>39</v>
      </c>
      <c r="E53" s="14">
        <v>55.66</v>
      </c>
      <c r="F53" s="16">
        <v>89000</v>
      </c>
      <c r="G53" s="16"/>
      <c r="H53" s="16"/>
    </row>
    <row r="54" spans="1:8" x14ac:dyDescent="0.3">
      <c r="A54">
        <f t="shared" si="0"/>
        <v>53</v>
      </c>
      <c r="B54" s="13">
        <v>45225</v>
      </c>
      <c r="C54" s="14" t="s">
        <v>26</v>
      </c>
      <c r="D54" s="15" t="s">
        <v>40</v>
      </c>
      <c r="E54" s="14">
        <v>34.729999999999997</v>
      </c>
      <c r="F54" s="16">
        <v>59000</v>
      </c>
      <c r="G54" s="16"/>
      <c r="H54" s="16"/>
    </row>
    <row r="55" spans="1:8" x14ac:dyDescent="0.3">
      <c r="A55">
        <f t="shared" si="0"/>
        <v>54</v>
      </c>
      <c r="B55" s="13">
        <v>45227</v>
      </c>
      <c r="C55" s="14" t="s">
        <v>26</v>
      </c>
      <c r="D55" s="15" t="s">
        <v>40</v>
      </c>
      <c r="E55" s="14">
        <v>40.020000000000003</v>
      </c>
      <c r="F55" s="16">
        <v>68000</v>
      </c>
      <c r="G55" s="16"/>
      <c r="H55" s="16"/>
    </row>
    <row r="56" spans="1:8" x14ac:dyDescent="0.3">
      <c r="A56">
        <f t="shared" si="0"/>
        <v>55</v>
      </c>
      <c r="B56" s="13">
        <v>45233</v>
      </c>
      <c r="C56" s="14" t="s">
        <v>26</v>
      </c>
      <c r="D56" s="15" t="s">
        <v>40</v>
      </c>
      <c r="E56" s="14">
        <v>41.79</v>
      </c>
      <c r="F56" s="16">
        <v>71000</v>
      </c>
      <c r="G56" s="16"/>
      <c r="H56" s="16"/>
    </row>
    <row r="57" spans="1:8" x14ac:dyDescent="0.3">
      <c r="A57">
        <f t="shared" si="0"/>
        <v>56</v>
      </c>
      <c r="B57" s="13">
        <v>45236</v>
      </c>
      <c r="C57" s="14" t="s">
        <v>26</v>
      </c>
      <c r="D57" s="15" t="s">
        <v>40</v>
      </c>
      <c r="E57" s="14">
        <v>44.14</v>
      </c>
      <c r="F57" s="16">
        <v>75000</v>
      </c>
      <c r="G57" s="16"/>
      <c r="H57" s="16"/>
    </row>
    <row r="58" spans="1:8" x14ac:dyDescent="0.3">
      <c r="A58">
        <f t="shared" si="0"/>
        <v>57</v>
      </c>
      <c r="B58" s="13">
        <v>45240</v>
      </c>
      <c r="C58" s="14" t="s">
        <v>26</v>
      </c>
      <c r="D58" s="15" t="s">
        <v>40</v>
      </c>
      <c r="E58" s="14">
        <v>42.97</v>
      </c>
      <c r="F58" s="16">
        <v>73000</v>
      </c>
      <c r="G58" s="16"/>
      <c r="H58" s="16"/>
    </row>
    <row r="59" spans="1:8" x14ac:dyDescent="0.3">
      <c r="A59">
        <f t="shared" si="0"/>
        <v>58</v>
      </c>
      <c r="B59" s="13">
        <v>45246</v>
      </c>
      <c r="C59" s="14" t="s">
        <v>26</v>
      </c>
      <c r="D59" s="15" t="s">
        <v>40</v>
      </c>
      <c r="E59" s="14">
        <v>45.89</v>
      </c>
      <c r="F59" s="16">
        <v>77000</v>
      </c>
      <c r="G59" s="16"/>
      <c r="H59" s="16"/>
    </row>
    <row r="60" spans="1:8" x14ac:dyDescent="0.3">
      <c r="A60">
        <f t="shared" si="0"/>
        <v>59</v>
      </c>
      <c r="B60" s="13">
        <v>45251</v>
      </c>
      <c r="C60" s="14" t="s">
        <v>26</v>
      </c>
      <c r="D60" s="15" t="s">
        <v>40</v>
      </c>
      <c r="E60" s="14">
        <v>56.09</v>
      </c>
      <c r="F60" s="16">
        <v>93000</v>
      </c>
      <c r="G60" s="16"/>
      <c r="H60" s="16"/>
    </row>
    <row r="61" spans="1:8" x14ac:dyDescent="0.3">
      <c r="A61">
        <f t="shared" si="0"/>
        <v>60</v>
      </c>
      <c r="B61" s="13">
        <v>45255</v>
      </c>
      <c r="C61" s="14" t="s">
        <v>26</v>
      </c>
      <c r="D61" s="15" t="s">
        <v>40</v>
      </c>
      <c r="E61" s="14">
        <v>51.91</v>
      </c>
      <c r="F61" s="16">
        <v>83000</v>
      </c>
      <c r="G61" s="16"/>
      <c r="H61" s="16"/>
    </row>
    <row r="62" spans="1:8" x14ac:dyDescent="0.3">
      <c r="A62">
        <f t="shared" si="0"/>
        <v>61</v>
      </c>
      <c r="B62" s="13">
        <v>45230</v>
      </c>
      <c r="C62" s="14" t="s">
        <v>26</v>
      </c>
      <c r="D62" s="15" t="s">
        <v>41</v>
      </c>
      <c r="E62" s="14">
        <v>48.85</v>
      </c>
      <c r="F62" s="16">
        <v>83000</v>
      </c>
      <c r="G62" s="16"/>
      <c r="H62" s="16"/>
    </row>
    <row r="63" spans="1:8" x14ac:dyDescent="0.3">
      <c r="A63">
        <f t="shared" si="0"/>
        <v>62</v>
      </c>
      <c r="B63" s="13">
        <v>45238</v>
      </c>
      <c r="C63" s="14" t="s">
        <v>26</v>
      </c>
      <c r="D63" s="15" t="s">
        <v>41</v>
      </c>
      <c r="E63" s="14">
        <v>45.32</v>
      </c>
      <c r="F63" s="16">
        <v>77000</v>
      </c>
      <c r="G63" s="16"/>
      <c r="H63" s="16"/>
    </row>
    <row r="64" spans="1:8" x14ac:dyDescent="0.3">
      <c r="A64">
        <f t="shared" si="0"/>
        <v>63</v>
      </c>
      <c r="B64" s="13">
        <v>45244</v>
      </c>
      <c r="C64" s="14" t="s">
        <v>26</v>
      </c>
      <c r="D64" s="15" t="s">
        <v>41</v>
      </c>
      <c r="E64" s="14">
        <v>47.68</v>
      </c>
      <c r="F64" s="16">
        <v>80000</v>
      </c>
      <c r="G64" s="16"/>
      <c r="H64" s="16"/>
    </row>
    <row r="65" spans="1:8" x14ac:dyDescent="0.3">
      <c r="A65">
        <f t="shared" si="0"/>
        <v>64</v>
      </c>
      <c r="B65" s="13">
        <v>45250</v>
      </c>
      <c r="C65" s="14" t="s">
        <v>26</v>
      </c>
      <c r="D65" s="15" t="s">
        <v>41</v>
      </c>
      <c r="E65" s="14">
        <v>48.25</v>
      </c>
      <c r="F65" s="16">
        <v>80000</v>
      </c>
      <c r="G65" s="16"/>
      <c r="H65" s="16"/>
    </row>
    <row r="66" spans="1:8" x14ac:dyDescent="0.3">
      <c r="A66">
        <f t="shared" si="0"/>
        <v>65</v>
      </c>
      <c r="B66" s="13">
        <v>45232</v>
      </c>
      <c r="C66" s="14" t="s">
        <v>26</v>
      </c>
      <c r="D66" s="15" t="s">
        <v>42</v>
      </c>
      <c r="E66" s="14">
        <v>56.5</v>
      </c>
      <c r="F66" s="16">
        <v>96000</v>
      </c>
      <c r="G66" s="16"/>
      <c r="H66" s="16"/>
    </row>
    <row r="67" spans="1:8" x14ac:dyDescent="0.3">
      <c r="A67">
        <f t="shared" ref="A67:A97" si="1">ROW()-1</f>
        <v>66</v>
      </c>
      <c r="B67" s="13">
        <v>45241</v>
      </c>
      <c r="C67" s="14" t="s">
        <v>26</v>
      </c>
      <c r="D67" s="15" t="s">
        <v>42</v>
      </c>
      <c r="E67" s="14">
        <v>55.33</v>
      </c>
      <c r="F67" s="16">
        <v>94000</v>
      </c>
      <c r="G67" s="16"/>
      <c r="H67" s="16"/>
    </row>
    <row r="68" spans="1:8" x14ac:dyDescent="0.3">
      <c r="A68">
        <f t="shared" si="1"/>
        <v>67</v>
      </c>
      <c r="B68" s="13">
        <v>45250</v>
      </c>
      <c r="C68" s="14" t="s">
        <v>26</v>
      </c>
      <c r="D68" s="15" t="s">
        <v>42</v>
      </c>
      <c r="E68" s="14">
        <v>54.28</v>
      </c>
      <c r="F68" s="16">
        <v>90000</v>
      </c>
      <c r="G68" s="16"/>
      <c r="H68" s="16"/>
    </row>
    <row r="69" spans="1:8" x14ac:dyDescent="0.3">
      <c r="A69">
        <f t="shared" si="1"/>
        <v>68</v>
      </c>
      <c r="B69" s="13">
        <v>45231</v>
      </c>
      <c r="C69" s="14" t="s">
        <v>26</v>
      </c>
      <c r="D69" s="15" t="s">
        <v>43</v>
      </c>
      <c r="E69" s="14">
        <v>58.27</v>
      </c>
      <c r="F69" s="16">
        <v>99000</v>
      </c>
      <c r="G69" s="16"/>
      <c r="H69" s="16"/>
    </row>
    <row r="70" spans="1:8" x14ac:dyDescent="0.3">
      <c r="A70">
        <f t="shared" si="1"/>
        <v>69</v>
      </c>
      <c r="B70" s="13">
        <v>45234</v>
      </c>
      <c r="C70" s="14" t="s">
        <v>26</v>
      </c>
      <c r="D70" s="15" t="s">
        <v>43</v>
      </c>
      <c r="E70" s="14">
        <v>55.33</v>
      </c>
      <c r="F70" s="16">
        <v>94000</v>
      </c>
      <c r="G70" s="16"/>
      <c r="H70" s="16"/>
    </row>
    <row r="71" spans="1:8" x14ac:dyDescent="0.3">
      <c r="A71">
        <f t="shared" si="1"/>
        <v>70</v>
      </c>
      <c r="B71" s="13">
        <v>45238</v>
      </c>
      <c r="C71" s="14" t="s">
        <v>26</v>
      </c>
      <c r="D71" s="15" t="s">
        <v>43</v>
      </c>
      <c r="E71" s="14">
        <v>57.68</v>
      </c>
      <c r="F71" s="16">
        <v>98000</v>
      </c>
      <c r="G71" s="16"/>
      <c r="H71" s="16"/>
    </row>
    <row r="72" spans="1:8" x14ac:dyDescent="0.3">
      <c r="A72">
        <f t="shared" si="1"/>
        <v>71</v>
      </c>
      <c r="B72" s="13">
        <v>45243</v>
      </c>
      <c r="C72" s="14" t="s">
        <v>26</v>
      </c>
      <c r="D72" s="15" t="s">
        <v>43</v>
      </c>
      <c r="E72" s="14">
        <v>29.8</v>
      </c>
      <c r="F72" s="16">
        <v>50000</v>
      </c>
      <c r="G72" s="16"/>
      <c r="H72" s="16"/>
    </row>
    <row r="73" spans="1:8" x14ac:dyDescent="0.3">
      <c r="A73">
        <f t="shared" si="1"/>
        <v>72</v>
      </c>
      <c r="B73" s="13">
        <v>45246</v>
      </c>
      <c r="C73" s="14" t="s">
        <v>26</v>
      </c>
      <c r="D73" s="15" t="s">
        <v>43</v>
      </c>
      <c r="E73" s="14">
        <v>29.8</v>
      </c>
      <c r="F73" s="16">
        <v>50000</v>
      </c>
      <c r="G73" s="16"/>
      <c r="H73" s="16"/>
    </row>
    <row r="74" spans="1:8" x14ac:dyDescent="0.3">
      <c r="A74">
        <f t="shared" si="1"/>
        <v>73</v>
      </c>
      <c r="B74" s="13">
        <v>45251</v>
      </c>
      <c r="C74" s="14" t="s">
        <v>26</v>
      </c>
      <c r="D74" s="15" t="s">
        <v>43</v>
      </c>
      <c r="E74" s="14">
        <v>30.16</v>
      </c>
      <c r="F74" s="16">
        <v>50000</v>
      </c>
      <c r="G74" s="16"/>
      <c r="H74" s="16"/>
    </row>
    <row r="75" spans="1:8" x14ac:dyDescent="0.3">
      <c r="A75">
        <f t="shared" si="1"/>
        <v>74</v>
      </c>
      <c r="B75" s="13">
        <v>45226</v>
      </c>
      <c r="C75" s="14" t="s">
        <v>13</v>
      </c>
      <c r="D75" s="15" t="s">
        <v>44</v>
      </c>
      <c r="E75" s="14">
        <v>27.49</v>
      </c>
      <c r="F75" s="16">
        <v>50000</v>
      </c>
      <c r="G75" s="16"/>
      <c r="H75" s="16"/>
    </row>
    <row r="76" spans="1:8" x14ac:dyDescent="0.3">
      <c r="A76">
        <f t="shared" si="1"/>
        <v>75</v>
      </c>
      <c r="B76" s="13">
        <v>45230</v>
      </c>
      <c r="C76" s="14" t="s">
        <v>26</v>
      </c>
      <c r="D76" s="15" t="s">
        <v>44</v>
      </c>
      <c r="E76" s="14">
        <v>52.97</v>
      </c>
      <c r="F76" s="16">
        <v>90000</v>
      </c>
      <c r="G76" s="16"/>
      <c r="H76" s="16"/>
    </row>
    <row r="77" spans="1:8" x14ac:dyDescent="0.3">
      <c r="A77">
        <f t="shared" si="1"/>
        <v>76</v>
      </c>
      <c r="B77" s="13">
        <v>45240</v>
      </c>
      <c r="C77" s="14" t="s">
        <v>26</v>
      </c>
      <c r="D77" s="15" t="s">
        <v>44</v>
      </c>
      <c r="E77" s="14">
        <v>56.5</v>
      </c>
      <c r="F77" s="16">
        <v>96000</v>
      </c>
      <c r="G77" s="16"/>
      <c r="H77" s="16"/>
    </row>
    <row r="78" spans="1:8" x14ac:dyDescent="0.3">
      <c r="A78">
        <f t="shared" si="1"/>
        <v>77</v>
      </c>
      <c r="B78" s="13">
        <v>45249</v>
      </c>
      <c r="C78" s="14" t="s">
        <v>26</v>
      </c>
      <c r="D78" s="15" t="s">
        <v>44</v>
      </c>
      <c r="E78" s="14">
        <v>57.3</v>
      </c>
      <c r="F78" s="16">
        <v>95000</v>
      </c>
      <c r="G78" s="16"/>
      <c r="H78" s="16"/>
    </row>
    <row r="79" spans="1:8" x14ac:dyDescent="0.3">
      <c r="A79">
        <f t="shared" si="1"/>
        <v>78</v>
      </c>
      <c r="B79" s="13">
        <v>45232</v>
      </c>
      <c r="C79" s="14" t="s">
        <v>26</v>
      </c>
      <c r="D79" s="15" t="s">
        <v>45</v>
      </c>
      <c r="E79" s="14">
        <v>54.74</v>
      </c>
      <c r="F79" s="16">
        <v>93000</v>
      </c>
      <c r="G79" s="16"/>
      <c r="H79" s="16"/>
    </row>
    <row r="80" spans="1:8" x14ac:dyDescent="0.3">
      <c r="A80">
        <f t="shared" si="1"/>
        <v>79</v>
      </c>
      <c r="B80" s="13">
        <v>45236</v>
      </c>
      <c r="C80" s="14" t="s">
        <v>26</v>
      </c>
      <c r="D80" s="15" t="s">
        <v>45</v>
      </c>
      <c r="E80" s="14">
        <v>52.97</v>
      </c>
      <c r="F80" s="16">
        <v>90000</v>
      </c>
      <c r="G80" s="16"/>
      <c r="H80" s="16"/>
    </row>
    <row r="81" spans="1:8" x14ac:dyDescent="0.3">
      <c r="A81">
        <f t="shared" si="1"/>
        <v>80</v>
      </c>
      <c r="B81" s="13">
        <v>45240</v>
      </c>
      <c r="C81" s="14" t="s">
        <v>26</v>
      </c>
      <c r="D81" s="15" t="s">
        <v>45</v>
      </c>
      <c r="E81" s="14">
        <v>50.03</v>
      </c>
      <c r="F81" s="16">
        <v>85000</v>
      </c>
      <c r="G81" s="16"/>
      <c r="H81" s="16"/>
    </row>
    <row r="82" spans="1:8" x14ac:dyDescent="0.3">
      <c r="A82">
        <f t="shared" si="1"/>
        <v>81</v>
      </c>
      <c r="B82" s="13">
        <v>45244</v>
      </c>
      <c r="C82" s="14" t="s">
        <v>26</v>
      </c>
      <c r="D82" s="15" t="s">
        <v>45</v>
      </c>
      <c r="E82" s="14">
        <v>55.42</v>
      </c>
      <c r="F82" s="16">
        <v>93000</v>
      </c>
      <c r="G82" s="16"/>
      <c r="H82" s="16"/>
    </row>
    <row r="83" spans="1:8" x14ac:dyDescent="0.3">
      <c r="A83">
        <f t="shared" si="1"/>
        <v>82</v>
      </c>
      <c r="B83" s="13">
        <v>45248</v>
      </c>
      <c r="C83" s="14" t="s">
        <v>26</v>
      </c>
      <c r="D83" s="15" t="s">
        <v>45</v>
      </c>
      <c r="E83" s="14">
        <v>56.69</v>
      </c>
      <c r="F83" s="16">
        <v>94000</v>
      </c>
      <c r="G83" s="16"/>
      <c r="H83" s="16"/>
    </row>
    <row r="84" spans="1:8" x14ac:dyDescent="0.3">
      <c r="A84">
        <f t="shared" si="1"/>
        <v>83</v>
      </c>
      <c r="B84" s="13">
        <v>45252</v>
      </c>
      <c r="C84" s="14" t="s">
        <v>26</v>
      </c>
      <c r="D84" s="15" t="s">
        <v>45</v>
      </c>
      <c r="E84" s="14">
        <v>56.09</v>
      </c>
      <c r="F84" s="16">
        <v>93000</v>
      </c>
      <c r="G84" s="16"/>
      <c r="H84" s="16"/>
    </row>
    <row r="85" spans="1:8" x14ac:dyDescent="0.3">
      <c r="A85">
        <f t="shared" si="1"/>
        <v>84</v>
      </c>
      <c r="B85" s="13">
        <v>45258</v>
      </c>
      <c r="C85" s="14" t="s">
        <v>26</v>
      </c>
      <c r="D85" s="15" t="s">
        <v>27</v>
      </c>
      <c r="E85" s="14">
        <v>31.27</v>
      </c>
      <c r="F85" s="16">
        <v>50000</v>
      </c>
      <c r="G85" s="16"/>
      <c r="H85" s="16"/>
    </row>
    <row r="86" spans="1:8" x14ac:dyDescent="0.3">
      <c r="A86">
        <f t="shared" si="1"/>
        <v>85</v>
      </c>
      <c r="B86" s="13">
        <v>45260</v>
      </c>
      <c r="C86" s="14" t="s">
        <v>26</v>
      </c>
      <c r="D86" s="15" t="s">
        <v>28</v>
      </c>
      <c r="E86" s="14">
        <v>61.29</v>
      </c>
      <c r="F86" s="16">
        <v>98000</v>
      </c>
      <c r="G86" s="16"/>
      <c r="H86" s="16"/>
    </row>
    <row r="87" spans="1:8" x14ac:dyDescent="0.3">
      <c r="A87">
        <f t="shared" si="1"/>
        <v>86</v>
      </c>
      <c r="B87" s="13">
        <v>45259</v>
      </c>
      <c r="C87" s="14" t="s">
        <v>26</v>
      </c>
      <c r="D87" s="15" t="s">
        <v>30</v>
      </c>
      <c r="E87" s="14">
        <v>140.71</v>
      </c>
      <c r="F87" s="16">
        <v>225000</v>
      </c>
      <c r="G87" s="16"/>
      <c r="H87" s="16"/>
    </row>
    <row r="88" spans="1:8" x14ac:dyDescent="0.3">
      <c r="A88">
        <f t="shared" si="1"/>
        <v>87</v>
      </c>
      <c r="B88" s="13">
        <v>45257</v>
      </c>
      <c r="C88" s="14" t="s">
        <v>26</v>
      </c>
      <c r="D88" s="15" t="s">
        <v>31</v>
      </c>
      <c r="E88" s="14">
        <v>42.53</v>
      </c>
      <c r="F88" s="16">
        <v>68000</v>
      </c>
      <c r="G88" s="16"/>
      <c r="H88" s="16"/>
    </row>
    <row r="89" spans="1:8" x14ac:dyDescent="0.3">
      <c r="A89">
        <f t="shared" si="1"/>
        <v>88</v>
      </c>
      <c r="B89" s="13">
        <v>45260</v>
      </c>
      <c r="C89" s="14" t="s">
        <v>26</v>
      </c>
      <c r="D89" s="15" t="s">
        <v>31</v>
      </c>
      <c r="E89" s="14">
        <v>18.760000000000002</v>
      </c>
      <c r="F89" s="16">
        <v>30000</v>
      </c>
      <c r="G89" s="16"/>
      <c r="H89" s="16"/>
    </row>
    <row r="90" spans="1:8" x14ac:dyDescent="0.3">
      <c r="A90">
        <f t="shared" si="1"/>
        <v>89</v>
      </c>
      <c r="B90" s="13">
        <v>45258</v>
      </c>
      <c r="C90" s="14" t="s">
        <v>26</v>
      </c>
      <c r="D90" s="15" t="s">
        <v>32</v>
      </c>
      <c r="E90" s="14">
        <v>31.27</v>
      </c>
      <c r="F90" s="16">
        <v>50000</v>
      </c>
      <c r="G90" s="16"/>
      <c r="H90" s="16"/>
    </row>
    <row r="91" spans="1:8" x14ac:dyDescent="0.3">
      <c r="A91">
        <f t="shared" si="1"/>
        <v>90</v>
      </c>
      <c r="B91" s="13">
        <v>45260</v>
      </c>
      <c r="C91" s="14" t="s">
        <v>26</v>
      </c>
      <c r="D91" s="15" t="s">
        <v>35</v>
      </c>
      <c r="E91" s="14">
        <v>44.4</v>
      </c>
      <c r="F91" s="16">
        <v>71000</v>
      </c>
      <c r="G91" s="16"/>
      <c r="H91" s="16"/>
    </row>
    <row r="92" spans="1:8" x14ac:dyDescent="0.3">
      <c r="A92">
        <f t="shared" si="1"/>
        <v>91</v>
      </c>
      <c r="B92" s="13">
        <v>45258</v>
      </c>
      <c r="C92" s="14" t="s">
        <v>26</v>
      </c>
      <c r="D92" s="15" t="s">
        <v>37</v>
      </c>
      <c r="E92" s="14">
        <v>156.35</v>
      </c>
      <c r="F92" s="16">
        <v>250000</v>
      </c>
      <c r="G92" s="16"/>
      <c r="H92" s="16"/>
    </row>
    <row r="93" spans="1:8" x14ac:dyDescent="0.3">
      <c r="A93">
        <f t="shared" si="1"/>
        <v>92</v>
      </c>
      <c r="B93" s="13">
        <v>45259</v>
      </c>
      <c r="C93" s="14" t="s">
        <v>26</v>
      </c>
      <c r="D93" s="15" t="s">
        <v>40</v>
      </c>
      <c r="E93" s="14">
        <v>51.91</v>
      </c>
      <c r="F93" s="16">
        <v>83000</v>
      </c>
      <c r="G93" s="16"/>
      <c r="H93" s="16"/>
    </row>
    <row r="94" spans="1:8" x14ac:dyDescent="0.3">
      <c r="A94">
        <f t="shared" si="1"/>
        <v>93</v>
      </c>
      <c r="B94" s="13">
        <v>45257</v>
      </c>
      <c r="C94" s="14" t="s">
        <v>26</v>
      </c>
      <c r="D94" s="15" t="s">
        <v>41</v>
      </c>
      <c r="E94" s="14">
        <v>46.9</v>
      </c>
      <c r="F94" s="16">
        <v>75000</v>
      </c>
      <c r="G94" s="16"/>
      <c r="H94" s="16"/>
    </row>
    <row r="95" spans="1:8" x14ac:dyDescent="0.3">
      <c r="A95">
        <f t="shared" si="1"/>
        <v>94</v>
      </c>
      <c r="B95" s="13">
        <v>45257</v>
      </c>
      <c r="C95" s="14" t="s">
        <v>26</v>
      </c>
      <c r="D95" s="15" t="s">
        <v>42</v>
      </c>
      <c r="E95" s="14">
        <v>31.27</v>
      </c>
      <c r="F95" s="16">
        <v>50000</v>
      </c>
      <c r="G95" s="16"/>
      <c r="H95" s="16"/>
    </row>
    <row r="96" spans="1:8" x14ac:dyDescent="0.3">
      <c r="A96">
        <f t="shared" si="1"/>
        <v>95</v>
      </c>
      <c r="B96" s="13">
        <v>45258</v>
      </c>
      <c r="C96" s="14" t="s">
        <v>26</v>
      </c>
      <c r="D96" s="15" t="s">
        <v>44</v>
      </c>
      <c r="E96" s="14">
        <v>53.16</v>
      </c>
      <c r="F96" s="16">
        <v>85000</v>
      </c>
      <c r="G96" s="16"/>
      <c r="H96" s="16"/>
    </row>
    <row r="97" spans="1:8" x14ac:dyDescent="0.3">
      <c r="A97">
        <f t="shared" si="1"/>
        <v>96</v>
      </c>
      <c r="B97" s="13">
        <v>45257</v>
      </c>
      <c r="C97" s="14" t="s">
        <v>26</v>
      </c>
      <c r="D97" s="15" t="s">
        <v>45</v>
      </c>
      <c r="E97" s="14">
        <v>55.03</v>
      </c>
      <c r="F97" s="16">
        <v>88000</v>
      </c>
      <c r="G97" s="16"/>
      <c r="H97" s="1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5</vt:i4>
      </vt:variant>
    </vt:vector>
  </HeadingPairs>
  <TitlesOfParts>
    <vt:vector size="9" baseType="lpstr">
      <vt:lpstr>empcar</vt:lpstr>
      <vt:lpstr>주유대</vt:lpstr>
      <vt:lpstr>DATA</vt:lpstr>
      <vt:lpstr>Sheet1</vt:lpstr>
      <vt:lpstr>empcar!JWLee</vt:lpstr>
      <vt:lpstr>empcar!JWLee_1</vt:lpstr>
      <vt:lpstr>empcar!JWLee_2</vt:lpstr>
      <vt:lpstr>empcar!JWLee_3</vt:lpstr>
      <vt:lpstr>empcar!JWLee_4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2024-01-04T07:19:03Z</dcterms:modified>
</cp:coreProperties>
</file>